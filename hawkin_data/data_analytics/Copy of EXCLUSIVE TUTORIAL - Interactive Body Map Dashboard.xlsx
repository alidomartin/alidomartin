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BodyMapData_1" sheetId="2" r:id="rId6"/>
    <sheet state="visible" name="BodyMapData_2" sheetId="3" r:id="rId7"/>
    <sheet state="visible" name="XYs_1" sheetId="4" r:id="rId8"/>
    <sheet state="visible" name="XYs_2" sheetId="5" r:id="rId9"/>
    <sheet state="visible" name="Dashboard_1" sheetId="6" r:id="rId10"/>
    <sheet state="visible" name="Dashboard_2" sheetId="7" r:id="rId11"/>
  </sheets>
  <definedNames/>
  <calcPr/>
</workbook>
</file>

<file path=xl/sharedStrings.xml><?xml version="1.0" encoding="utf-8"?>
<sst xmlns="http://schemas.openxmlformats.org/spreadsheetml/2006/main" count="311" uniqueCount="77">
  <si>
    <t>INTERACTIVE BODY MAP DASHBOARD TUTORIAL</t>
  </si>
  <si>
    <r>
      <rPr>
        <rFont val="Varela Round"/>
      </rPr>
      <t xml:space="preserve">This spreadsheet is for the Interactive Body Map Dashboard Tutorial hosted on </t>
    </r>
    <r>
      <rPr>
        <rFont val="Varela Round"/>
        <color rgb="FF1155CC"/>
        <u/>
      </rPr>
      <t>https://adamvirgile.com/.</t>
    </r>
    <r>
      <rPr>
        <rFont val="Varela Round"/>
      </rPr>
      <t xml:space="preserve"> All videos for this tutorial can be found via the link below:</t>
    </r>
  </si>
  <si>
    <t>If you have any questions, please contact Adam Virgile:</t>
  </si>
  <si>
    <t>Email</t>
  </si>
  <si>
    <t>adam.virgile@gmail.com</t>
  </si>
  <si>
    <t>Tutorial link:</t>
  </si>
  <si>
    <t>Interactive Body Map Dashboard Tutorial</t>
  </si>
  <si>
    <t>Twitter</t>
  </si>
  <si>
    <t>@AdamVirgile</t>
  </si>
  <si>
    <t>Athlete</t>
  </si>
  <si>
    <t>Date</t>
  </si>
  <si>
    <t>Head</t>
  </si>
  <si>
    <t>NeckFront</t>
  </si>
  <si>
    <t>NeckBack</t>
  </si>
  <si>
    <t>L_Shoulder</t>
  </si>
  <si>
    <t>L_ArmUpper</t>
  </si>
  <si>
    <t>L_Elbow</t>
  </si>
  <si>
    <t>L_ArmLower</t>
  </si>
  <si>
    <t>L_Wrist</t>
  </si>
  <si>
    <t>L_Hand</t>
  </si>
  <si>
    <t>R_Shoulder</t>
  </si>
  <si>
    <t>R_ArmUpper</t>
  </si>
  <si>
    <t>R_Elbow</t>
  </si>
  <si>
    <t>R_ArmLower</t>
  </si>
  <si>
    <t>R_Wrist</t>
  </si>
  <si>
    <t>R_Hand</t>
  </si>
  <si>
    <t>L_Chest</t>
  </si>
  <si>
    <t>L_Abs</t>
  </si>
  <si>
    <t>L_Hip</t>
  </si>
  <si>
    <t>L_Quad</t>
  </si>
  <si>
    <t>L_Knee</t>
  </si>
  <si>
    <t>L_Shin</t>
  </si>
  <si>
    <t>L_Ankle</t>
  </si>
  <si>
    <t>L_Foot</t>
  </si>
  <si>
    <t>R_Chest</t>
  </si>
  <si>
    <t>R_Abs</t>
  </si>
  <si>
    <t>R_Hip</t>
  </si>
  <si>
    <t>R_Quad</t>
  </si>
  <si>
    <t>R_Knee</t>
  </si>
  <si>
    <t>R_Shin</t>
  </si>
  <si>
    <t>R_Ankle</t>
  </si>
  <si>
    <t>R_Foot</t>
  </si>
  <si>
    <t>L_BackUpper</t>
  </si>
  <si>
    <t>L_BackLower</t>
  </si>
  <si>
    <t>L_Butt</t>
  </si>
  <si>
    <t>L_Hamstring</t>
  </si>
  <si>
    <t>L_Calf</t>
  </si>
  <si>
    <t>R_BackUpper</t>
  </si>
  <si>
    <t>R_BackLower</t>
  </si>
  <si>
    <t>R_Butt</t>
  </si>
  <si>
    <t>R_Hamstring</t>
  </si>
  <si>
    <t>R_Calf</t>
  </si>
  <si>
    <t>LeQuan James</t>
  </si>
  <si>
    <t>Mikal Jordan</t>
  </si>
  <si>
    <t>Harry Bird</t>
  </si>
  <si>
    <t>Ron Stockton</t>
  </si>
  <si>
    <t>Phil Brussel</t>
  </si>
  <si>
    <t>Karl Barkly</t>
  </si>
  <si>
    <t>Body Part</t>
  </si>
  <si>
    <t>Metric</t>
  </si>
  <si>
    <t>Value</t>
  </si>
  <si>
    <t>Soreness</t>
  </si>
  <si>
    <t>Part</t>
  </si>
  <si>
    <t>X</t>
  </si>
  <si>
    <t>Y</t>
  </si>
  <si>
    <t>Athlete Value</t>
  </si>
  <si>
    <t>Athlete X</t>
  </si>
  <si>
    <t>Athlete Y</t>
  </si>
  <si>
    <t>Athlete Soreness Over Time</t>
  </si>
  <si>
    <t>Total Soreness</t>
  </si>
  <si>
    <t>Maximum Soreness</t>
  </si>
  <si>
    <t>Select Athlete</t>
  </si>
  <si>
    <t>Select Date</t>
  </si>
  <si>
    <t>INTERACTIVE BODY MAP DASHBOARD</t>
  </si>
  <si>
    <t>SELECT ATHLETE</t>
  </si>
  <si>
    <t>SELECT DATE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</si>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</sst>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0.0%"/>
    <numFmt numFmtId="166" formatCode="0.0"/>
  </numFmts>
  <fonts count="16">
    <font>
      <sz val="10.0"/>
      <color rgb="FF000000"/>
      <name val="Arial"/>
      <scheme val="minor"/>
    </font>
    <font>
      <b/>
      <sz val="18.0"/>
      <color rgb="FFDBDBDB"/>
      <name val="Varela Round"/>
    </font>
    <font>
      <color theme="1"/>
      <name val="Varela Round"/>
    </font>
    <font>
      <u/>
      <color rgb="FF0000FF"/>
      <name val="Varela Round"/>
    </font>
    <font/>
    <font>
      <b/>
      <color rgb="FFDBDBDB"/>
      <name val="Varela Round"/>
    </font>
    <font>
      <color theme="1"/>
      <name val="Arial"/>
      <scheme val="minor"/>
    </font>
    <font>
      <u/>
      <color rgb="FF1155CC"/>
      <name val="Varela Round"/>
    </font>
    <font>
      <b/>
      <color theme="1"/>
      <name val="Varela Round"/>
    </font>
    <font>
      <b/>
      <u/>
      <color rgb="FF1155CC"/>
      <name val="Varela Round"/>
    </font>
    <font>
      <u/>
      <color rgb="FF1155CC"/>
      <name val="Varela Round"/>
    </font>
    <font>
      <b/>
      <color theme="1"/>
      <name val="Arial"/>
      <scheme val="minor"/>
    </font>
    <font>
      <b/>
      <sz val="24.0"/>
      <color rgb="FFDBDBDB"/>
      <name val="Varela Round"/>
    </font>
    <font>
      <b/>
      <color rgb="FF3498CC"/>
      <name val="Varela Round"/>
    </font>
    <font>
      <b/>
      <color rgb="FF0085CA"/>
      <name val="Varela Round"/>
    </font>
    <font>
      <b/>
      <color rgb="FFFFFFFF"/>
      <name val="Varela Round"/>
    </font>
  </fonts>
  <fills count="7">
    <fill>
      <patternFill patternType="none"/>
    </fill>
    <fill>
      <patternFill patternType="lightGray"/>
    </fill>
    <fill>
      <patternFill patternType="solid">
        <fgColor rgb="FF0085CA"/>
        <bgColor rgb="FF0085CA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1"/>
        <bgColor theme="1"/>
      </patternFill>
    </fill>
    <fill>
      <patternFill patternType="solid">
        <fgColor rgb="FFDBDBDB"/>
        <bgColor rgb="FFDBDBDB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666666"/>
      </left>
      <top style="medium">
        <color rgb="FF666666"/>
      </top>
      <bottom style="medium">
        <color rgb="FF666666"/>
      </bottom>
    </border>
    <border>
      <top style="medium">
        <color rgb="FF666666"/>
      </top>
      <bottom style="medium">
        <color rgb="FF666666"/>
      </bottom>
    </border>
    <border>
      <right style="medium">
        <color rgb="FF666666"/>
      </right>
      <top style="medium">
        <color rgb="FF666666"/>
      </top>
      <bottom style="medium">
        <color rgb="FF666666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Font="1"/>
    <xf borderId="1" fillId="3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horizontal="center" vertical="center"/>
    </xf>
    <xf borderId="1" fillId="2" fontId="5" numFmtId="0" xfId="0" applyAlignment="1" applyBorder="1" applyFont="1">
      <alignment horizontal="center" readingOrder="0" vertical="center"/>
    </xf>
    <xf borderId="4" fillId="0" fontId="4" numFmtId="0" xfId="0" applyBorder="1" applyFont="1"/>
    <xf borderId="5" fillId="0" fontId="4" numFmtId="0" xfId="0" applyBorder="1" applyFont="1"/>
    <xf borderId="4" fillId="4" fontId="6" numFmtId="0" xfId="0" applyAlignment="1" applyBorder="1" applyFill="1" applyFont="1">
      <alignment horizontal="center" vertical="center"/>
    </xf>
    <xf borderId="0" fillId="4" fontId="6" numFmtId="0" xfId="0" applyAlignment="1" applyFont="1">
      <alignment horizontal="center" vertical="center"/>
    </xf>
    <xf borderId="0" fillId="4" fontId="2" numFmtId="0" xfId="0" applyAlignment="1" applyFont="1">
      <alignment horizontal="center" vertical="center"/>
    </xf>
    <xf borderId="5" fillId="4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 vertical="center"/>
    </xf>
    <xf borderId="0" fillId="4" fontId="7" numFmtId="0" xfId="0" applyAlignment="1" applyFont="1">
      <alignment horizontal="left" readingOrder="0" vertical="center"/>
    </xf>
    <xf borderId="6" fillId="0" fontId="8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 vertical="center"/>
    </xf>
    <xf borderId="7" fillId="0" fontId="4" numFmtId="0" xfId="0" applyBorder="1" applyFont="1"/>
    <xf borderId="8" fillId="0" fontId="4" numFmtId="0" xfId="0" applyBorder="1" applyFont="1"/>
    <xf borderId="6" fillId="4" fontId="2" numFmtId="0" xfId="0" applyAlignment="1" applyBorder="1" applyFont="1">
      <alignment horizontal="center" vertical="center"/>
    </xf>
    <xf borderId="7" fillId="4" fontId="2" numFmtId="0" xfId="0" applyAlignment="1" applyBorder="1" applyFont="1">
      <alignment horizontal="center" readingOrder="0" vertical="center"/>
    </xf>
    <xf borderId="7" fillId="4" fontId="10" numFmtId="0" xfId="0" applyAlignment="1" applyBorder="1" applyFont="1">
      <alignment horizontal="left" readingOrder="0" vertical="center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0" fontId="6" numFmtId="0" xfId="0" applyAlignment="1" applyFont="1">
      <alignment horizontal="center"/>
    </xf>
    <xf borderId="0" fillId="0" fontId="6" numFmtId="0" xfId="0" applyFont="1"/>
    <xf borderId="0" fillId="0" fontId="6" numFmtId="164" xfId="0" applyFont="1" applyNumberFormat="1"/>
    <xf borderId="0" fillId="0" fontId="11" numFmtId="0" xfId="0" applyFont="1"/>
    <xf borderId="0" fillId="0" fontId="6" numFmtId="0" xfId="0" applyFont="1"/>
    <xf borderId="0" fillId="2" fontId="12" numFmtId="0" xfId="0" applyAlignment="1" applyFont="1">
      <alignment horizontal="center" readingOrder="0" vertical="center"/>
    </xf>
    <xf borderId="9" fillId="5" fontId="13" numFmtId="0" xfId="0" applyAlignment="1" applyBorder="1" applyFill="1" applyFont="1">
      <alignment horizontal="center" readingOrder="0" vertical="center"/>
    </xf>
    <xf borderId="10" fillId="0" fontId="4" numFmtId="0" xfId="0" applyBorder="1" applyFont="1"/>
    <xf borderId="10" fillId="6" fontId="14" numFmtId="0" xfId="0" applyAlignment="1" applyBorder="1" applyFill="1" applyFont="1">
      <alignment horizontal="center" readingOrder="0" vertical="center"/>
    </xf>
    <xf borderId="11" fillId="0" fontId="4" numFmtId="0" xfId="0" applyBorder="1" applyFont="1"/>
    <xf borderId="0" fillId="0" fontId="2" numFmtId="0" xfId="0" applyAlignment="1" applyFont="1">
      <alignment horizontal="center"/>
    </xf>
    <xf borderId="10" fillId="6" fontId="14" numFmtId="164" xfId="0" applyAlignment="1" applyBorder="1" applyFont="1" applyNumberFormat="1">
      <alignment horizontal="center" readingOrder="0" vertical="center"/>
    </xf>
    <xf borderId="0" fillId="2" fontId="15" numFmtId="0" xfId="0" applyAlignment="1" applyFont="1">
      <alignment horizontal="center" vertical="center"/>
    </xf>
    <xf borderId="0" fillId="2" fontId="15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166" xfId="0" applyAlignment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Dashboard_1-style">
      <tableStyleElement dxfId="1" type="headerRow"/>
      <tableStyleElement dxfId="2" type="firstRowStripe"/>
      <tableStyleElement dxfId="3" type="secondRowStripe"/>
    </tableStyle>
    <tableStyle count="3" pivot="0" name="Dashboard_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816377171215881"/>
          <c:y val="0.07517899761336516"/>
          <c:w val="0.8957816377171216"/>
          <c:h val="0.8448687350835322"/>
        </c:manualLayout>
      </c:layout>
      <c:scatterChart>
        <c:scatterStyle val="lineMarker"/>
        <c:varyColors val="0"/>
        <c:ser>
          <c:idx val="0"/>
          <c:order val="0"/>
          <c:tx>
            <c:strRef>
              <c:f>XYs_1!$H$2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XYs_1!$G$3:$G$43</c:f>
            </c:numRef>
          </c:xVal>
          <c:yVal>
            <c:numRef>
              <c:f>XYs_1!$H$3:$H$43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0549714"/>
        <c:axId val="155764182"/>
      </c:scatterChart>
      <c:valAx>
        <c:axId val="1620549714"/>
        <c:scaling>
          <c:orientation val="minMax"/>
          <c:max val="100.0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55764182"/>
      </c:valAx>
      <c:valAx>
        <c:axId val="155764182"/>
        <c:scaling>
          <c:orientation val="minMax"/>
          <c:max val="100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FFFFFF"/>
                </a:solidFill>
                <a:latin typeface="+mn-lt"/>
              </a:defRPr>
            </a:pPr>
          </a:p>
        </c:txPr>
        <c:crossAx val="16205497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816377171215881"/>
          <c:y val="0.07517899761336516"/>
          <c:w val="0.8957816377171216"/>
          <c:h val="0.8448687350835322"/>
        </c:manualLayout>
      </c:layout>
      <c:scatterChart>
        <c:scatterStyle val="lineMarker"/>
        <c:varyColors val="0"/>
        <c:ser>
          <c:idx val="0"/>
          <c:order val="0"/>
          <c:tx>
            <c:strRef>
              <c:f>XYs_2!$H$2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XYs_2!$G$3:$G$43</c:f>
            </c:numRef>
          </c:xVal>
          <c:yVal>
            <c:numRef>
              <c:f>XYs_2!$H$3:$H$43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981102"/>
        <c:axId val="1291979855"/>
      </c:scatterChart>
      <c:valAx>
        <c:axId val="683981102"/>
        <c:scaling>
          <c:orientation val="minMax"/>
          <c:max val="100.0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291979855"/>
      </c:valAx>
      <c:valAx>
        <c:axId val="1291979855"/>
        <c:scaling>
          <c:orientation val="minMax"/>
          <c:max val="100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FFFFFF"/>
                </a:solidFill>
                <a:latin typeface="+mn-lt"/>
              </a:defRPr>
            </a:pPr>
          </a:p>
        </c:txPr>
        <c:crossAx val="6839811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D9D9D9"/>
                </a:solidFill>
                <a:latin typeface="Roboto"/>
              </a:defRPr>
            </a:pPr>
            <a:r>
              <a:rPr b="1">
                <a:solidFill>
                  <a:srgbClr val="D9D9D9"/>
                </a:solidFill>
                <a:latin typeface="Roboto"/>
              </a:rPr>
              <a:t>Total Soreness and Maximum Soreness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XYs_2!$N$2</c:f>
            </c:strRef>
          </c:tx>
          <c:spPr>
            <a:ln cmpd="sng" w="38100">
              <a:solidFill>
                <a:srgbClr val="0085CA"/>
              </a:solidFill>
            </a:ln>
          </c:spPr>
          <c:marker>
            <c:symbol val="none"/>
          </c:marker>
          <c:cat>
            <c:strRef>
              <c:f>XYs_2!$M$3:$M$6</c:f>
            </c:strRef>
          </c:cat>
          <c:val>
            <c:numRef>
              <c:f>XYs_2!$N$3:$N$6</c:f>
              <c:numCache/>
            </c:numRef>
          </c:val>
          <c:smooth val="1"/>
        </c:ser>
        <c:axId val="1521112666"/>
        <c:axId val="2131517043"/>
      </c:lineChart>
      <c:catAx>
        <c:axId val="15211126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85CA"/>
                </a:solidFill>
                <a:latin typeface="+mn-lt"/>
              </a:defRPr>
            </a:pPr>
          </a:p>
        </c:txPr>
        <c:crossAx val="2131517043"/>
      </c:catAx>
      <c:valAx>
        <c:axId val="2131517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434343"/>
                </a:solidFill>
                <a:latin typeface="+mn-lt"/>
              </a:defRPr>
            </a:pPr>
          </a:p>
        </c:txPr>
        <c:crossAx val="1521112666"/>
      </c:valAx>
      <c:barChart>
        <c:barDir val="col"/>
        <c:ser>
          <c:idx val="1"/>
          <c:order val="1"/>
          <c:tx>
            <c:strRef>
              <c:f>XYs_2!$O$2</c:f>
            </c:strRef>
          </c:tx>
          <c:spPr>
            <a:solidFill>
              <a:srgbClr val="BDBDB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XYs_2!$M$3:$M$6</c:f>
            </c:strRef>
          </c:cat>
          <c:val>
            <c:numRef>
              <c:f>XYs_2!$O$3:$O$6</c:f>
              <c:numCache/>
            </c:numRef>
          </c:val>
        </c:ser>
        <c:axId val="1374531596"/>
        <c:axId val="676401590"/>
      </c:barChart>
      <c:catAx>
        <c:axId val="13745315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85CA"/>
                </a:solidFill>
                <a:latin typeface="+mn-lt"/>
              </a:defRPr>
            </a:pPr>
          </a:p>
        </c:txPr>
        <c:crossAx val="676401590"/>
      </c:catAx>
      <c:valAx>
        <c:axId val="67640159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434343"/>
                </a:solidFill>
                <a:latin typeface="+mn-lt"/>
              </a:defRPr>
            </a:pPr>
          </a:p>
        </c:txPr>
        <c:crossAx val="137453159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D9D9D9"/>
              </a:solidFill>
              <a:latin typeface="Roboto"/>
            </a:defRPr>
          </a:pPr>
        </a:p>
      </c:txPr>
    </c:legend>
    <c:plotVisOnly val="1"/>
  </c:chart>
  <c:spPr>
    <a:solidFill>
      <a:srgbClr val="000000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816377171215881"/>
          <c:y val="0.07517899761336516"/>
          <c:w val="0.8957816377171216"/>
          <c:h val="0.8448687350835322"/>
        </c:manualLayout>
      </c:layout>
      <c:scatterChart>
        <c:scatterStyle val="lineMarker"/>
        <c:varyColors val="0"/>
        <c:ser>
          <c:idx val="0"/>
          <c:order val="0"/>
          <c:tx>
            <c:strRef>
              <c:f>XYs_1!$K$2</c:f>
            </c:strRef>
          </c:tx>
          <c:spPr>
            <a:ln>
              <a:noFill/>
            </a:ln>
          </c:spPr>
          <c:marker>
            <c:symbol val="circle"/>
            <c:size val="14"/>
            <c:spPr>
              <a:solidFill>
                <a:srgbClr val="CC0000"/>
              </a:solidFill>
              <a:ln cmpd="sng">
                <a:solidFill>
                  <a:srgbClr val="CC0000"/>
                </a:solidFill>
              </a:ln>
            </c:spPr>
          </c:marker>
          <c:xVal>
            <c:numRef>
              <c:f>XYs_1!$J$3:$J$43</c:f>
            </c:numRef>
          </c:xVal>
          <c:yVal>
            <c:numRef>
              <c:f>XYs_1!$K$3:$K$43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122499"/>
        <c:axId val="2125646134"/>
      </c:scatterChart>
      <c:valAx>
        <c:axId val="1461122499"/>
        <c:scaling>
          <c:orientation val="minMax"/>
          <c:max val="100.0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125646134"/>
      </c:valAx>
      <c:valAx>
        <c:axId val="2125646134"/>
        <c:scaling>
          <c:orientation val="minMax"/>
          <c:max val="100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FFFFFF"/>
                </a:solidFill>
                <a:latin typeface="+mn-lt"/>
              </a:defRPr>
            </a:pPr>
          </a:p>
        </c:txPr>
        <c:crossAx val="14611224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"/>
          <c:y val="0.048314606741573035"/>
          <c:w val="1.0"/>
          <c:h val="0.8717331259553244"/>
        </c:manualLayout>
      </c:layout>
      <c:scatterChart>
        <c:scatterStyle val="lineMarker"/>
        <c:varyColors val="0"/>
        <c:ser>
          <c:idx val="0"/>
          <c:order val="0"/>
          <c:tx>
            <c:strRef>
              <c:f>XYs_2!$K$2</c:f>
            </c:strRef>
          </c:tx>
          <c:spPr>
            <a:ln>
              <a:noFill/>
            </a:ln>
          </c:spPr>
          <c:marker>
            <c:symbol val="circle"/>
            <c:size val="14"/>
            <c:spPr>
              <a:solidFill>
                <a:srgbClr val="0085CA"/>
              </a:solidFill>
              <a:ln cmpd="sng">
                <a:solidFill>
                  <a:srgbClr val="0085CA"/>
                </a:solidFill>
              </a:ln>
            </c:spPr>
          </c:marker>
          <c:xVal>
            <c:numRef>
              <c:f>XYs_2!$J$3:$J$43</c:f>
            </c:numRef>
          </c:xVal>
          <c:yVal>
            <c:numRef>
              <c:f>XYs_2!$K$3:$K$43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137677"/>
        <c:axId val="1451084990"/>
      </c:scatterChart>
      <c:valAx>
        <c:axId val="1606137677"/>
        <c:scaling>
          <c:orientation val="minMax"/>
          <c:max val="100.0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451084990"/>
      </c:valAx>
      <c:valAx>
        <c:axId val="1451084990"/>
        <c:scaling>
          <c:orientation val="minMax"/>
          <c:max val="100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FFFFFF"/>
                </a:solidFill>
                <a:latin typeface="+mn-lt"/>
              </a:defRPr>
            </a:pPr>
          </a:p>
        </c:txPr>
        <c:crossAx val="16061376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D9D9D9"/>
                </a:solidFill>
                <a:latin typeface="Roboto"/>
              </a:defRPr>
            </a:pPr>
            <a:r>
              <a:rPr b="1">
                <a:solidFill>
                  <a:srgbClr val="D9D9D9"/>
                </a:solidFill>
                <a:latin typeface="Roboto"/>
              </a:rPr>
              <a:t>Total Soreness and Maximum Soreness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XYs_2!$N$2</c:f>
            </c:strRef>
          </c:tx>
          <c:spPr>
            <a:ln cmpd="sng" w="38100">
              <a:solidFill>
                <a:srgbClr val="0085CA"/>
              </a:solidFill>
            </a:ln>
          </c:spPr>
          <c:marker>
            <c:symbol val="none"/>
          </c:marker>
          <c:cat>
            <c:strRef>
              <c:f>XYs_2!$M$3:$M$6</c:f>
            </c:strRef>
          </c:cat>
          <c:val>
            <c:numRef>
              <c:f>XYs_2!$N$3:$N$6</c:f>
              <c:numCache/>
            </c:numRef>
          </c:val>
          <c:smooth val="1"/>
        </c:ser>
        <c:axId val="2069748314"/>
        <c:axId val="2010077545"/>
      </c:lineChart>
      <c:catAx>
        <c:axId val="2069748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85CA"/>
                </a:solidFill>
                <a:latin typeface="+mn-lt"/>
              </a:defRPr>
            </a:pPr>
          </a:p>
        </c:txPr>
        <c:crossAx val="2010077545"/>
      </c:catAx>
      <c:valAx>
        <c:axId val="20100775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434343"/>
                </a:solidFill>
                <a:latin typeface="+mn-lt"/>
              </a:defRPr>
            </a:pPr>
          </a:p>
        </c:txPr>
        <c:crossAx val="2069748314"/>
      </c:valAx>
      <c:barChart>
        <c:barDir val="col"/>
        <c:ser>
          <c:idx val="1"/>
          <c:order val="1"/>
          <c:tx>
            <c:strRef>
              <c:f>XYs_2!$O$2</c:f>
            </c:strRef>
          </c:tx>
          <c:spPr>
            <a:solidFill>
              <a:srgbClr val="BDBDB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XYs_2!$M$3:$M$6</c:f>
            </c:strRef>
          </c:cat>
          <c:val>
            <c:numRef>
              <c:f>XYs_2!$O$3:$O$6</c:f>
              <c:numCache/>
            </c:numRef>
          </c:val>
        </c:ser>
        <c:axId val="1022796529"/>
        <c:axId val="212446028"/>
      </c:barChart>
      <c:catAx>
        <c:axId val="102279652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85CA"/>
                </a:solidFill>
                <a:latin typeface="+mn-lt"/>
              </a:defRPr>
            </a:pPr>
          </a:p>
        </c:txPr>
        <c:crossAx val="212446028"/>
      </c:catAx>
      <c:valAx>
        <c:axId val="21244602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434343"/>
                </a:solidFill>
                <a:latin typeface="+mn-lt"/>
              </a:defRPr>
            </a:pPr>
          </a:p>
        </c:txPr>
        <c:crossAx val="102279652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D9D9D9"/>
              </a:solidFill>
              <a:latin typeface="Roboto"/>
            </a:defRPr>
          </a:pPr>
        </a:p>
      </c:txPr>
    </c:legend>
    <c:plotVisOnly val="1"/>
  </c:chart>
  <c:spPr>
    <a:solidFill>
      <a:srgbClr val="000000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171450</xdr:colOff>
      <xdr:row>4</xdr:row>
      <xdr:rowOff>381000</xdr:rowOff>
    </xdr:from>
    <xdr:ext cx="361950" cy="361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200025</xdr:colOff>
      <xdr:row>4</xdr:row>
      <xdr:rowOff>28575</xdr:rowOff>
    </xdr:from>
    <xdr:ext cx="304800" cy="3048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38575" cy="3990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</xdr:row>
      <xdr:rowOff>0</xdr:rowOff>
    </xdr:from>
    <xdr:ext cx="180975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38575" cy="3990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762000</xdr:colOff>
      <xdr:row>0</xdr:row>
      <xdr:rowOff>85725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</xdr:row>
      <xdr:rowOff>0</xdr:rowOff>
    </xdr:from>
    <xdr:ext cx="18097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123825</xdr:rowOff>
    </xdr:from>
    <xdr:ext cx="3838575" cy="3990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3</xdr:row>
      <xdr:rowOff>0</xdr:rowOff>
    </xdr:from>
    <xdr:ext cx="180975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</xdr:colOff>
      <xdr:row>2</xdr:row>
      <xdr:rowOff>9525</xdr:rowOff>
    </xdr:from>
    <xdr:ext cx="3943350" cy="42386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76200</xdr:colOff>
      <xdr:row>1</xdr:row>
      <xdr:rowOff>38100</xdr:rowOff>
    </xdr:from>
    <xdr:ext cx="3781425" cy="42005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228600</xdr:colOff>
      <xdr:row>2</xdr:row>
      <xdr:rowOff>142875</xdr:rowOff>
    </xdr:from>
    <xdr:ext cx="428625" cy="247650"/>
    <xdr:sp>
      <xdr:nvSpPr>
        <xdr:cNvPr id="3" name="Shape 3"/>
        <xdr:cNvSpPr txBox="1"/>
      </xdr:nvSpPr>
      <xdr:spPr>
        <a:xfrm>
          <a:off x="3569950" y="924450"/>
          <a:ext cx="708000" cy="413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LEFT</a:t>
          </a:r>
          <a:endParaRPr b="1" sz="1400"/>
        </a:p>
      </xdr:txBody>
    </xdr:sp>
    <xdr:clientData fLocksWithSheet="0"/>
  </xdr:oneCellAnchor>
  <xdr:oneCellAnchor>
    <xdr:from>
      <xdr:col>5</xdr:col>
      <xdr:colOff>276225</xdr:colOff>
      <xdr:row>2</xdr:row>
      <xdr:rowOff>142875</xdr:rowOff>
    </xdr:from>
    <xdr:ext cx="476250" cy="247650"/>
    <xdr:sp>
      <xdr:nvSpPr>
        <xdr:cNvPr id="4" name="Shape 4"/>
        <xdr:cNvSpPr txBox="1"/>
      </xdr:nvSpPr>
      <xdr:spPr>
        <a:xfrm>
          <a:off x="796600" y="668750"/>
          <a:ext cx="836100" cy="403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RIGHT</a:t>
          </a:r>
          <a:endParaRPr b="1" sz="1400"/>
        </a:p>
      </xdr:txBody>
    </xdr:sp>
    <xdr:clientData fLocksWithSheet="0"/>
  </xdr:oneCellAnchor>
  <xdr:oneCellAnchor>
    <xdr:from>
      <xdr:col>7</xdr:col>
      <xdr:colOff>314325</xdr:colOff>
      <xdr:row>2</xdr:row>
      <xdr:rowOff>142875</xdr:rowOff>
    </xdr:from>
    <xdr:ext cx="476250" cy="247650"/>
    <xdr:sp>
      <xdr:nvSpPr>
        <xdr:cNvPr id="5" name="Shape 5"/>
        <xdr:cNvSpPr txBox="1"/>
      </xdr:nvSpPr>
      <xdr:spPr>
        <a:xfrm>
          <a:off x="1632550" y="599925"/>
          <a:ext cx="727800" cy="3933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LEFT</a:t>
          </a:r>
          <a:endParaRPr b="1" sz="1400"/>
        </a:p>
      </xdr:txBody>
    </xdr:sp>
    <xdr:clientData fLocksWithSheet="0"/>
  </xdr:oneCellAnchor>
  <xdr:oneCellAnchor>
    <xdr:from>
      <xdr:col>8</xdr:col>
      <xdr:colOff>285750</xdr:colOff>
      <xdr:row>2</xdr:row>
      <xdr:rowOff>142875</xdr:rowOff>
    </xdr:from>
    <xdr:ext cx="428625" cy="247650"/>
    <xdr:sp>
      <xdr:nvSpPr>
        <xdr:cNvPr id="6" name="Shape 6"/>
        <xdr:cNvSpPr txBox="1"/>
      </xdr:nvSpPr>
      <xdr:spPr>
        <a:xfrm>
          <a:off x="1268675" y="1130975"/>
          <a:ext cx="737700" cy="3933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RIGHT</a:t>
          </a:r>
          <a:endParaRPr b="1" sz="1400"/>
        </a:p>
      </xdr:txBody>
    </xdr:sp>
    <xdr:clientData fLocksWithSheet="0"/>
  </xdr:oneCellAnchor>
  <xdr:oneCellAnchor>
    <xdr:from>
      <xdr:col>5</xdr:col>
      <xdr:colOff>0</xdr:colOff>
      <xdr:row>2</xdr:row>
      <xdr:rowOff>0</xdr:rowOff>
    </xdr:from>
    <xdr:ext cx="18097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B9" displayName="Table_1" name="Table_1" id="1">
  <tableColumns count="2">
    <tableColumn name="Part" id="1"/>
    <tableColumn name="Athlete Value" id="2"/>
  </tableColumns>
  <tableStyleInfo name="Dashboard_1-style" showColumnStripes="0" showFirstColumn="1" showLastColumn="1" showRowStripes="1"/>
</table>
</file>

<file path=xl/tables/table2.xml><?xml version="1.0" encoding="utf-8"?>
<table xmlns="http://schemas.openxmlformats.org/spreadsheetml/2006/main" ref="A6:C10" displayName="Table_2" name="Table_2" id="2">
  <tableColumns count="3">
    <tableColumn name="Part" id="1"/>
    <tableColumn name="Athlete Value" id="2"/>
    <tableColumn name="Average" id="3"/>
  </tableColumns>
  <tableStyleInfo name="Dashboard_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damvirgile.com/" TargetMode="External"/><Relationship Id="rId2" Type="http://schemas.openxmlformats.org/officeDocument/2006/relationships/hyperlink" Target="mailto:adam.virgile@gmail.com" TargetMode="External"/><Relationship Id="rId3" Type="http://schemas.openxmlformats.org/officeDocument/2006/relationships/hyperlink" Target="https://adamvirgile.com/interactive-body-map-dashboard-tutorial/" TargetMode="External"/><Relationship Id="rId4" Type="http://schemas.openxmlformats.org/officeDocument/2006/relationships/hyperlink" Target="https://twitter.com/AdamVirgile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8.25"/>
    <col customWidth="1" min="3" max="10" width="9.5"/>
  </cols>
  <sheetData>
    <row r="1" ht="30.0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0" customHeight="1">
      <c r="A3" s="3" t="s">
        <v>1</v>
      </c>
      <c r="B3" s="4"/>
      <c r="C3" s="4"/>
      <c r="D3" s="5"/>
      <c r="E3" s="6"/>
      <c r="F3" s="7" t="s">
        <v>2</v>
      </c>
      <c r="G3" s="4"/>
      <c r="H3" s="4"/>
      <c r="I3" s="4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0" customHeight="1">
      <c r="A4" s="8"/>
      <c r="D4" s="9"/>
      <c r="E4" s="6"/>
      <c r="F4" s="10"/>
      <c r="G4" s="11"/>
      <c r="H4" s="12"/>
      <c r="I4" s="12"/>
      <c r="J4" s="1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0" customHeight="1">
      <c r="A5" s="14"/>
      <c r="B5" s="15"/>
      <c r="C5" s="15"/>
      <c r="D5" s="16"/>
      <c r="E5" s="6"/>
      <c r="F5" s="10"/>
      <c r="G5" s="17" t="s">
        <v>3</v>
      </c>
      <c r="H5" s="18" t="s">
        <v>4</v>
      </c>
      <c r="J5" s="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19" t="s">
        <v>5</v>
      </c>
      <c r="B6" s="20" t="s">
        <v>6</v>
      </c>
      <c r="C6" s="21"/>
      <c r="D6" s="22"/>
      <c r="E6" s="6"/>
      <c r="F6" s="23"/>
      <c r="G6" s="24" t="s">
        <v>7</v>
      </c>
      <c r="H6" s="25" t="s">
        <v>8</v>
      </c>
      <c r="I6" s="21"/>
      <c r="J6" s="2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A7" s="15"/>
      <c r="B7" s="15"/>
      <c r="C7" s="15"/>
      <c r="D7" s="1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0" customHeight="1">
      <c r="A8" s="15"/>
      <c r="B8" s="15"/>
      <c r="C8" s="15"/>
      <c r="D8" s="1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0" customHeight="1">
      <c r="E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J1"/>
    <mergeCell ref="A3:D4"/>
    <mergeCell ref="F3:J3"/>
    <mergeCell ref="H5:J5"/>
    <mergeCell ref="B6:D6"/>
    <mergeCell ref="H6:J6"/>
  </mergeCells>
  <hyperlinks>
    <hyperlink r:id="rId1" ref="A3"/>
    <hyperlink r:id="rId2" ref="H5"/>
    <hyperlink r:id="rId3" ref="B6"/>
    <hyperlink r:id="rId4" ref="H6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43" max="43" width="14.38"/>
  </cols>
  <sheetData>
    <row r="1">
      <c r="A1" s="26" t="s">
        <v>9</v>
      </c>
      <c r="B1" s="26" t="s">
        <v>10</v>
      </c>
      <c r="C1" s="26" t="s">
        <v>11</v>
      </c>
      <c r="D1" s="26" t="s">
        <v>12</v>
      </c>
      <c r="E1" s="26" t="s">
        <v>13</v>
      </c>
      <c r="F1" s="26" t="s">
        <v>14</v>
      </c>
      <c r="G1" s="26" t="s">
        <v>15</v>
      </c>
      <c r="H1" s="26" t="s">
        <v>16</v>
      </c>
      <c r="I1" s="26" t="s">
        <v>17</v>
      </c>
      <c r="J1" s="26" t="s">
        <v>18</v>
      </c>
      <c r="K1" s="26" t="s">
        <v>19</v>
      </c>
      <c r="L1" s="26" t="s">
        <v>20</v>
      </c>
      <c r="M1" s="26" t="s">
        <v>21</v>
      </c>
      <c r="N1" s="26" t="s">
        <v>22</v>
      </c>
      <c r="O1" s="26" t="s">
        <v>23</v>
      </c>
      <c r="P1" s="26" t="s">
        <v>24</v>
      </c>
      <c r="Q1" s="26" t="s">
        <v>25</v>
      </c>
      <c r="R1" s="26" t="s">
        <v>26</v>
      </c>
      <c r="S1" s="26" t="s">
        <v>27</v>
      </c>
      <c r="T1" s="26" t="s">
        <v>28</v>
      </c>
      <c r="U1" s="26" t="s">
        <v>29</v>
      </c>
      <c r="V1" s="26" t="s">
        <v>30</v>
      </c>
      <c r="W1" s="26" t="s">
        <v>31</v>
      </c>
      <c r="X1" s="26" t="s">
        <v>32</v>
      </c>
      <c r="Y1" s="26" t="s">
        <v>33</v>
      </c>
      <c r="Z1" s="26" t="s">
        <v>34</v>
      </c>
      <c r="AA1" s="26" t="s">
        <v>35</v>
      </c>
      <c r="AB1" s="26" t="s">
        <v>36</v>
      </c>
      <c r="AC1" s="26" t="s">
        <v>37</v>
      </c>
      <c r="AD1" s="26" t="s">
        <v>38</v>
      </c>
      <c r="AE1" s="26" t="s">
        <v>39</v>
      </c>
      <c r="AF1" s="26" t="s">
        <v>40</v>
      </c>
      <c r="AG1" s="26" t="s">
        <v>41</v>
      </c>
      <c r="AH1" s="26" t="s">
        <v>42</v>
      </c>
      <c r="AI1" s="26" t="s">
        <v>43</v>
      </c>
      <c r="AJ1" s="26" t="s">
        <v>44</v>
      </c>
      <c r="AK1" s="26" t="s">
        <v>45</v>
      </c>
      <c r="AL1" s="26" t="s">
        <v>46</v>
      </c>
      <c r="AM1" s="26" t="s">
        <v>47</v>
      </c>
      <c r="AN1" s="26" t="s">
        <v>48</v>
      </c>
      <c r="AO1" s="26" t="s">
        <v>49</v>
      </c>
      <c r="AP1" s="26" t="s">
        <v>50</v>
      </c>
      <c r="AQ1" s="26" t="s">
        <v>51</v>
      </c>
    </row>
    <row r="2">
      <c r="A2" s="26" t="s">
        <v>52</v>
      </c>
      <c r="B2" s="27">
        <v>43919.0</v>
      </c>
    </row>
    <row r="3">
      <c r="A3" s="26" t="s">
        <v>52</v>
      </c>
      <c r="B3" s="27">
        <v>43920.0</v>
      </c>
      <c r="S3" s="26">
        <v>2.0</v>
      </c>
      <c r="T3" s="26">
        <v>4.0</v>
      </c>
      <c r="V3" s="26">
        <v>2.0</v>
      </c>
      <c r="W3" s="26">
        <v>3.0</v>
      </c>
    </row>
    <row r="4">
      <c r="A4" s="26" t="s">
        <v>52</v>
      </c>
      <c r="B4" s="27">
        <v>43922.0</v>
      </c>
      <c r="E4" s="26">
        <v>4.0</v>
      </c>
      <c r="S4" s="26">
        <v>2.0</v>
      </c>
      <c r="T4" s="26">
        <v>2.0</v>
      </c>
      <c r="V4" s="26">
        <v>2.0</v>
      </c>
      <c r="W4" s="26">
        <v>4.0</v>
      </c>
    </row>
    <row r="5">
      <c r="A5" s="26" t="s">
        <v>52</v>
      </c>
      <c r="B5" s="27">
        <v>43923.0</v>
      </c>
      <c r="S5" s="26">
        <v>1.0</v>
      </c>
      <c r="T5" s="26">
        <v>3.0</v>
      </c>
      <c r="V5" s="26">
        <v>2.0</v>
      </c>
      <c r="W5" s="26">
        <v>3.0</v>
      </c>
    </row>
    <row r="6">
      <c r="A6" s="26" t="s">
        <v>52</v>
      </c>
      <c r="B6" s="27">
        <v>43924.0</v>
      </c>
    </row>
    <row r="7">
      <c r="A7" s="26" t="s">
        <v>53</v>
      </c>
      <c r="B7" s="27">
        <v>43919.0</v>
      </c>
      <c r="H7" s="26">
        <v>4.0</v>
      </c>
      <c r="I7" s="26">
        <v>5.0</v>
      </c>
      <c r="AC7" s="26">
        <v>3.0</v>
      </c>
    </row>
    <row r="8">
      <c r="A8" s="26" t="s">
        <v>53</v>
      </c>
      <c r="B8" s="27">
        <v>43920.0</v>
      </c>
      <c r="H8" s="26">
        <v>2.0</v>
      </c>
      <c r="I8" s="26">
        <v>4.0</v>
      </c>
    </row>
    <row r="9">
      <c r="A9" s="26" t="s">
        <v>53</v>
      </c>
      <c r="B9" s="27">
        <v>43922.0</v>
      </c>
      <c r="I9" s="26">
        <v>1.0</v>
      </c>
      <c r="AC9" s="26">
        <v>3.0</v>
      </c>
    </row>
    <row r="10">
      <c r="A10" s="26" t="s">
        <v>53</v>
      </c>
      <c r="B10" s="27">
        <v>43923.0</v>
      </c>
      <c r="I10" s="26">
        <v>1.0</v>
      </c>
    </row>
    <row r="11">
      <c r="A11" s="26" t="s">
        <v>53</v>
      </c>
      <c r="B11" s="27">
        <v>43924.0</v>
      </c>
      <c r="I11" s="26">
        <v>1.0</v>
      </c>
    </row>
    <row r="12">
      <c r="A12" s="26" t="s">
        <v>54</v>
      </c>
      <c r="B12" s="27">
        <v>43919.0</v>
      </c>
      <c r="C12" s="26">
        <v>4.0</v>
      </c>
      <c r="AQ12" s="26">
        <v>2.0</v>
      </c>
    </row>
    <row r="13">
      <c r="A13" s="26" t="s">
        <v>54</v>
      </c>
      <c r="B13" s="27">
        <v>43920.0</v>
      </c>
      <c r="C13" s="26">
        <v>5.0</v>
      </c>
      <c r="AQ13" s="26">
        <v>2.0</v>
      </c>
    </row>
    <row r="14">
      <c r="A14" s="26" t="s">
        <v>54</v>
      </c>
      <c r="B14" s="27">
        <v>43922.0</v>
      </c>
      <c r="C14" s="26">
        <v>1.0</v>
      </c>
      <c r="O14" s="26">
        <v>4.0</v>
      </c>
      <c r="AQ14" s="26">
        <v>3.0</v>
      </c>
    </row>
    <row r="15">
      <c r="A15" s="26" t="s">
        <v>54</v>
      </c>
      <c r="B15" s="27">
        <v>43923.0</v>
      </c>
      <c r="AQ15" s="26">
        <v>3.0</v>
      </c>
    </row>
    <row r="16">
      <c r="A16" s="26" t="s">
        <v>54</v>
      </c>
      <c r="B16" s="27">
        <v>43924.0</v>
      </c>
      <c r="AQ16" s="26">
        <v>1.0</v>
      </c>
    </row>
    <row r="17">
      <c r="A17" s="26" t="s">
        <v>55</v>
      </c>
      <c r="B17" s="27">
        <v>43919.0</v>
      </c>
    </row>
    <row r="18">
      <c r="A18" s="26" t="s">
        <v>55</v>
      </c>
      <c r="B18" s="27">
        <v>43920.0</v>
      </c>
    </row>
    <row r="19">
      <c r="A19" s="26" t="s">
        <v>55</v>
      </c>
      <c r="B19" s="27">
        <v>43922.0</v>
      </c>
      <c r="D19" s="26">
        <v>4.0</v>
      </c>
      <c r="H19" s="26">
        <v>1.0</v>
      </c>
      <c r="I19" s="26">
        <v>3.0</v>
      </c>
      <c r="K19" s="26">
        <v>1.0</v>
      </c>
      <c r="M19" s="26">
        <v>1.0</v>
      </c>
      <c r="N19" s="26">
        <v>4.0</v>
      </c>
      <c r="O19" s="26">
        <v>1.0</v>
      </c>
      <c r="P19" s="26">
        <v>3.0</v>
      </c>
      <c r="R19" s="26">
        <v>4.0</v>
      </c>
      <c r="S19" s="26">
        <v>5.0</v>
      </c>
      <c r="T19" s="26">
        <v>1.0</v>
      </c>
      <c r="U19" s="26">
        <v>3.0</v>
      </c>
      <c r="V19" s="26">
        <v>1.0</v>
      </c>
      <c r="W19" s="26">
        <v>1.0</v>
      </c>
      <c r="X19" s="26">
        <v>5.0</v>
      </c>
      <c r="Y19" s="26">
        <v>1.0</v>
      </c>
      <c r="AB19" s="26">
        <v>3.0</v>
      </c>
      <c r="AD19" s="26">
        <v>5.0</v>
      </c>
      <c r="AE19" s="26">
        <v>4.0</v>
      </c>
      <c r="AF19" s="26">
        <v>4.0</v>
      </c>
      <c r="AI19" s="26">
        <v>1.0</v>
      </c>
      <c r="AK19" s="26">
        <v>4.0</v>
      </c>
      <c r="AO19" s="26">
        <v>3.0</v>
      </c>
    </row>
    <row r="20">
      <c r="A20" s="26" t="s">
        <v>55</v>
      </c>
      <c r="B20" s="27">
        <v>43923.0</v>
      </c>
    </row>
    <row r="21">
      <c r="A21" s="26" t="s">
        <v>55</v>
      </c>
      <c r="B21" s="27">
        <v>43924.0</v>
      </c>
      <c r="C21" s="26">
        <v>1.0</v>
      </c>
      <c r="E21" s="26">
        <v>1.0</v>
      </c>
      <c r="T21" s="26">
        <v>1.0</v>
      </c>
      <c r="AK21" s="26">
        <v>4.0</v>
      </c>
      <c r="AQ21" s="26">
        <v>4.0</v>
      </c>
    </row>
    <row r="22">
      <c r="A22" s="26" t="s">
        <v>56</v>
      </c>
      <c r="B22" s="27">
        <v>43919.0</v>
      </c>
    </row>
    <row r="23">
      <c r="A23" s="26" t="s">
        <v>56</v>
      </c>
      <c r="B23" s="27">
        <v>43920.0</v>
      </c>
    </row>
    <row r="24">
      <c r="A24" s="26" t="s">
        <v>56</v>
      </c>
      <c r="B24" s="27">
        <v>43922.0</v>
      </c>
      <c r="E24" s="26">
        <v>3.0</v>
      </c>
      <c r="K24" s="26">
        <v>4.0</v>
      </c>
      <c r="P24" s="26">
        <v>3.0</v>
      </c>
      <c r="Q24" s="26">
        <v>3.0</v>
      </c>
      <c r="R24" s="26">
        <v>3.0</v>
      </c>
      <c r="S24" s="26">
        <v>3.0</v>
      </c>
      <c r="Z24" s="26">
        <v>4.0</v>
      </c>
      <c r="AQ24" s="26">
        <v>5.0</v>
      </c>
    </row>
    <row r="25">
      <c r="A25" s="26" t="s">
        <v>56</v>
      </c>
      <c r="B25" s="27">
        <v>43923.0</v>
      </c>
      <c r="L25" s="26">
        <v>3.0</v>
      </c>
    </row>
    <row r="26">
      <c r="A26" s="26" t="s">
        <v>56</v>
      </c>
      <c r="B26" s="27">
        <v>43924.0</v>
      </c>
      <c r="I26" s="26">
        <v>5.0</v>
      </c>
      <c r="U26" s="26">
        <v>4.0</v>
      </c>
      <c r="V26" s="26">
        <v>5.0</v>
      </c>
      <c r="X26" s="26">
        <v>5.0</v>
      </c>
      <c r="Y26" s="26">
        <v>1.0</v>
      </c>
      <c r="AC26" s="26">
        <v>3.0</v>
      </c>
      <c r="AE26" s="26">
        <v>3.0</v>
      </c>
      <c r="AF26" s="26">
        <v>1.0</v>
      </c>
    </row>
    <row r="27">
      <c r="A27" s="26" t="s">
        <v>57</v>
      </c>
      <c r="B27" s="27">
        <v>43919.0</v>
      </c>
      <c r="K27" s="26">
        <v>5.0</v>
      </c>
      <c r="AJ27" s="26">
        <v>3.0</v>
      </c>
    </row>
    <row r="28">
      <c r="A28" s="26" t="s">
        <v>57</v>
      </c>
      <c r="B28" s="27">
        <v>43920.0</v>
      </c>
      <c r="K28" s="26">
        <v>4.0</v>
      </c>
      <c r="AJ28" s="26">
        <v>2.0</v>
      </c>
    </row>
    <row r="29">
      <c r="A29" s="26" t="s">
        <v>57</v>
      </c>
      <c r="B29" s="27">
        <v>43922.0</v>
      </c>
      <c r="K29" s="26">
        <v>4.0</v>
      </c>
      <c r="AJ29" s="26">
        <v>3.0</v>
      </c>
    </row>
    <row r="30">
      <c r="A30" s="26" t="s">
        <v>57</v>
      </c>
      <c r="B30" s="27">
        <v>43923.0</v>
      </c>
      <c r="K30" s="26">
        <v>3.0</v>
      </c>
      <c r="AJ30" s="26">
        <v>1.0</v>
      </c>
    </row>
    <row r="31">
      <c r="A31" s="26" t="s">
        <v>57</v>
      </c>
      <c r="B31" s="27">
        <v>43924.0</v>
      </c>
      <c r="C31" s="26">
        <v>4.0</v>
      </c>
      <c r="D31" s="26">
        <v>4.0</v>
      </c>
      <c r="K31" s="26">
        <v>1.0</v>
      </c>
      <c r="AJ31" s="26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9</v>
      </c>
      <c r="B1" s="26" t="s">
        <v>10</v>
      </c>
      <c r="C1" s="26" t="s">
        <v>58</v>
      </c>
      <c r="D1" s="26" t="s">
        <v>59</v>
      </c>
      <c r="E1" s="26" t="s">
        <v>60</v>
      </c>
    </row>
    <row r="2">
      <c r="A2" s="26" t="s">
        <v>52</v>
      </c>
      <c r="B2" s="27">
        <v>43920.0</v>
      </c>
      <c r="C2" s="26" t="s">
        <v>27</v>
      </c>
      <c r="D2" s="26" t="s">
        <v>61</v>
      </c>
      <c r="E2" s="26">
        <v>3.0</v>
      </c>
    </row>
    <row r="3">
      <c r="A3" s="26" t="s">
        <v>52</v>
      </c>
      <c r="B3" s="27">
        <v>43920.0</v>
      </c>
      <c r="C3" s="26" t="s">
        <v>28</v>
      </c>
      <c r="D3" s="26" t="s">
        <v>61</v>
      </c>
      <c r="E3" s="26">
        <v>2.0</v>
      </c>
    </row>
    <row r="4">
      <c r="A4" s="26" t="s">
        <v>52</v>
      </c>
      <c r="B4" s="27">
        <v>43920.0</v>
      </c>
      <c r="C4" s="26" t="s">
        <v>30</v>
      </c>
      <c r="D4" s="26" t="s">
        <v>61</v>
      </c>
      <c r="E4" s="26">
        <v>1.0</v>
      </c>
    </row>
    <row r="5">
      <c r="A5" s="26" t="s">
        <v>52</v>
      </c>
      <c r="B5" s="27">
        <v>43921.0</v>
      </c>
      <c r="C5" s="26" t="s">
        <v>27</v>
      </c>
      <c r="D5" s="26" t="s">
        <v>61</v>
      </c>
      <c r="E5" s="26">
        <v>5.0</v>
      </c>
    </row>
    <row r="6">
      <c r="A6" s="26" t="s">
        <v>52</v>
      </c>
      <c r="B6" s="27">
        <v>43921.0</v>
      </c>
      <c r="C6" s="26" t="s">
        <v>28</v>
      </c>
      <c r="D6" s="26" t="s">
        <v>61</v>
      </c>
      <c r="E6" s="26">
        <v>1.0</v>
      </c>
    </row>
    <row r="7">
      <c r="A7" s="26" t="s">
        <v>52</v>
      </c>
      <c r="B7" s="27">
        <v>43921.0</v>
      </c>
      <c r="C7" s="26" t="s">
        <v>30</v>
      </c>
      <c r="D7" s="26" t="s">
        <v>61</v>
      </c>
      <c r="E7" s="26">
        <v>1.0</v>
      </c>
    </row>
    <row r="8">
      <c r="A8" s="26" t="s">
        <v>52</v>
      </c>
      <c r="B8" s="27">
        <v>43922.0</v>
      </c>
      <c r="C8" s="26" t="s">
        <v>27</v>
      </c>
      <c r="D8" s="26" t="s">
        <v>61</v>
      </c>
      <c r="E8" s="26">
        <v>3.0</v>
      </c>
    </row>
    <row r="9">
      <c r="A9" s="26" t="s">
        <v>52</v>
      </c>
      <c r="B9" s="27">
        <v>43922.0</v>
      </c>
      <c r="C9" s="26" t="s">
        <v>28</v>
      </c>
      <c r="D9" s="26" t="s">
        <v>61</v>
      </c>
      <c r="E9" s="26">
        <v>1.0</v>
      </c>
    </row>
    <row r="10">
      <c r="A10" s="26" t="s">
        <v>53</v>
      </c>
      <c r="B10" s="27">
        <v>43919.0</v>
      </c>
      <c r="C10" s="26" t="s">
        <v>22</v>
      </c>
      <c r="D10" s="26" t="s">
        <v>61</v>
      </c>
      <c r="E10" s="26">
        <v>7.0</v>
      </c>
    </row>
    <row r="11">
      <c r="A11" s="26" t="s">
        <v>53</v>
      </c>
      <c r="B11" s="27">
        <v>43920.0</v>
      </c>
      <c r="C11" s="26" t="s">
        <v>22</v>
      </c>
      <c r="D11" s="26" t="s">
        <v>61</v>
      </c>
      <c r="E11" s="26">
        <v>6.0</v>
      </c>
    </row>
    <row r="12">
      <c r="A12" s="26" t="s">
        <v>53</v>
      </c>
      <c r="B12" s="27">
        <v>43922.0</v>
      </c>
      <c r="C12" s="26" t="s">
        <v>22</v>
      </c>
      <c r="D12" s="26" t="s">
        <v>61</v>
      </c>
      <c r="E12" s="26">
        <v>4.0</v>
      </c>
    </row>
    <row r="13">
      <c r="A13" s="26" t="s">
        <v>53</v>
      </c>
      <c r="B13" s="27">
        <v>43922.0</v>
      </c>
      <c r="C13" s="26" t="s">
        <v>24</v>
      </c>
      <c r="D13" s="26" t="s">
        <v>61</v>
      </c>
      <c r="E13" s="26">
        <v>3.0</v>
      </c>
    </row>
    <row r="14">
      <c r="A14" s="26" t="s">
        <v>54</v>
      </c>
      <c r="B14" s="27">
        <v>43919.0</v>
      </c>
      <c r="C14" s="26" t="s">
        <v>17</v>
      </c>
      <c r="D14" s="26" t="s">
        <v>61</v>
      </c>
      <c r="E14" s="26">
        <v>2.0</v>
      </c>
    </row>
    <row r="15">
      <c r="A15" s="26" t="s">
        <v>54</v>
      </c>
      <c r="B15" s="27">
        <v>43919.0</v>
      </c>
      <c r="C15" s="26" t="s">
        <v>38</v>
      </c>
      <c r="D15" s="26" t="s">
        <v>61</v>
      </c>
      <c r="E15" s="26">
        <v>6.0</v>
      </c>
    </row>
    <row r="16">
      <c r="A16" s="26" t="s">
        <v>54</v>
      </c>
      <c r="B16" s="27">
        <v>43919.0</v>
      </c>
      <c r="C16" s="26" t="s">
        <v>41</v>
      </c>
      <c r="D16" s="26" t="s">
        <v>61</v>
      </c>
      <c r="E16" s="26">
        <v>1.0</v>
      </c>
    </row>
    <row r="17">
      <c r="A17" s="26" t="s">
        <v>54</v>
      </c>
      <c r="B17" s="27">
        <v>43920.0</v>
      </c>
      <c r="C17" s="26" t="s">
        <v>38</v>
      </c>
      <c r="D17" s="26" t="s">
        <v>61</v>
      </c>
      <c r="E17" s="26">
        <v>6.0</v>
      </c>
    </row>
    <row r="18">
      <c r="A18" s="26" t="s">
        <v>54</v>
      </c>
      <c r="B18" s="27">
        <v>43921.0</v>
      </c>
      <c r="C18" s="26" t="s">
        <v>38</v>
      </c>
      <c r="D18" s="26" t="s">
        <v>61</v>
      </c>
      <c r="E18" s="26">
        <v>7.0</v>
      </c>
    </row>
    <row r="19">
      <c r="A19" s="26" t="s">
        <v>54</v>
      </c>
      <c r="B19" s="27">
        <v>43921.0</v>
      </c>
      <c r="C19" s="26" t="s">
        <v>41</v>
      </c>
      <c r="D19" s="26" t="s">
        <v>61</v>
      </c>
      <c r="E19" s="26">
        <v>2.0</v>
      </c>
    </row>
    <row r="20">
      <c r="A20" s="26" t="s">
        <v>54</v>
      </c>
      <c r="B20" s="27">
        <v>43921.0</v>
      </c>
      <c r="C20" s="26" t="s">
        <v>51</v>
      </c>
      <c r="D20" s="26" t="s">
        <v>61</v>
      </c>
      <c r="E20" s="26">
        <v>2.0</v>
      </c>
    </row>
    <row r="21">
      <c r="A21" s="26" t="s">
        <v>54</v>
      </c>
      <c r="B21" s="27">
        <v>43921.0</v>
      </c>
      <c r="C21" s="26" t="s">
        <v>11</v>
      </c>
      <c r="D21" s="26" t="s">
        <v>61</v>
      </c>
      <c r="E21" s="26">
        <v>3.0</v>
      </c>
    </row>
    <row r="22">
      <c r="A22" s="26" t="s">
        <v>54</v>
      </c>
      <c r="B22" s="27">
        <v>43922.0</v>
      </c>
      <c r="C22" s="26" t="s">
        <v>38</v>
      </c>
      <c r="D22" s="26" t="s">
        <v>61</v>
      </c>
      <c r="E22" s="26">
        <v>5.0</v>
      </c>
    </row>
    <row r="23">
      <c r="A23" s="26" t="s">
        <v>54</v>
      </c>
      <c r="B23" s="27">
        <v>43922.0</v>
      </c>
      <c r="C23" s="26" t="s">
        <v>41</v>
      </c>
      <c r="D23" s="26" t="s">
        <v>61</v>
      </c>
      <c r="E23" s="26">
        <v>1.0</v>
      </c>
    </row>
    <row r="24">
      <c r="A24" s="26" t="s">
        <v>54</v>
      </c>
      <c r="B24" s="27">
        <v>43922.0</v>
      </c>
      <c r="C24" s="26" t="s">
        <v>11</v>
      </c>
      <c r="D24" s="26" t="s">
        <v>61</v>
      </c>
      <c r="E24" s="26">
        <v>1.0</v>
      </c>
    </row>
    <row r="25">
      <c r="A25" s="26" t="s">
        <v>55</v>
      </c>
      <c r="B25" s="27">
        <v>43919.0</v>
      </c>
      <c r="C25" s="26" t="s">
        <v>44</v>
      </c>
      <c r="D25" s="26" t="s">
        <v>61</v>
      </c>
      <c r="E25" s="26">
        <v>4.0</v>
      </c>
    </row>
    <row r="26">
      <c r="A26" s="26" t="s">
        <v>55</v>
      </c>
      <c r="B26" s="27">
        <v>43919.0</v>
      </c>
      <c r="C26" s="26" t="s">
        <v>45</v>
      </c>
      <c r="D26" s="26" t="s">
        <v>61</v>
      </c>
      <c r="E26" s="26">
        <v>4.0</v>
      </c>
    </row>
    <row r="27">
      <c r="A27" s="26" t="s">
        <v>55</v>
      </c>
      <c r="B27" s="27">
        <v>43919.0</v>
      </c>
      <c r="C27" s="26" t="s">
        <v>49</v>
      </c>
      <c r="D27" s="26" t="s">
        <v>61</v>
      </c>
      <c r="E27" s="26">
        <v>4.0</v>
      </c>
    </row>
    <row r="28">
      <c r="A28" s="26" t="s">
        <v>55</v>
      </c>
      <c r="B28" s="27">
        <v>43919.0</v>
      </c>
      <c r="C28" s="26" t="s">
        <v>50</v>
      </c>
      <c r="D28" s="26" t="s">
        <v>61</v>
      </c>
      <c r="E28" s="26">
        <v>4.0</v>
      </c>
    </row>
    <row r="29">
      <c r="A29" s="26" t="s">
        <v>55</v>
      </c>
      <c r="B29" s="27">
        <v>43920.0</v>
      </c>
      <c r="C29" s="26" t="s">
        <v>44</v>
      </c>
      <c r="D29" s="26" t="s">
        <v>61</v>
      </c>
      <c r="E29" s="26">
        <v>2.0</v>
      </c>
    </row>
    <row r="30">
      <c r="A30" s="26" t="s">
        <v>55</v>
      </c>
      <c r="B30" s="27">
        <v>43920.0</v>
      </c>
      <c r="C30" s="26" t="s">
        <v>45</v>
      </c>
      <c r="D30" s="26" t="s">
        <v>61</v>
      </c>
      <c r="E30" s="26">
        <v>2.0</v>
      </c>
    </row>
    <row r="31">
      <c r="A31" s="26" t="s">
        <v>55</v>
      </c>
      <c r="B31" s="27">
        <v>43920.0</v>
      </c>
      <c r="C31" s="26" t="s">
        <v>49</v>
      </c>
      <c r="D31" s="26" t="s">
        <v>61</v>
      </c>
      <c r="E31" s="26">
        <v>3.0</v>
      </c>
    </row>
    <row r="32">
      <c r="A32" s="26" t="s">
        <v>55</v>
      </c>
      <c r="B32" s="27">
        <v>43920.0</v>
      </c>
      <c r="C32" s="26" t="s">
        <v>50</v>
      </c>
      <c r="D32" s="26" t="s">
        <v>61</v>
      </c>
      <c r="E32" s="26">
        <v>3.0</v>
      </c>
    </row>
    <row r="33">
      <c r="A33" s="26" t="s">
        <v>55</v>
      </c>
      <c r="B33" s="27">
        <v>43922.0</v>
      </c>
      <c r="C33" s="26" t="s">
        <v>44</v>
      </c>
      <c r="D33" s="26" t="s">
        <v>61</v>
      </c>
      <c r="E33" s="26">
        <v>1.0</v>
      </c>
    </row>
    <row r="34">
      <c r="A34" s="26" t="s">
        <v>57</v>
      </c>
      <c r="B34" s="27">
        <v>43919.0</v>
      </c>
      <c r="C34" s="26" t="s">
        <v>40</v>
      </c>
      <c r="D34" s="26" t="s">
        <v>61</v>
      </c>
      <c r="E34" s="26">
        <v>2.0</v>
      </c>
    </row>
    <row r="35">
      <c r="A35" s="26" t="s">
        <v>57</v>
      </c>
      <c r="B35" s="27">
        <v>43922.0</v>
      </c>
      <c r="C35" s="26" t="s">
        <v>47</v>
      </c>
      <c r="D35" s="26" t="s">
        <v>61</v>
      </c>
      <c r="E35" s="26">
        <v>8.0</v>
      </c>
    </row>
    <row r="36">
      <c r="A36" s="26" t="s">
        <v>57</v>
      </c>
      <c r="B36" s="27">
        <v>43922.0</v>
      </c>
      <c r="C36" s="26" t="s">
        <v>42</v>
      </c>
      <c r="D36" s="26" t="s">
        <v>61</v>
      </c>
      <c r="E36" s="26">
        <v>8.0</v>
      </c>
    </row>
    <row r="37">
      <c r="A37" s="26" t="s">
        <v>56</v>
      </c>
      <c r="B37" s="27">
        <v>43919.0</v>
      </c>
      <c r="C37" s="26" t="s">
        <v>38</v>
      </c>
      <c r="D37" s="26" t="s">
        <v>61</v>
      </c>
      <c r="E37" s="26">
        <v>9.0</v>
      </c>
    </row>
    <row r="38">
      <c r="A38" s="26" t="s">
        <v>56</v>
      </c>
      <c r="B38" s="27">
        <v>43920.0</v>
      </c>
      <c r="C38" s="26" t="s">
        <v>38</v>
      </c>
      <c r="D38" s="26" t="s">
        <v>61</v>
      </c>
      <c r="E38" s="26">
        <v>8.0</v>
      </c>
    </row>
    <row r="39">
      <c r="A39" s="26" t="s">
        <v>56</v>
      </c>
      <c r="B39" s="27">
        <v>43922.0</v>
      </c>
      <c r="C39" s="26" t="s">
        <v>38</v>
      </c>
      <c r="D39" s="26" t="s">
        <v>61</v>
      </c>
      <c r="E39" s="26">
        <v>5.0</v>
      </c>
    </row>
    <row r="40">
      <c r="A40" s="26" t="s">
        <v>56</v>
      </c>
      <c r="B40" s="27">
        <v>43923.0</v>
      </c>
      <c r="C40" s="26" t="s">
        <v>38</v>
      </c>
      <c r="D40" s="26" t="s">
        <v>61</v>
      </c>
      <c r="E40" s="26">
        <v>6.0</v>
      </c>
    </row>
    <row r="41">
      <c r="A41" s="26" t="s">
        <v>56</v>
      </c>
      <c r="B41" s="27">
        <v>43924.0</v>
      </c>
      <c r="C41" s="26" t="s">
        <v>38</v>
      </c>
      <c r="D41" s="26" t="s">
        <v>61</v>
      </c>
      <c r="E41" s="26">
        <v>3.0</v>
      </c>
    </row>
    <row r="42">
      <c r="B42" s="27"/>
    </row>
    <row r="43">
      <c r="B43" s="27"/>
    </row>
    <row r="44">
      <c r="B44" s="27"/>
    </row>
    <row r="45">
      <c r="B45" s="27"/>
    </row>
    <row r="46">
      <c r="B46" s="27"/>
      <c r="E46" s="28"/>
    </row>
    <row r="47">
      <c r="B47" s="2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4" width="12.63"/>
  </cols>
  <sheetData>
    <row r="2">
      <c r="A2" s="29"/>
      <c r="F2" s="26" t="s">
        <v>62</v>
      </c>
      <c r="G2" s="26" t="s">
        <v>63</v>
      </c>
      <c r="H2" s="26" t="s">
        <v>64</v>
      </c>
      <c r="I2" s="26" t="s">
        <v>65</v>
      </c>
      <c r="J2" s="26" t="s">
        <v>66</v>
      </c>
      <c r="K2" s="26" t="s">
        <v>67</v>
      </c>
    </row>
    <row r="3">
      <c r="F3" s="26" t="str">
        <f t="array" ref="F3:F43">TRANSPOSE(BodyMapData_1!C1:AQ1)</f>
        <v>Head</v>
      </c>
      <c r="G3" s="26">
        <v>21.5</v>
      </c>
      <c r="H3" s="26">
        <v>95.0</v>
      </c>
      <c r="I3" s="30">
        <f t="array" ref="I3">INDEX(BodyMapData_1!$A:$AQ,MATCH(1,(Dashboard_1!$B$3=BodyMapData_1!$A:$A)*(Dashboard_1!$B$4=BodyMapData_1!$B:$B),0),MATCH($F3,BodyMapData_1!$A$1:$AQ$1,0))</f>
        <v>1</v>
      </c>
      <c r="J3" s="30">
        <f t="shared" ref="J3:K3" si="1">IF($I3="","",G3)</f>
        <v>21.5</v>
      </c>
      <c r="K3" s="30">
        <f t="shared" si="1"/>
        <v>95</v>
      </c>
    </row>
    <row r="4">
      <c r="F4" s="30" t="s">
        <v>12</v>
      </c>
      <c r="G4" s="26">
        <v>21.5</v>
      </c>
      <c r="H4" s="26">
        <v>83.0</v>
      </c>
      <c r="I4" s="30" t="str">
        <f t="array" ref="I4">INDEX(BodyMapData_1!$A:$AQ,MATCH(1,(Dashboard_1!$B$3=BodyMapData_1!$A:$A)*(Dashboard_1!$B$4=BodyMapData_1!$B:$B),0),MATCH($F4,BodyMapData_1!$A$1:$AQ$1,0))</f>
        <v/>
      </c>
      <c r="J4" s="30" t="str">
        <f t="shared" ref="J4:K4" si="2">IF($I4="","",G4)</f>
        <v/>
      </c>
      <c r="K4" s="30" t="str">
        <f t="shared" si="2"/>
        <v/>
      </c>
    </row>
    <row r="5">
      <c r="F5" s="30" t="s">
        <v>13</v>
      </c>
      <c r="G5" s="26">
        <v>72.0</v>
      </c>
      <c r="H5" s="26">
        <v>88.0</v>
      </c>
      <c r="I5" s="30" t="str">
        <f t="array" ref="I5">INDEX(BodyMapData_1!$A:$AQ,MATCH(1,(Dashboard_1!$B$3=BodyMapData_1!$A:$A)*(Dashboard_1!$B$4=BodyMapData_1!$B:$B),0),MATCH($F5,BodyMapData_1!$A$1:$AQ$1,0))</f>
        <v/>
      </c>
      <c r="J5" s="30" t="str">
        <f t="shared" ref="J5:K5" si="3">IF($I5="","",G5)</f>
        <v/>
      </c>
      <c r="K5" s="30" t="str">
        <f t="shared" si="3"/>
        <v/>
      </c>
    </row>
    <row r="6">
      <c r="F6" s="30" t="s">
        <v>14</v>
      </c>
      <c r="G6" s="26">
        <v>32.0</v>
      </c>
      <c r="H6" s="26">
        <v>80.0</v>
      </c>
      <c r="I6" s="30" t="str">
        <f t="array" ref="I6">INDEX(BodyMapData_1!$A:$AQ,MATCH(1,(Dashboard_1!$B$3=BodyMapData_1!$A:$A)*(Dashboard_1!$B$4=BodyMapData_1!$B:$B),0),MATCH($F6,BodyMapData_1!$A$1:$AQ$1,0))</f>
        <v/>
      </c>
      <c r="J6" s="30" t="str">
        <f t="shared" ref="J6:K6" si="4">IF($I6="","",G6)</f>
        <v/>
      </c>
      <c r="K6" s="30" t="str">
        <f t="shared" si="4"/>
        <v/>
      </c>
    </row>
    <row r="7">
      <c r="F7" s="30" t="s">
        <v>15</v>
      </c>
      <c r="G7" s="26">
        <v>33.0</v>
      </c>
      <c r="H7" s="26">
        <v>72.0</v>
      </c>
      <c r="I7" s="30" t="str">
        <f t="array" ref="I7">INDEX(BodyMapData_1!$A:$AQ,MATCH(1,(Dashboard_1!$B$3=BodyMapData_1!$A:$A)*(Dashboard_1!$B$4=BodyMapData_1!$B:$B),0),MATCH($F7,BodyMapData_1!$A$1:$AQ$1,0))</f>
        <v/>
      </c>
      <c r="J7" s="30" t="str">
        <f t="shared" ref="J7:K7" si="5">IF($I7="","",G7)</f>
        <v/>
      </c>
      <c r="K7" s="30" t="str">
        <f t="shared" si="5"/>
        <v/>
      </c>
    </row>
    <row r="8">
      <c r="F8" s="30" t="s">
        <v>16</v>
      </c>
      <c r="G8" s="26">
        <v>34.0</v>
      </c>
      <c r="H8" s="26">
        <v>65.0</v>
      </c>
      <c r="I8" s="30" t="str">
        <f t="array" ref="I8">INDEX(BodyMapData_1!$A:$AQ,MATCH(1,(Dashboard_1!$B$3=BodyMapData_1!$A:$A)*(Dashboard_1!$B$4=BodyMapData_1!$B:$B),0),MATCH($F8,BodyMapData_1!$A$1:$AQ$1,0))</f>
        <v/>
      </c>
      <c r="J8" s="30" t="str">
        <f t="shared" ref="J8:K8" si="6">IF($I8="","",G8)</f>
        <v/>
      </c>
      <c r="K8" s="30" t="str">
        <f t="shared" si="6"/>
        <v/>
      </c>
    </row>
    <row r="9">
      <c r="F9" s="30" t="s">
        <v>17</v>
      </c>
      <c r="G9" s="26">
        <v>36.0</v>
      </c>
      <c r="H9" s="26">
        <v>58.0</v>
      </c>
      <c r="I9" s="30" t="str">
        <f t="array" ref="I9">INDEX(BodyMapData_1!$A:$AQ,MATCH(1,(Dashboard_1!$B$3=BodyMapData_1!$A:$A)*(Dashboard_1!$B$4=BodyMapData_1!$B:$B),0),MATCH($F9,BodyMapData_1!$A$1:$AQ$1,0))</f>
        <v/>
      </c>
      <c r="J9" s="30" t="str">
        <f t="shared" ref="J9:K9" si="7">IF($I9="","",G9)</f>
        <v/>
      </c>
      <c r="K9" s="30" t="str">
        <f t="shared" si="7"/>
        <v/>
      </c>
    </row>
    <row r="10">
      <c r="F10" s="30" t="s">
        <v>18</v>
      </c>
      <c r="G10" s="26">
        <v>88.0</v>
      </c>
      <c r="H10" s="26">
        <v>53.0</v>
      </c>
      <c r="I10" s="30" t="str">
        <f t="array" ref="I10">INDEX(BodyMapData_1!$A:$AQ,MATCH(1,(Dashboard_1!$B$3=BodyMapData_1!$A:$A)*(Dashboard_1!$B$4=BodyMapData_1!$B:$B),0),MATCH($F10,BodyMapData_1!$A$1:$AQ$1,0))</f>
        <v/>
      </c>
      <c r="J10" s="30" t="str">
        <f t="shared" ref="J10:K10" si="8">IF($I10="","",G10)</f>
        <v/>
      </c>
      <c r="K10" s="30" t="str">
        <f t="shared" si="8"/>
        <v/>
      </c>
    </row>
    <row r="11">
      <c r="F11" s="30" t="s">
        <v>19</v>
      </c>
      <c r="G11" s="26">
        <v>39.0</v>
      </c>
      <c r="H11" s="26">
        <v>49.0</v>
      </c>
      <c r="I11" s="30" t="str">
        <f t="array" ref="I11">INDEX(BodyMapData_1!$A:$AQ,MATCH(1,(Dashboard_1!$B$3=BodyMapData_1!$A:$A)*(Dashboard_1!$B$4=BodyMapData_1!$B:$B),0),MATCH($F11,BodyMapData_1!$A$1:$AQ$1,0))</f>
        <v/>
      </c>
      <c r="J11" s="30" t="str">
        <f t="shared" ref="J11:K11" si="9">IF($I11="","",G11)</f>
        <v/>
      </c>
      <c r="K11" s="30" t="str">
        <f t="shared" si="9"/>
        <v/>
      </c>
    </row>
    <row r="12">
      <c r="F12" s="30" t="s">
        <v>20</v>
      </c>
      <c r="G12" s="26">
        <v>11.0</v>
      </c>
      <c r="H12" s="26">
        <v>80.0</v>
      </c>
      <c r="I12" s="30" t="str">
        <f t="array" ref="I12">INDEX(BodyMapData_1!$A:$AQ,MATCH(1,(Dashboard_1!$B$3=BodyMapData_1!$A:$A)*(Dashboard_1!$B$4=BodyMapData_1!$B:$B),0),MATCH($F12,BodyMapData_1!$A$1:$AQ$1,0))</f>
        <v/>
      </c>
      <c r="J12" s="30" t="str">
        <f t="shared" ref="J12:K12" si="10">IF($I12="","",G12)</f>
        <v/>
      </c>
      <c r="K12" s="30" t="str">
        <f t="shared" si="10"/>
        <v/>
      </c>
    </row>
    <row r="13">
      <c r="F13" s="30" t="s">
        <v>21</v>
      </c>
      <c r="G13" s="26">
        <v>10.0</v>
      </c>
      <c r="H13" s="26">
        <v>72.0</v>
      </c>
      <c r="I13" s="30" t="str">
        <f t="array" ref="I13">INDEX(BodyMapData_1!$A:$AQ,MATCH(1,(Dashboard_1!$B$3=BodyMapData_1!$A:$A)*(Dashboard_1!$B$4=BodyMapData_1!$B:$B),0),MATCH($F13,BodyMapData_1!$A$1:$AQ$1,0))</f>
        <v/>
      </c>
      <c r="J13" s="30" t="str">
        <f t="shared" ref="J13:K13" si="11">IF($I13="","",G13)</f>
        <v/>
      </c>
      <c r="K13" s="30" t="str">
        <f t="shared" si="11"/>
        <v/>
      </c>
    </row>
    <row r="14">
      <c r="F14" s="30" t="s">
        <v>22</v>
      </c>
      <c r="G14" s="26">
        <v>9.0</v>
      </c>
      <c r="H14" s="26">
        <v>65.0</v>
      </c>
      <c r="I14" s="30" t="str">
        <f t="array" ref="I14">INDEX(BodyMapData_1!$A:$AQ,MATCH(1,(Dashboard_1!$B$3=BodyMapData_1!$A:$A)*(Dashboard_1!$B$4=BodyMapData_1!$B:$B),0),MATCH($F14,BodyMapData_1!$A$1:$AQ$1,0))</f>
        <v/>
      </c>
      <c r="J14" s="30" t="str">
        <f t="shared" ref="J14:K14" si="12">IF($I14="","",G14)</f>
        <v/>
      </c>
      <c r="K14" s="30" t="str">
        <f t="shared" si="12"/>
        <v/>
      </c>
    </row>
    <row r="15">
      <c r="F15" s="30" t="s">
        <v>23</v>
      </c>
      <c r="G15" s="26">
        <v>7.0</v>
      </c>
      <c r="H15" s="26">
        <v>58.0</v>
      </c>
      <c r="I15" s="30">
        <f t="array" ref="I15">INDEX(BodyMapData_1!$A:$AQ,MATCH(1,(Dashboard_1!$B$3=BodyMapData_1!$A:$A)*(Dashboard_1!$B$4=BodyMapData_1!$B:$B),0),MATCH($F15,BodyMapData_1!$A$1:$AQ$1,0))</f>
        <v>4</v>
      </c>
      <c r="J15" s="30">
        <f t="shared" ref="J15:K15" si="13">IF($I15="","",G15)</f>
        <v>7</v>
      </c>
      <c r="K15" s="30">
        <f t="shared" si="13"/>
        <v>58</v>
      </c>
    </row>
    <row r="16">
      <c r="F16" s="30" t="s">
        <v>24</v>
      </c>
      <c r="G16" s="26">
        <v>56.0</v>
      </c>
      <c r="H16" s="26">
        <v>53.0</v>
      </c>
      <c r="I16" s="30" t="str">
        <f t="array" ref="I16">INDEX(BodyMapData_1!$A:$AQ,MATCH(1,(Dashboard_1!$B$3=BodyMapData_1!$A:$A)*(Dashboard_1!$B$4=BodyMapData_1!$B:$B),0),MATCH($F16,BodyMapData_1!$A$1:$AQ$1,0))</f>
        <v/>
      </c>
      <c r="J16" s="30" t="str">
        <f t="shared" ref="J16:K16" si="14">IF($I16="","",G16)</f>
        <v/>
      </c>
      <c r="K16" s="30" t="str">
        <f t="shared" si="14"/>
        <v/>
      </c>
    </row>
    <row r="17">
      <c r="F17" s="30" t="s">
        <v>25</v>
      </c>
      <c r="G17" s="26">
        <v>4.0</v>
      </c>
      <c r="H17" s="26">
        <v>49.0</v>
      </c>
      <c r="I17" s="30" t="str">
        <f t="array" ref="I17">INDEX(BodyMapData_1!$A:$AQ,MATCH(1,(Dashboard_1!$B$3=BodyMapData_1!$A:$A)*(Dashboard_1!$B$4=BodyMapData_1!$B:$B),0),MATCH($F17,BodyMapData_1!$A$1:$AQ$1,0))</f>
        <v/>
      </c>
      <c r="J17" s="30" t="str">
        <f t="shared" ref="J17:K17" si="15">IF($I17="","",G17)</f>
        <v/>
      </c>
      <c r="K17" s="30" t="str">
        <f t="shared" si="15"/>
        <v/>
      </c>
    </row>
    <row r="18">
      <c r="F18" s="30" t="s">
        <v>26</v>
      </c>
      <c r="G18" s="26">
        <v>25.0</v>
      </c>
      <c r="H18" s="26">
        <v>75.0</v>
      </c>
      <c r="I18" s="30" t="str">
        <f t="array" ref="I18">INDEX(BodyMapData_1!$A:$AQ,MATCH(1,(Dashboard_1!$B$3=BodyMapData_1!$A:$A)*(Dashboard_1!$B$4=BodyMapData_1!$B:$B),0),MATCH($F18,BodyMapData_1!$A$1:$AQ$1,0))</f>
        <v/>
      </c>
      <c r="J18" s="30" t="str">
        <f t="shared" ref="J18:K18" si="16">IF($I18="","",G18)</f>
        <v/>
      </c>
      <c r="K18" s="30" t="str">
        <f t="shared" si="16"/>
        <v/>
      </c>
    </row>
    <row r="19">
      <c r="F19" s="30" t="s">
        <v>27</v>
      </c>
      <c r="G19" s="26">
        <v>25.0</v>
      </c>
      <c r="H19" s="26">
        <v>60.0</v>
      </c>
      <c r="I19" s="30" t="str">
        <f t="array" ref="I19">INDEX(BodyMapData_1!$A:$AQ,MATCH(1,(Dashboard_1!$B$3=BodyMapData_1!$A:$A)*(Dashboard_1!$B$4=BodyMapData_1!$B:$B),0),MATCH($F19,BodyMapData_1!$A$1:$AQ$1,0))</f>
        <v/>
      </c>
      <c r="J19" s="30" t="str">
        <f t="shared" ref="J19:K19" si="17">IF($I19="","",G19)</f>
        <v/>
      </c>
      <c r="K19" s="30" t="str">
        <f t="shared" si="17"/>
        <v/>
      </c>
    </row>
    <row r="20">
      <c r="A20" s="29"/>
      <c r="B20" s="29"/>
      <c r="C20" s="29"/>
      <c r="D20" s="29"/>
      <c r="F20" s="30" t="s">
        <v>28</v>
      </c>
      <c r="G20" s="26">
        <v>27.0</v>
      </c>
      <c r="H20" s="26">
        <v>50.0</v>
      </c>
      <c r="I20" s="30" t="str">
        <f t="array" ref="I20">INDEX(BodyMapData_1!$A:$AQ,MATCH(1,(Dashboard_1!$B$3=BodyMapData_1!$A:$A)*(Dashboard_1!$B$4=BodyMapData_1!$B:$B),0),MATCH($F20,BodyMapData_1!$A$1:$AQ$1,0))</f>
        <v/>
      </c>
      <c r="J20" s="30" t="str">
        <f t="shared" ref="J20:K20" si="18">IF($I20="","",G20)</f>
        <v/>
      </c>
      <c r="K20" s="30" t="str">
        <f t="shared" si="18"/>
        <v/>
      </c>
    </row>
    <row r="21">
      <c r="F21" s="30" t="s">
        <v>29</v>
      </c>
      <c r="G21" s="26">
        <v>28.0</v>
      </c>
      <c r="H21" s="26">
        <v>40.0</v>
      </c>
      <c r="I21" s="30" t="str">
        <f t="array" ref="I21">INDEX(BodyMapData_1!$A:$AQ,MATCH(1,(Dashboard_1!$B$3=BodyMapData_1!$A:$A)*(Dashboard_1!$B$4=BodyMapData_1!$B:$B),0),MATCH($F21,BodyMapData_1!$A$1:$AQ$1,0))</f>
        <v/>
      </c>
      <c r="J21" s="30" t="str">
        <f t="shared" ref="J21:K21" si="19">IF($I21="","",G21)</f>
        <v/>
      </c>
      <c r="K21" s="30" t="str">
        <f t="shared" si="19"/>
        <v/>
      </c>
    </row>
    <row r="22">
      <c r="F22" s="30" t="s">
        <v>30</v>
      </c>
      <c r="G22" s="26">
        <v>27.0</v>
      </c>
      <c r="H22" s="26">
        <v>27.0</v>
      </c>
      <c r="I22" s="30" t="str">
        <f t="array" ref="I22">INDEX(BodyMapData_1!$A:$AQ,MATCH(1,(Dashboard_1!$B$3=BodyMapData_1!$A:$A)*(Dashboard_1!$B$4=BodyMapData_1!$B:$B),0),MATCH($F22,BodyMapData_1!$A$1:$AQ$1,0))</f>
        <v/>
      </c>
      <c r="J22" s="30" t="str">
        <f t="shared" ref="J22:K22" si="20">IF($I22="","",G22)</f>
        <v/>
      </c>
      <c r="K22" s="30" t="str">
        <f t="shared" si="20"/>
        <v/>
      </c>
    </row>
    <row r="23">
      <c r="F23" s="30" t="s">
        <v>31</v>
      </c>
      <c r="G23" s="26">
        <v>27.0</v>
      </c>
      <c r="H23" s="26">
        <v>17.0</v>
      </c>
      <c r="I23" s="30" t="str">
        <f t="array" ref="I23">INDEX(BodyMapData_1!$A:$AQ,MATCH(1,(Dashboard_1!$B$3=BodyMapData_1!$A:$A)*(Dashboard_1!$B$4=BodyMapData_1!$B:$B),0),MATCH($F23,BodyMapData_1!$A$1:$AQ$1,0))</f>
        <v/>
      </c>
      <c r="J23" s="30" t="str">
        <f t="shared" ref="J23:K23" si="21">IF($I23="","",G23)</f>
        <v/>
      </c>
      <c r="K23" s="30" t="str">
        <f t="shared" si="21"/>
        <v/>
      </c>
    </row>
    <row r="24">
      <c r="F24" s="30" t="s">
        <v>32</v>
      </c>
      <c r="G24" s="26">
        <v>26.0</v>
      </c>
      <c r="H24" s="26">
        <v>7.0</v>
      </c>
      <c r="I24" s="30" t="str">
        <f t="array" ref="I24">INDEX(BodyMapData_1!$A:$AQ,MATCH(1,(Dashboard_1!$B$3=BodyMapData_1!$A:$A)*(Dashboard_1!$B$4=BodyMapData_1!$B:$B),0),MATCH($F24,BodyMapData_1!$A$1:$AQ$1,0))</f>
        <v/>
      </c>
      <c r="J24" s="30" t="str">
        <f t="shared" ref="J24:K24" si="22">IF($I24="","",G24)</f>
        <v/>
      </c>
      <c r="K24" s="30" t="str">
        <f t="shared" si="22"/>
        <v/>
      </c>
    </row>
    <row r="25">
      <c r="F25" s="30" t="s">
        <v>33</v>
      </c>
      <c r="G25" s="26">
        <v>26.0</v>
      </c>
      <c r="H25" s="26">
        <v>2.0</v>
      </c>
      <c r="I25" s="30" t="str">
        <f t="array" ref="I25">INDEX(BodyMapData_1!$A:$AQ,MATCH(1,(Dashboard_1!$B$3=BodyMapData_1!$A:$A)*(Dashboard_1!$B$4=BodyMapData_1!$B:$B),0),MATCH($F25,BodyMapData_1!$A$1:$AQ$1,0))</f>
        <v/>
      </c>
      <c r="J25" s="30" t="str">
        <f t="shared" ref="J25:K25" si="23">IF($I25="","",G25)</f>
        <v/>
      </c>
      <c r="K25" s="30" t="str">
        <f t="shared" si="23"/>
        <v/>
      </c>
    </row>
    <row r="26">
      <c r="F26" s="30" t="s">
        <v>34</v>
      </c>
      <c r="G26" s="26">
        <v>17.0</v>
      </c>
      <c r="H26" s="26">
        <v>75.0</v>
      </c>
      <c r="I26" s="30" t="str">
        <f t="array" ref="I26">INDEX(BodyMapData_1!$A:$AQ,MATCH(1,(Dashboard_1!$B$3=BodyMapData_1!$A:$A)*(Dashboard_1!$B$4=BodyMapData_1!$B:$B),0),MATCH($F26,BodyMapData_1!$A$1:$AQ$1,0))</f>
        <v/>
      </c>
      <c r="J26" s="30" t="str">
        <f t="shared" ref="J26:K26" si="24">IF($I26="","",G26)</f>
        <v/>
      </c>
      <c r="K26" s="30" t="str">
        <f t="shared" si="24"/>
        <v/>
      </c>
    </row>
    <row r="27">
      <c r="F27" s="30" t="s">
        <v>35</v>
      </c>
      <c r="G27" s="26">
        <v>17.0</v>
      </c>
      <c r="H27" s="26">
        <v>60.0</v>
      </c>
      <c r="I27" s="30" t="str">
        <f t="array" ref="I27">INDEX(BodyMapData_1!$A:$AQ,MATCH(1,(Dashboard_1!$B$3=BodyMapData_1!$A:$A)*(Dashboard_1!$B$4=BodyMapData_1!$B:$B),0),MATCH($F27,BodyMapData_1!$A$1:$AQ$1,0))</f>
        <v/>
      </c>
      <c r="J27" s="30" t="str">
        <f t="shared" ref="J27:K27" si="25">IF($I27="","",G27)</f>
        <v/>
      </c>
      <c r="K27" s="30" t="str">
        <f t="shared" si="25"/>
        <v/>
      </c>
    </row>
    <row r="28">
      <c r="F28" s="30" t="s">
        <v>36</v>
      </c>
      <c r="G28" s="26">
        <v>15.0</v>
      </c>
      <c r="H28" s="26">
        <v>50.0</v>
      </c>
      <c r="I28" s="30" t="str">
        <f t="array" ref="I28">INDEX(BodyMapData_1!$A:$AQ,MATCH(1,(Dashboard_1!$B$3=BodyMapData_1!$A:$A)*(Dashboard_1!$B$4=BodyMapData_1!$B:$B),0),MATCH($F28,BodyMapData_1!$A$1:$AQ$1,0))</f>
        <v/>
      </c>
      <c r="J28" s="30" t="str">
        <f t="shared" ref="J28:K28" si="26">IF($I28="","",G28)</f>
        <v/>
      </c>
      <c r="K28" s="30" t="str">
        <f t="shared" si="26"/>
        <v/>
      </c>
    </row>
    <row r="29">
      <c r="F29" s="30" t="s">
        <v>37</v>
      </c>
      <c r="G29" s="26">
        <v>15.0</v>
      </c>
      <c r="H29" s="26">
        <v>40.0</v>
      </c>
      <c r="I29" s="30" t="str">
        <f t="array" ref="I29">INDEX(BodyMapData_1!$A:$AQ,MATCH(1,(Dashboard_1!$B$3=BodyMapData_1!$A:$A)*(Dashboard_1!$B$4=BodyMapData_1!$B:$B),0),MATCH($F29,BodyMapData_1!$A$1:$AQ$1,0))</f>
        <v/>
      </c>
      <c r="J29" s="30" t="str">
        <f t="shared" ref="J29:K29" si="27">IF($I29="","",G29)</f>
        <v/>
      </c>
      <c r="K29" s="30" t="str">
        <f t="shared" si="27"/>
        <v/>
      </c>
    </row>
    <row r="30">
      <c r="F30" s="30" t="s">
        <v>38</v>
      </c>
      <c r="G30" s="26">
        <v>16.0</v>
      </c>
      <c r="H30" s="26">
        <v>27.0</v>
      </c>
      <c r="I30" s="30" t="str">
        <f t="array" ref="I30">INDEX(BodyMapData_1!$A:$AQ,MATCH(1,(Dashboard_1!$B$3=BodyMapData_1!$A:$A)*(Dashboard_1!$B$4=BodyMapData_1!$B:$B),0),MATCH($F30,BodyMapData_1!$A$1:$AQ$1,0))</f>
        <v/>
      </c>
      <c r="J30" s="30" t="str">
        <f t="shared" ref="J30:K30" si="28">IF($I30="","",G30)</f>
        <v/>
      </c>
      <c r="K30" s="30" t="str">
        <f t="shared" si="28"/>
        <v/>
      </c>
    </row>
    <row r="31">
      <c r="F31" s="30" t="s">
        <v>39</v>
      </c>
      <c r="G31" s="26">
        <v>16.0</v>
      </c>
      <c r="H31" s="26">
        <v>17.0</v>
      </c>
      <c r="I31" s="30" t="str">
        <f t="array" ref="I31">INDEX(BodyMapData_1!$A:$AQ,MATCH(1,(Dashboard_1!$B$3=BodyMapData_1!$A:$A)*(Dashboard_1!$B$4=BodyMapData_1!$B:$B),0),MATCH($F31,BodyMapData_1!$A$1:$AQ$1,0))</f>
        <v/>
      </c>
      <c r="J31" s="30" t="str">
        <f t="shared" ref="J31:K31" si="29">IF($I31="","",G31)</f>
        <v/>
      </c>
      <c r="K31" s="30" t="str">
        <f t="shared" si="29"/>
        <v/>
      </c>
    </row>
    <row r="32">
      <c r="F32" s="30" t="s">
        <v>40</v>
      </c>
      <c r="G32" s="26">
        <v>18.0</v>
      </c>
      <c r="H32" s="26">
        <v>7.0</v>
      </c>
      <c r="I32" s="30" t="str">
        <f t="array" ref="I32">INDEX(BodyMapData_1!$A:$AQ,MATCH(1,(Dashboard_1!$B$3=BodyMapData_1!$A:$A)*(Dashboard_1!$B$4=BodyMapData_1!$B:$B),0),MATCH($F32,BodyMapData_1!$A$1:$AQ$1,0))</f>
        <v/>
      </c>
      <c r="J32" s="30" t="str">
        <f t="shared" ref="J32:K32" si="30">IF($I32="","",G32)</f>
        <v/>
      </c>
      <c r="K32" s="30" t="str">
        <f t="shared" si="30"/>
        <v/>
      </c>
    </row>
    <row r="33">
      <c r="F33" s="30" t="s">
        <v>41</v>
      </c>
      <c r="G33" s="26">
        <v>17.0</v>
      </c>
      <c r="H33" s="26">
        <v>2.0</v>
      </c>
      <c r="I33" s="30" t="str">
        <f t="array" ref="I33">INDEX(BodyMapData_1!$A:$AQ,MATCH(1,(Dashboard_1!$B$3=BodyMapData_1!$A:$A)*(Dashboard_1!$B$4=BodyMapData_1!$B:$B),0),MATCH($F33,BodyMapData_1!$A$1:$AQ$1,0))</f>
        <v/>
      </c>
      <c r="J33" s="30" t="str">
        <f t="shared" ref="J33:K33" si="31">IF($I33="","",G33)</f>
        <v/>
      </c>
      <c r="K33" s="30" t="str">
        <f t="shared" si="31"/>
        <v/>
      </c>
    </row>
    <row r="34">
      <c r="F34" s="30" t="s">
        <v>42</v>
      </c>
      <c r="G34" s="26">
        <v>68.0</v>
      </c>
      <c r="H34" s="26">
        <v>75.0</v>
      </c>
      <c r="I34" s="30" t="str">
        <f t="array" ref="I34">INDEX(BodyMapData_1!$A:$AQ,MATCH(1,(Dashboard_1!$B$3=BodyMapData_1!$A:$A)*(Dashboard_1!$B$4=BodyMapData_1!$B:$B),0),MATCH($F34,BodyMapData_1!$A$1:$AQ$1,0))</f>
        <v/>
      </c>
      <c r="J34" s="30" t="str">
        <f t="shared" ref="J34:K34" si="32">IF($I34="","",G34)</f>
        <v/>
      </c>
      <c r="K34" s="30" t="str">
        <f t="shared" si="32"/>
        <v/>
      </c>
    </row>
    <row r="35">
      <c r="F35" s="30" t="s">
        <v>43</v>
      </c>
      <c r="G35" s="26">
        <v>68.0</v>
      </c>
      <c r="H35" s="26">
        <v>60.0</v>
      </c>
      <c r="I35" s="30" t="str">
        <f t="array" ref="I35">INDEX(BodyMapData_1!$A:$AQ,MATCH(1,(Dashboard_1!$B$3=BodyMapData_1!$A:$A)*(Dashboard_1!$B$4=BodyMapData_1!$B:$B),0),MATCH($F35,BodyMapData_1!$A$1:$AQ$1,0))</f>
        <v/>
      </c>
      <c r="J35" s="30" t="str">
        <f t="shared" ref="J35:K35" si="33">IF($I35="","",G35)</f>
        <v/>
      </c>
      <c r="K35" s="30" t="str">
        <f t="shared" si="33"/>
        <v/>
      </c>
    </row>
    <row r="36">
      <c r="F36" s="30" t="s">
        <v>44</v>
      </c>
      <c r="G36" s="26">
        <v>67.0</v>
      </c>
      <c r="H36" s="26">
        <v>50.0</v>
      </c>
      <c r="I36" s="30" t="str">
        <f t="array" ref="I36">INDEX(BodyMapData_1!$A:$AQ,MATCH(1,(Dashboard_1!$B$3=BodyMapData_1!$A:$A)*(Dashboard_1!$B$4=BodyMapData_1!$B:$B),0),MATCH($F36,BodyMapData_1!$A$1:$AQ$1,0))</f>
        <v/>
      </c>
      <c r="J36" s="30" t="str">
        <f t="shared" ref="J36:K36" si="34">IF($I36="","",G36)</f>
        <v/>
      </c>
      <c r="K36" s="30" t="str">
        <f t="shared" si="34"/>
        <v/>
      </c>
    </row>
    <row r="37">
      <c r="F37" s="30" t="s">
        <v>45</v>
      </c>
      <c r="G37" s="26">
        <v>66.0</v>
      </c>
      <c r="H37" s="26">
        <v>35.0</v>
      </c>
      <c r="I37" s="30" t="str">
        <f t="array" ref="I37">INDEX(BodyMapData_1!$A:$AQ,MATCH(1,(Dashboard_1!$B$3=BodyMapData_1!$A:$A)*(Dashboard_1!$B$4=BodyMapData_1!$B:$B),0),MATCH($F37,BodyMapData_1!$A$1:$AQ$1,0))</f>
        <v/>
      </c>
      <c r="J37" s="30" t="str">
        <f t="shared" ref="J37:K37" si="35">IF($I37="","",G37)</f>
        <v/>
      </c>
      <c r="K37" s="30" t="str">
        <f t="shared" si="35"/>
        <v/>
      </c>
    </row>
    <row r="38">
      <c r="F38" s="30" t="s">
        <v>46</v>
      </c>
      <c r="G38" s="26">
        <v>66.0</v>
      </c>
      <c r="H38" s="26">
        <v>18.0</v>
      </c>
      <c r="I38" s="30" t="str">
        <f t="array" ref="I38">INDEX(BodyMapData_1!$A:$AQ,MATCH(1,(Dashboard_1!$B$3=BodyMapData_1!$A:$A)*(Dashboard_1!$B$4=BodyMapData_1!$B:$B),0),MATCH($F38,BodyMapData_1!$A$1:$AQ$1,0))</f>
        <v/>
      </c>
      <c r="J38" s="30" t="str">
        <f t="shared" ref="J38:K38" si="36">IF($I38="","",G38)</f>
        <v/>
      </c>
      <c r="K38" s="30" t="str">
        <f t="shared" si="36"/>
        <v/>
      </c>
    </row>
    <row r="39">
      <c r="F39" s="30" t="s">
        <v>47</v>
      </c>
      <c r="G39" s="26">
        <v>75.0</v>
      </c>
      <c r="H39" s="26">
        <v>75.0</v>
      </c>
      <c r="I39" s="30" t="str">
        <f t="array" ref="I39">INDEX(BodyMapData_1!$A:$AQ,MATCH(1,(Dashboard_1!$B$3=BodyMapData_1!$A:$A)*(Dashboard_1!$B$4=BodyMapData_1!$B:$B),0),MATCH($F39,BodyMapData_1!$A$1:$AQ$1,0))</f>
        <v/>
      </c>
      <c r="J39" s="30" t="str">
        <f t="shared" ref="J39:K39" si="37">IF($I39="","",G39)</f>
        <v/>
      </c>
      <c r="K39" s="30" t="str">
        <f t="shared" si="37"/>
        <v/>
      </c>
    </row>
    <row r="40">
      <c r="F40" s="30" t="s">
        <v>48</v>
      </c>
      <c r="G40" s="26">
        <v>75.0</v>
      </c>
      <c r="H40" s="26">
        <v>60.0</v>
      </c>
      <c r="I40" s="30" t="str">
        <f t="array" ref="I40">INDEX(BodyMapData_1!$A:$AQ,MATCH(1,(Dashboard_1!$B$3=BodyMapData_1!$A:$A)*(Dashboard_1!$B$4=BodyMapData_1!$B:$B),0),MATCH($F40,BodyMapData_1!$A$1:$AQ$1,0))</f>
        <v/>
      </c>
      <c r="J40" s="30" t="str">
        <f t="shared" ref="J40:K40" si="38">IF($I40="","",G40)</f>
        <v/>
      </c>
      <c r="K40" s="30" t="str">
        <f t="shared" si="38"/>
        <v/>
      </c>
    </row>
    <row r="41">
      <c r="F41" s="30" t="s">
        <v>49</v>
      </c>
      <c r="G41" s="26">
        <v>75.0</v>
      </c>
      <c r="H41" s="26">
        <v>50.0</v>
      </c>
      <c r="I41" s="30" t="str">
        <f t="array" ref="I41">INDEX(BodyMapData_1!$A:$AQ,MATCH(1,(Dashboard_1!$B$3=BodyMapData_1!$A:$A)*(Dashboard_1!$B$4=BodyMapData_1!$B:$B),0),MATCH($F41,BodyMapData_1!$A$1:$AQ$1,0))</f>
        <v/>
      </c>
      <c r="J41" s="30" t="str">
        <f t="shared" ref="J41:K41" si="39">IF($I41="","",G41)</f>
        <v/>
      </c>
      <c r="K41" s="30" t="str">
        <f t="shared" si="39"/>
        <v/>
      </c>
    </row>
    <row r="42">
      <c r="F42" s="30" t="s">
        <v>50</v>
      </c>
      <c r="G42" s="26">
        <v>77.0</v>
      </c>
      <c r="H42" s="26">
        <v>35.0</v>
      </c>
      <c r="I42" s="30" t="str">
        <f t="array" ref="I42">INDEX(BodyMapData_1!$A:$AQ,MATCH(1,(Dashboard_1!$B$3=BodyMapData_1!$A:$A)*(Dashboard_1!$B$4=BodyMapData_1!$B:$B),0),MATCH($F42,BodyMapData_1!$A$1:$AQ$1,0))</f>
        <v/>
      </c>
      <c r="J42" s="30" t="str">
        <f t="shared" ref="J42:K42" si="40">IF($I42="","",G42)</f>
        <v/>
      </c>
      <c r="K42" s="30" t="str">
        <f t="shared" si="40"/>
        <v/>
      </c>
    </row>
    <row r="43">
      <c r="F43" s="30" t="s">
        <v>51</v>
      </c>
      <c r="G43" s="26">
        <v>77.0</v>
      </c>
      <c r="H43" s="26">
        <v>18.0</v>
      </c>
      <c r="I43" s="30">
        <f t="array" ref="I43">INDEX(BodyMapData_1!$A:$AQ,MATCH(1,(Dashboard_1!$B$3=BodyMapData_1!$A:$A)*(Dashboard_1!$B$4=BodyMapData_1!$B:$B),0),MATCH($F43,BodyMapData_1!$A$1:$AQ$1,0))</f>
        <v>3</v>
      </c>
      <c r="J43" s="30">
        <f t="shared" ref="J43:K43" si="41">IF($I43="","",G43)</f>
        <v>77</v>
      </c>
      <c r="K43" s="30">
        <f t="shared" si="41"/>
        <v>18</v>
      </c>
    </row>
  </sheetData>
  <mergeCells count="1">
    <mergeCell ref="A2:D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4" width="12.63"/>
  </cols>
  <sheetData>
    <row r="1">
      <c r="M1" s="26" t="s">
        <v>68</v>
      </c>
    </row>
    <row r="2">
      <c r="A2" s="29"/>
      <c r="F2" s="26" t="s">
        <v>62</v>
      </c>
      <c r="G2" s="26" t="s">
        <v>63</v>
      </c>
      <c r="H2" s="26" t="s">
        <v>64</v>
      </c>
      <c r="I2" s="26" t="s">
        <v>65</v>
      </c>
      <c r="J2" s="26" t="s">
        <v>66</v>
      </c>
      <c r="K2" s="26" t="s">
        <v>67</v>
      </c>
      <c r="M2" s="26" t="s">
        <v>10</v>
      </c>
      <c r="N2" s="26" t="s">
        <v>69</v>
      </c>
      <c r="O2" s="26" t="s">
        <v>70</v>
      </c>
    </row>
    <row r="3">
      <c r="F3" s="26" t="str">
        <f t="array" ref="F3:F43">TRANSPOSE(BodyMapData_1!C1:AQ1)</f>
        <v>Head</v>
      </c>
      <c r="G3" s="26">
        <v>21.5</v>
      </c>
      <c r="H3" s="26">
        <v>95.0</v>
      </c>
      <c r="I3" s="30">
        <f>IFERROR(AVERAGEIFS(BodyMapData_2!$E:$E,BodyMapData_2!$C:$C,$F3,BodyMapData_2!$B:$B,Dashboard_2!$C$4,BodyMapData_2!$A:$A,Dashboard_2!$C$3),"")</f>
        <v>1</v>
      </c>
      <c r="J3" s="30">
        <f t="shared" ref="J3:K3" si="1">IF($I3="","",G3)</f>
        <v>21.5</v>
      </c>
      <c r="K3" s="30">
        <f t="shared" si="1"/>
        <v>95</v>
      </c>
      <c r="M3" s="31">
        <f>IFERROR(__xludf.DUMMYFUNCTION("SORT(UNIQUE(FILTER(BodyMapData_2!B:B,BodyMapData_2!A:A=Dashboard_2!C3)))"),43919.0)</f>
        <v>43919</v>
      </c>
      <c r="N3" s="30">
        <f>IF(SUMIFS(BodyMapData_2!$E:$E,BodyMapData_2!$A:$A,Dashboard_2!$C$3,BodyMapData_2!$B:$B,$M3)=0,"",
SUMIFS(BodyMapData_2!$E:$E,BodyMapData_2!$A:$A,Dashboard_2!$C$3,BodyMapData_2!$B:$B,$M3))</f>
        <v>9</v>
      </c>
      <c r="O3" s="30">
        <f>IF(MAXIFS(BodyMapData_2!$E:$E,BodyMapData_2!$A:$A,Dashboard_2!$C$3,BodyMapData_2!$B:$B,$M3)=0,"",
MAXIFS(BodyMapData_2!$E:$E,BodyMapData_2!$A:$A,Dashboard_2!$C$3,BodyMapData_2!$B:$B,$M3))</f>
        <v>6</v>
      </c>
    </row>
    <row r="4">
      <c r="F4" s="30" t="s">
        <v>12</v>
      </c>
      <c r="G4" s="26">
        <v>21.5</v>
      </c>
      <c r="H4" s="26">
        <v>83.0</v>
      </c>
      <c r="I4" s="30" t="str">
        <f>IFERROR(AVERAGEIFS(BodyMapData_2!$E:$E,BodyMapData_2!$C:$C,$F4,BodyMapData_2!$B:$B,Dashboard_2!$C$4,BodyMapData_2!$A:$A,Dashboard_2!$C$3),"")</f>
        <v/>
      </c>
      <c r="J4" s="30" t="str">
        <f t="shared" ref="J4:K4" si="2">IF($I4="","",G4)</f>
        <v/>
      </c>
      <c r="K4" s="30" t="str">
        <f t="shared" si="2"/>
        <v/>
      </c>
      <c r="M4" s="31">
        <f>IFERROR(__xludf.DUMMYFUNCTION("""COMPUTED_VALUE"""),43920.0)</f>
        <v>43920</v>
      </c>
      <c r="N4" s="30">
        <f>IF(SUMIFS(BodyMapData_2!$E:$E,BodyMapData_2!$A:$A,Dashboard_2!$C$3,BodyMapData_2!$B:$B,$M4)=0,"",
SUMIFS(BodyMapData_2!$E:$E,BodyMapData_2!$A:$A,Dashboard_2!$C$3,BodyMapData_2!$B:$B,$M4))</f>
        <v>6</v>
      </c>
      <c r="O4" s="30">
        <f>IF(MAXIFS(BodyMapData_2!$E:$E,BodyMapData_2!$A:$A,Dashboard_2!$C$3,BodyMapData_2!$B:$B,$M4)=0,"",
MAXIFS(BodyMapData_2!$E:$E,BodyMapData_2!$A:$A,Dashboard_2!$C$3,BodyMapData_2!$B:$B,$M4))</f>
        <v>6</v>
      </c>
    </row>
    <row r="5">
      <c r="F5" s="30" t="s">
        <v>13</v>
      </c>
      <c r="G5" s="26">
        <v>72.0</v>
      </c>
      <c r="H5" s="26">
        <v>88.0</v>
      </c>
      <c r="I5" s="30" t="str">
        <f>IFERROR(AVERAGEIFS(BodyMapData_2!$E:$E,BodyMapData_2!$C:$C,$F5,BodyMapData_2!$B:$B,Dashboard_2!$C$4,BodyMapData_2!$A:$A,Dashboard_2!$C$3),"")</f>
        <v/>
      </c>
      <c r="J5" s="30" t="str">
        <f t="shared" ref="J5:K5" si="3">IF($I5="","",G5)</f>
        <v/>
      </c>
      <c r="K5" s="30" t="str">
        <f t="shared" si="3"/>
        <v/>
      </c>
      <c r="M5" s="31">
        <f>IFERROR(__xludf.DUMMYFUNCTION("""COMPUTED_VALUE"""),43921.0)</f>
        <v>43921</v>
      </c>
      <c r="N5" s="30">
        <f>IF(SUMIFS(BodyMapData_2!$E:$E,BodyMapData_2!$A:$A,Dashboard_2!$C$3,BodyMapData_2!$B:$B,$M5)=0,"",
SUMIFS(BodyMapData_2!$E:$E,BodyMapData_2!$A:$A,Dashboard_2!$C$3,BodyMapData_2!$B:$B,$M5))</f>
        <v>14</v>
      </c>
      <c r="O5" s="30">
        <f>IF(MAXIFS(BodyMapData_2!$E:$E,BodyMapData_2!$A:$A,Dashboard_2!$C$3,BodyMapData_2!$B:$B,$M5)=0,"",
MAXIFS(BodyMapData_2!$E:$E,BodyMapData_2!$A:$A,Dashboard_2!$C$3,BodyMapData_2!$B:$B,$M5))</f>
        <v>7</v>
      </c>
    </row>
    <row r="6">
      <c r="F6" s="30" t="s">
        <v>14</v>
      </c>
      <c r="G6" s="26">
        <v>32.0</v>
      </c>
      <c r="H6" s="26">
        <v>80.0</v>
      </c>
      <c r="I6" s="30" t="str">
        <f>IFERROR(AVERAGEIFS(BodyMapData_2!$E:$E,BodyMapData_2!$C:$C,$F6,BodyMapData_2!$B:$B,Dashboard_2!$C$4,BodyMapData_2!$A:$A,Dashboard_2!$C$3),"")</f>
        <v/>
      </c>
      <c r="J6" s="30" t="str">
        <f t="shared" ref="J6:K6" si="4">IF($I6="","",G6)</f>
        <v/>
      </c>
      <c r="K6" s="30" t="str">
        <f t="shared" si="4"/>
        <v/>
      </c>
      <c r="M6" s="31">
        <f>IFERROR(__xludf.DUMMYFUNCTION("""COMPUTED_VALUE"""),43922.0)</f>
        <v>43922</v>
      </c>
      <c r="N6" s="30">
        <f>IF(SUMIFS(BodyMapData_2!$E:$E,BodyMapData_2!$A:$A,Dashboard_2!$C$3,BodyMapData_2!$B:$B,$M6)=0,"",
SUMIFS(BodyMapData_2!$E:$E,BodyMapData_2!$A:$A,Dashboard_2!$C$3,BodyMapData_2!$B:$B,$M6))</f>
        <v>7</v>
      </c>
      <c r="O6" s="30">
        <f>IF(MAXIFS(BodyMapData_2!$E:$E,BodyMapData_2!$A:$A,Dashboard_2!$C$3,BodyMapData_2!$B:$B,$M6)=0,"",
MAXIFS(BodyMapData_2!$E:$E,BodyMapData_2!$A:$A,Dashboard_2!$C$3,BodyMapData_2!$B:$B,$M6))</f>
        <v>5</v>
      </c>
    </row>
    <row r="7">
      <c r="F7" s="30" t="s">
        <v>15</v>
      </c>
      <c r="G7" s="26">
        <v>33.0</v>
      </c>
      <c r="H7" s="26">
        <v>72.0</v>
      </c>
      <c r="I7" s="30" t="str">
        <f>IFERROR(AVERAGEIFS(BodyMapData_2!$E:$E,BodyMapData_2!$C:$C,$F7,BodyMapData_2!$B:$B,Dashboard_2!$C$4,BodyMapData_2!$A:$A,Dashboard_2!$C$3),"")</f>
        <v/>
      </c>
      <c r="J7" s="30" t="str">
        <f t="shared" ref="J7:K7" si="5">IF($I7="","",G7)</f>
        <v/>
      </c>
      <c r="K7" s="30" t="str">
        <f t="shared" si="5"/>
        <v/>
      </c>
      <c r="N7" s="30" t="str">
        <f>IF(SUMIFS(BodyMapData_2!$E:$E,BodyMapData_2!$A:$A,Dashboard_2!$C$3,BodyMapData_2!$B:$B,$M7)=0,"",
SUMIFS(BodyMapData_2!$E:$E,BodyMapData_2!$A:$A,Dashboard_2!$C$3,BodyMapData_2!$B:$B,$M7))</f>
        <v/>
      </c>
      <c r="O7" s="30" t="str">
        <f>IF(MAXIFS(BodyMapData_2!$E:$E,BodyMapData_2!$A:$A,Dashboard_2!$C$3,BodyMapData_2!$B:$B,$M7)=0,"",
MAXIFS(BodyMapData_2!$E:$E,BodyMapData_2!$A:$A,Dashboard_2!$C$3,BodyMapData_2!$B:$B,$M7))</f>
        <v/>
      </c>
    </row>
    <row r="8">
      <c r="F8" s="30" t="s">
        <v>16</v>
      </c>
      <c r="G8" s="26">
        <v>34.0</v>
      </c>
      <c r="H8" s="26">
        <v>65.0</v>
      </c>
      <c r="I8" s="30" t="str">
        <f>IFERROR(AVERAGEIFS(BodyMapData_2!$E:$E,BodyMapData_2!$C:$C,$F8,BodyMapData_2!$B:$B,Dashboard_2!$C$4,BodyMapData_2!$A:$A,Dashboard_2!$C$3),"")</f>
        <v/>
      </c>
      <c r="J8" s="30" t="str">
        <f t="shared" ref="J8:K8" si="6">IF($I8="","",G8)</f>
        <v/>
      </c>
      <c r="K8" s="30" t="str">
        <f t="shared" si="6"/>
        <v/>
      </c>
      <c r="N8" s="30" t="str">
        <f>IF(SUMIFS(BodyMapData_2!$E:$E,BodyMapData_2!$A:$A,Dashboard_2!$C$3,BodyMapData_2!$B:$B,$M8)=0,"",
SUMIFS(BodyMapData_2!$E:$E,BodyMapData_2!$A:$A,Dashboard_2!$C$3,BodyMapData_2!$B:$B,$M8))</f>
        <v/>
      </c>
      <c r="O8" s="30" t="str">
        <f>IF(MAXIFS(BodyMapData_2!$E:$E,BodyMapData_2!$A:$A,Dashboard_2!$C$3,BodyMapData_2!$B:$B,$M8)=0,"",
MAXIFS(BodyMapData_2!$E:$E,BodyMapData_2!$A:$A,Dashboard_2!$C$3,BodyMapData_2!$B:$B,$M8))</f>
        <v/>
      </c>
    </row>
    <row r="9">
      <c r="F9" s="30" t="s">
        <v>17</v>
      </c>
      <c r="G9" s="26">
        <v>36.0</v>
      </c>
      <c r="H9" s="26">
        <v>58.0</v>
      </c>
      <c r="I9" s="30" t="str">
        <f>IFERROR(AVERAGEIFS(BodyMapData_2!$E:$E,BodyMapData_2!$C:$C,$F9,BodyMapData_2!$B:$B,Dashboard_2!$C$4,BodyMapData_2!$A:$A,Dashboard_2!$C$3),"")</f>
        <v/>
      </c>
      <c r="J9" s="30" t="str">
        <f t="shared" ref="J9:K9" si="7">IF($I9="","",G9)</f>
        <v/>
      </c>
      <c r="K9" s="30" t="str">
        <f t="shared" si="7"/>
        <v/>
      </c>
      <c r="N9" s="30" t="str">
        <f>IF(SUMIFS(BodyMapData_2!$E:$E,BodyMapData_2!$A:$A,Dashboard_2!$C$3,BodyMapData_2!$B:$B,$M9)=0,"",
SUMIFS(BodyMapData_2!$E:$E,BodyMapData_2!$A:$A,Dashboard_2!$C$3,BodyMapData_2!$B:$B,$M9))</f>
        <v/>
      </c>
      <c r="O9" s="30" t="str">
        <f>IF(MAXIFS(BodyMapData_2!$E:$E,BodyMapData_2!$A:$A,Dashboard_2!$C$3,BodyMapData_2!$B:$B,$M9)=0,"",
MAXIFS(BodyMapData_2!$E:$E,BodyMapData_2!$A:$A,Dashboard_2!$C$3,BodyMapData_2!$B:$B,$M9))</f>
        <v/>
      </c>
    </row>
    <row r="10">
      <c r="F10" s="30" t="s">
        <v>18</v>
      </c>
      <c r="G10" s="26">
        <v>88.0</v>
      </c>
      <c r="H10" s="26">
        <v>53.0</v>
      </c>
      <c r="I10" s="30" t="str">
        <f>IFERROR(AVERAGEIFS(BodyMapData_2!$E:$E,BodyMapData_2!$C:$C,$F10,BodyMapData_2!$B:$B,Dashboard_2!$C$4,BodyMapData_2!$A:$A,Dashboard_2!$C$3),"")</f>
        <v/>
      </c>
      <c r="J10" s="30" t="str">
        <f t="shared" ref="J10:K10" si="8">IF($I10="","",G10)</f>
        <v/>
      </c>
      <c r="K10" s="30" t="str">
        <f t="shared" si="8"/>
        <v/>
      </c>
      <c r="N10" s="30" t="str">
        <f>IF(SUMIFS(BodyMapData_2!$E:$E,BodyMapData_2!$A:$A,Dashboard_2!$C$3,BodyMapData_2!$B:$B,$M10)=0,"",
SUMIFS(BodyMapData_2!$E:$E,BodyMapData_2!$A:$A,Dashboard_2!$C$3,BodyMapData_2!$B:$B,$M10))</f>
        <v/>
      </c>
      <c r="O10" s="30" t="str">
        <f>IF(MAXIFS(BodyMapData_2!$E:$E,BodyMapData_2!$A:$A,Dashboard_2!$C$3,BodyMapData_2!$B:$B,$M10)=0,"",
MAXIFS(BodyMapData_2!$E:$E,BodyMapData_2!$A:$A,Dashboard_2!$C$3,BodyMapData_2!$B:$B,$M10))</f>
        <v/>
      </c>
    </row>
    <row r="11">
      <c r="F11" s="30" t="s">
        <v>19</v>
      </c>
      <c r="G11" s="26">
        <v>39.0</v>
      </c>
      <c r="H11" s="26">
        <v>49.0</v>
      </c>
      <c r="I11" s="30" t="str">
        <f>IFERROR(AVERAGEIFS(BodyMapData_2!$E:$E,BodyMapData_2!$C:$C,$F11,BodyMapData_2!$B:$B,Dashboard_2!$C$4,BodyMapData_2!$A:$A,Dashboard_2!$C$3),"")</f>
        <v/>
      </c>
      <c r="J11" s="30" t="str">
        <f t="shared" ref="J11:K11" si="9">IF($I11="","",G11)</f>
        <v/>
      </c>
      <c r="K11" s="30" t="str">
        <f t="shared" si="9"/>
        <v/>
      </c>
      <c r="N11" s="30" t="str">
        <f>IF(SUMIFS(BodyMapData_2!$E:$E,BodyMapData_2!$A:$A,Dashboard_2!$C$3,BodyMapData_2!$B:$B,$M11)=0,"",
SUMIFS(BodyMapData_2!$E:$E,BodyMapData_2!$A:$A,Dashboard_2!$C$3,BodyMapData_2!$B:$B,$M11))</f>
        <v/>
      </c>
      <c r="O11" s="30" t="str">
        <f>IF(MAXIFS(BodyMapData_2!$E:$E,BodyMapData_2!$A:$A,Dashboard_2!$C$3,BodyMapData_2!$B:$B,$M11)=0,"",
MAXIFS(BodyMapData_2!$E:$E,BodyMapData_2!$A:$A,Dashboard_2!$C$3,BodyMapData_2!$B:$B,$M11))</f>
        <v/>
      </c>
    </row>
    <row r="12">
      <c r="F12" s="30" t="s">
        <v>20</v>
      </c>
      <c r="G12" s="26">
        <v>11.0</v>
      </c>
      <c r="H12" s="26">
        <v>80.0</v>
      </c>
      <c r="I12" s="30" t="str">
        <f>IFERROR(AVERAGEIFS(BodyMapData_2!$E:$E,BodyMapData_2!$C:$C,$F12,BodyMapData_2!$B:$B,Dashboard_2!$C$4,BodyMapData_2!$A:$A,Dashboard_2!$C$3),"")</f>
        <v/>
      </c>
      <c r="J12" s="30" t="str">
        <f t="shared" ref="J12:K12" si="10">IF($I12="","",G12)</f>
        <v/>
      </c>
      <c r="K12" s="30" t="str">
        <f t="shared" si="10"/>
        <v/>
      </c>
      <c r="N12" s="30" t="str">
        <f>IF(SUMIFS(BodyMapData_2!$E:$E,BodyMapData_2!$A:$A,Dashboard_2!$C$3,BodyMapData_2!$B:$B,$M12)=0,"",
SUMIFS(BodyMapData_2!$E:$E,BodyMapData_2!$A:$A,Dashboard_2!$C$3,BodyMapData_2!$B:$B,$M12))</f>
        <v/>
      </c>
      <c r="O12" s="30" t="str">
        <f>IF(MAXIFS(BodyMapData_2!$E:$E,BodyMapData_2!$A:$A,Dashboard_2!$C$3,BodyMapData_2!$B:$B,$M12)=0,"",
MAXIFS(BodyMapData_2!$E:$E,BodyMapData_2!$A:$A,Dashboard_2!$C$3,BodyMapData_2!$B:$B,$M12))</f>
        <v/>
      </c>
    </row>
    <row r="13">
      <c r="F13" s="30" t="s">
        <v>21</v>
      </c>
      <c r="G13" s="26">
        <v>10.0</v>
      </c>
      <c r="H13" s="26">
        <v>72.0</v>
      </c>
      <c r="I13" s="30" t="str">
        <f>IFERROR(AVERAGEIFS(BodyMapData_2!$E:$E,BodyMapData_2!$C:$C,$F13,BodyMapData_2!$B:$B,Dashboard_2!$C$4,BodyMapData_2!$A:$A,Dashboard_2!$C$3),"")</f>
        <v/>
      </c>
      <c r="J13" s="30" t="str">
        <f t="shared" ref="J13:K13" si="11">IF($I13="","",G13)</f>
        <v/>
      </c>
      <c r="K13" s="30" t="str">
        <f t="shared" si="11"/>
        <v/>
      </c>
      <c r="N13" s="30" t="str">
        <f>IF(SUMIFS(BodyMapData_2!$E:$E,BodyMapData_2!$A:$A,Dashboard_2!$C$3,BodyMapData_2!$B:$B,$M13)=0,"",
SUMIFS(BodyMapData_2!$E:$E,BodyMapData_2!$A:$A,Dashboard_2!$C$3,BodyMapData_2!$B:$B,$M13))</f>
        <v/>
      </c>
      <c r="O13" s="30" t="str">
        <f>IF(MAXIFS(BodyMapData_2!$E:$E,BodyMapData_2!$A:$A,Dashboard_2!$C$3,BodyMapData_2!$B:$B,$M13)=0,"",
MAXIFS(BodyMapData_2!$E:$E,BodyMapData_2!$A:$A,Dashboard_2!$C$3,BodyMapData_2!$B:$B,$M13))</f>
        <v/>
      </c>
    </row>
    <row r="14">
      <c r="F14" s="30" t="s">
        <v>22</v>
      </c>
      <c r="G14" s="26">
        <v>9.0</v>
      </c>
      <c r="H14" s="26">
        <v>65.0</v>
      </c>
      <c r="I14" s="30" t="str">
        <f>IFERROR(AVERAGEIFS(BodyMapData_2!$E:$E,BodyMapData_2!$C:$C,$F14,BodyMapData_2!$B:$B,Dashboard_2!$C$4,BodyMapData_2!$A:$A,Dashboard_2!$C$3),"")</f>
        <v/>
      </c>
      <c r="J14" s="30" t="str">
        <f t="shared" ref="J14:K14" si="12">IF($I14="","",G14)</f>
        <v/>
      </c>
      <c r="K14" s="30" t="str">
        <f t="shared" si="12"/>
        <v/>
      </c>
      <c r="N14" s="30" t="str">
        <f>IF(SUMIFS(BodyMapData_2!$E:$E,BodyMapData_2!$A:$A,Dashboard_2!$C$3,BodyMapData_2!$B:$B,$M14)=0,"",
SUMIFS(BodyMapData_2!$E:$E,BodyMapData_2!$A:$A,Dashboard_2!$C$3,BodyMapData_2!$B:$B,$M14))</f>
        <v/>
      </c>
      <c r="O14" s="30" t="str">
        <f>IF(MAXIFS(BodyMapData_2!$E:$E,BodyMapData_2!$A:$A,Dashboard_2!$C$3,BodyMapData_2!$B:$B,$M14)=0,"",
MAXIFS(BodyMapData_2!$E:$E,BodyMapData_2!$A:$A,Dashboard_2!$C$3,BodyMapData_2!$B:$B,$M14))</f>
        <v/>
      </c>
    </row>
    <row r="15">
      <c r="F15" s="30" t="s">
        <v>23</v>
      </c>
      <c r="G15" s="26">
        <v>7.0</v>
      </c>
      <c r="H15" s="26">
        <v>58.0</v>
      </c>
      <c r="I15" s="30" t="str">
        <f>IFERROR(AVERAGEIFS(BodyMapData_2!$E:$E,BodyMapData_2!$C:$C,$F15,BodyMapData_2!$B:$B,Dashboard_2!$C$4,BodyMapData_2!$A:$A,Dashboard_2!$C$3),"")</f>
        <v/>
      </c>
      <c r="J15" s="30" t="str">
        <f t="shared" ref="J15:K15" si="13">IF($I15="","",G15)</f>
        <v/>
      </c>
      <c r="K15" s="30" t="str">
        <f t="shared" si="13"/>
        <v/>
      </c>
      <c r="N15" s="30" t="str">
        <f>IF(SUMIFS(BodyMapData_2!$E:$E,BodyMapData_2!$A:$A,Dashboard_2!$C$3,BodyMapData_2!$B:$B,$M15)=0,"",
SUMIFS(BodyMapData_2!$E:$E,BodyMapData_2!$A:$A,Dashboard_2!$C$3,BodyMapData_2!$B:$B,$M15))</f>
        <v/>
      </c>
      <c r="O15" s="30" t="str">
        <f>IF(MAXIFS(BodyMapData_2!$E:$E,BodyMapData_2!$A:$A,Dashboard_2!$C$3,BodyMapData_2!$B:$B,$M15)=0,"",
MAXIFS(BodyMapData_2!$E:$E,BodyMapData_2!$A:$A,Dashboard_2!$C$3,BodyMapData_2!$B:$B,$M15))</f>
        <v/>
      </c>
    </row>
    <row r="16">
      <c r="F16" s="30" t="s">
        <v>24</v>
      </c>
      <c r="G16" s="26">
        <v>56.0</v>
      </c>
      <c r="H16" s="26">
        <v>53.0</v>
      </c>
      <c r="I16" s="30" t="str">
        <f>IFERROR(AVERAGEIFS(BodyMapData_2!$E:$E,BodyMapData_2!$C:$C,$F16,BodyMapData_2!$B:$B,Dashboard_2!$C$4,BodyMapData_2!$A:$A,Dashboard_2!$C$3),"")</f>
        <v/>
      </c>
      <c r="J16" s="30" t="str">
        <f t="shared" ref="J16:K16" si="14">IF($I16="","",G16)</f>
        <v/>
      </c>
      <c r="K16" s="30" t="str">
        <f t="shared" si="14"/>
        <v/>
      </c>
      <c r="N16" s="30" t="str">
        <f>IF(SUMIFS(BodyMapData_2!$E:$E,BodyMapData_2!$A:$A,Dashboard_2!$C$3,BodyMapData_2!$B:$B,$M16)=0,"",
SUMIFS(BodyMapData_2!$E:$E,BodyMapData_2!$A:$A,Dashboard_2!$C$3,BodyMapData_2!$B:$B,$M16))</f>
        <v/>
      </c>
      <c r="O16" s="30" t="str">
        <f>IF(MAXIFS(BodyMapData_2!$E:$E,BodyMapData_2!$A:$A,Dashboard_2!$C$3,BodyMapData_2!$B:$B,$M16)=0,"",
MAXIFS(BodyMapData_2!$E:$E,BodyMapData_2!$A:$A,Dashboard_2!$C$3,BodyMapData_2!$B:$B,$M16))</f>
        <v/>
      </c>
    </row>
    <row r="17">
      <c r="F17" s="30" t="s">
        <v>25</v>
      </c>
      <c r="G17" s="26">
        <v>4.0</v>
      </c>
      <c r="H17" s="26">
        <v>49.0</v>
      </c>
      <c r="I17" s="30" t="str">
        <f>IFERROR(AVERAGEIFS(BodyMapData_2!$E:$E,BodyMapData_2!$C:$C,$F17,BodyMapData_2!$B:$B,Dashboard_2!$C$4,BodyMapData_2!$A:$A,Dashboard_2!$C$3),"")</f>
        <v/>
      </c>
      <c r="J17" s="30" t="str">
        <f t="shared" ref="J17:K17" si="15">IF($I17="","",G17)</f>
        <v/>
      </c>
      <c r="K17" s="30" t="str">
        <f t="shared" si="15"/>
        <v/>
      </c>
      <c r="N17" s="30" t="str">
        <f>IF(SUMIFS(BodyMapData_2!$E:$E,BodyMapData_2!$A:$A,Dashboard_2!$C$3,BodyMapData_2!$B:$B,$M17)=0,"",
SUMIFS(BodyMapData_2!$E:$E,BodyMapData_2!$A:$A,Dashboard_2!$C$3,BodyMapData_2!$B:$B,$M17))</f>
        <v/>
      </c>
      <c r="O17" s="30" t="str">
        <f>IF(MAXIFS(BodyMapData_2!$E:$E,BodyMapData_2!$A:$A,Dashboard_2!$C$3,BodyMapData_2!$B:$B,$M17)=0,"",
MAXIFS(BodyMapData_2!$E:$E,BodyMapData_2!$A:$A,Dashboard_2!$C$3,BodyMapData_2!$B:$B,$M17))</f>
        <v/>
      </c>
    </row>
    <row r="18">
      <c r="F18" s="30" t="s">
        <v>26</v>
      </c>
      <c r="G18" s="26">
        <v>25.0</v>
      </c>
      <c r="H18" s="26">
        <v>75.0</v>
      </c>
      <c r="I18" s="30" t="str">
        <f>IFERROR(AVERAGEIFS(BodyMapData_2!$E:$E,BodyMapData_2!$C:$C,$F18,BodyMapData_2!$B:$B,Dashboard_2!$C$4,BodyMapData_2!$A:$A,Dashboard_2!$C$3),"")</f>
        <v/>
      </c>
      <c r="J18" s="30" t="str">
        <f t="shared" ref="J18:K18" si="16">IF($I18="","",G18)</f>
        <v/>
      </c>
      <c r="K18" s="30" t="str">
        <f t="shared" si="16"/>
        <v/>
      </c>
      <c r="N18" s="30" t="str">
        <f>IF(SUMIFS(BodyMapData_2!$E:$E,BodyMapData_2!$A:$A,Dashboard_2!$C$3,BodyMapData_2!$B:$B,$M18)=0,"",
SUMIFS(BodyMapData_2!$E:$E,BodyMapData_2!$A:$A,Dashboard_2!$C$3,BodyMapData_2!$B:$B,$M18))</f>
        <v/>
      </c>
      <c r="O18" s="30" t="str">
        <f>IF(MAXIFS(BodyMapData_2!$E:$E,BodyMapData_2!$A:$A,Dashboard_2!$C$3,BodyMapData_2!$B:$B,$M18)=0,"",
MAXIFS(BodyMapData_2!$E:$E,BodyMapData_2!$A:$A,Dashboard_2!$C$3,BodyMapData_2!$B:$B,$M18))</f>
        <v/>
      </c>
    </row>
    <row r="19">
      <c r="F19" s="30" t="s">
        <v>27</v>
      </c>
      <c r="G19" s="26">
        <v>25.0</v>
      </c>
      <c r="H19" s="26">
        <v>60.0</v>
      </c>
      <c r="I19" s="30" t="str">
        <f>IFERROR(AVERAGEIFS(BodyMapData_2!$E:$E,BodyMapData_2!$C:$C,$F19,BodyMapData_2!$B:$B,Dashboard_2!$C$4,BodyMapData_2!$A:$A,Dashboard_2!$C$3),"")</f>
        <v/>
      </c>
      <c r="J19" s="30" t="str">
        <f t="shared" ref="J19:K19" si="17">IF($I19="","",G19)</f>
        <v/>
      </c>
      <c r="K19" s="30" t="str">
        <f t="shared" si="17"/>
        <v/>
      </c>
      <c r="N19" s="30" t="str">
        <f>IF(SUMIFS(BodyMapData_2!$E:$E,BodyMapData_2!$A:$A,Dashboard_2!$C$3,BodyMapData_2!$B:$B,$M19)=0,"",
SUMIFS(BodyMapData_2!$E:$E,BodyMapData_2!$A:$A,Dashboard_2!$C$3,BodyMapData_2!$B:$B,$M19))</f>
        <v/>
      </c>
      <c r="O19" s="30" t="str">
        <f>IF(MAXIFS(BodyMapData_2!$E:$E,BodyMapData_2!$A:$A,Dashboard_2!$C$3,BodyMapData_2!$B:$B,$M19)=0,"",
MAXIFS(BodyMapData_2!$E:$E,BodyMapData_2!$A:$A,Dashboard_2!$C$3,BodyMapData_2!$B:$B,$M19))</f>
        <v/>
      </c>
    </row>
    <row r="20">
      <c r="A20" s="29"/>
      <c r="B20" s="29"/>
      <c r="C20" s="29"/>
      <c r="D20" s="29"/>
      <c r="F20" s="30" t="s">
        <v>28</v>
      </c>
      <c r="G20" s="26">
        <v>27.0</v>
      </c>
      <c r="H20" s="26">
        <v>50.0</v>
      </c>
      <c r="I20" s="30" t="str">
        <f>IFERROR(AVERAGEIFS(BodyMapData_2!$E:$E,BodyMapData_2!$C:$C,$F20,BodyMapData_2!$B:$B,Dashboard_2!$C$4,BodyMapData_2!$A:$A,Dashboard_2!$C$3),"")</f>
        <v/>
      </c>
      <c r="J20" s="30" t="str">
        <f t="shared" ref="J20:K20" si="18">IF($I20="","",G20)</f>
        <v/>
      </c>
      <c r="K20" s="30" t="str">
        <f t="shared" si="18"/>
        <v/>
      </c>
      <c r="N20" s="30" t="str">
        <f>IF(SUMIFS(BodyMapData_2!$E:$E,BodyMapData_2!$A:$A,Dashboard_2!$C$3,BodyMapData_2!$B:$B,$M20)=0,"",
SUMIFS(BodyMapData_2!$E:$E,BodyMapData_2!$A:$A,Dashboard_2!$C$3,BodyMapData_2!$B:$B,$M20))</f>
        <v/>
      </c>
      <c r="O20" s="30" t="str">
        <f>IF(MAXIFS(BodyMapData_2!$E:$E,BodyMapData_2!$A:$A,Dashboard_2!$C$3,BodyMapData_2!$B:$B,$M20)=0,"",
MAXIFS(BodyMapData_2!$E:$E,BodyMapData_2!$A:$A,Dashboard_2!$C$3,BodyMapData_2!$B:$B,$M20))</f>
        <v/>
      </c>
    </row>
    <row r="21">
      <c r="F21" s="30" t="s">
        <v>29</v>
      </c>
      <c r="G21" s="26">
        <v>28.0</v>
      </c>
      <c r="H21" s="26">
        <v>40.0</v>
      </c>
      <c r="I21" s="30" t="str">
        <f>IFERROR(AVERAGEIFS(BodyMapData_2!$E:$E,BodyMapData_2!$C:$C,$F21,BodyMapData_2!$B:$B,Dashboard_2!$C$4,BodyMapData_2!$A:$A,Dashboard_2!$C$3),"")</f>
        <v/>
      </c>
      <c r="J21" s="30" t="str">
        <f t="shared" ref="J21:K21" si="19">IF($I21="","",G21)</f>
        <v/>
      </c>
      <c r="K21" s="30" t="str">
        <f t="shared" si="19"/>
        <v/>
      </c>
      <c r="N21" s="30" t="str">
        <f>IF(SUMIFS(BodyMapData_2!$E:$E,BodyMapData_2!$A:$A,Dashboard_2!$C$3,BodyMapData_2!$B:$B,$M21)=0,"",
SUMIFS(BodyMapData_2!$E:$E,BodyMapData_2!$A:$A,Dashboard_2!$C$3,BodyMapData_2!$B:$B,$M21))</f>
        <v/>
      </c>
      <c r="O21" s="30" t="str">
        <f>IF(MAXIFS(BodyMapData_2!$E:$E,BodyMapData_2!$A:$A,Dashboard_2!$C$3,BodyMapData_2!$B:$B,$M21)=0,"",
MAXIFS(BodyMapData_2!$E:$E,BodyMapData_2!$A:$A,Dashboard_2!$C$3,BodyMapData_2!$B:$B,$M21))</f>
        <v/>
      </c>
    </row>
    <row r="22">
      <c r="F22" s="30" t="s">
        <v>30</v>
      </c>
      <c r="G22" s="26">
        <v>27.0</v>
      </c>
      <c r="H22" s="26">
        <v>27.0</v>
      </c>
      <c r="I22" s="30" t="str">
        <f>IFERROR(AVERAGEIFS(BodyMapData_2!$E:$E,BodyMapData_2!$C:$C,$F22,BodyMapData_2!$B:$B,Dashboard_2!$C$4,BodyMapData_2!$A:$A,Dashboard_2!$C$3),"")</f>
        <v/>
      </c>
      <c r="J22" s="30" t="str">
        <f t="shared" ref="J22:K22" si="20">IF($I22="","",G22)</f>
        <v/>
      </c>
      <c r="K22" s="30" t="str">
        <f t="shared" si="20"/>
        <v/>
      </c>
      <c r="N22" s="30" t="str">
        <f>IF(SUMIFS(BodyMapData_2!$E:$E,BodyMapData_2!$A:$A,Dashboard_2!$C$3,BodyMapData_2!$B:$B,$M22)=0,"",
SUMIFS(BodyMapData_2!$E:$E,BodyMapData_2!$A:$A,Dashboard_2!$C$3,BodyMapData_2!$B:$B,$M22))</f>
        <v/>
      </c>
      <c r="O22" s="30" t="str">
        <f>IF(MAXIFS(BodyMapData_2!$E:$E,BodyMapData_2!$A:$A,Dashboard_2!$C$3,BodyMapData_2!$B:$B,$M22)=0,"",
MAXIFS(BodyMapData_2!$E:$E,BodyMapData_2!$A:$A,Dashboard_2!$C$3,BodyMapData_2!$B:$B,$M22))</f>
        <v/>
      </c>
    </row>
    <row r="23">
      <c r="F23" s="30" t="s">
        <v>31</v>
      </c>
      <c r="G23" s="26">
        <v>27.0</v>
      </c>
      <c r="H23" s="26">
        <v>17.0</v>
      </c>
      <c r="I23" s="30" t="str">
        <f>IFERROR(AVERAGEIFS(BodyMapData_2!$E:$E,BodyMapData_2!$C:$C,$F23,BodyMapData_2!$B:$B,Dashboard_2!$C$4,BodyMapData_2!$A:$A,Dashboard_2!$C$3),"")</f>
        <v/>
      </c>
      <c r="J23" s="30" t="str">
        <f t="shared" ref="J23:K23" si="21">IF($I23="","",G23)</f>
        <v/>
      </c>
      <c r="K23" s="30" t="str">
        <f t="shared" si="21"/>
        <v/>
      </c>
      <c r="N23" s="30" t="str">
        <f>IF(SUMIFS(BodyMapData_2!$E:$E,BodyMapData_2!$A:$A,Dashboard_2!$C$3,BodyMapData_2!$B:$B,$M23)=0,"",
SUMIFS(BodyMapData_2!$E:$E,BodyMapData_2!$A:$A,Dashboard_2!$C$3,BodyMapData_2!$B:$B,$M23))</f>
        <v/>
      </c>
      <c r="O23" s="30" t="str">
        <f>IF(MAXIFS(BodyMapData_2!$E:$E,BodyMapData_2!$A:$A,Dashboard_2!$C$3,BodyMapData_2!$B:$B,$M23)=0,"",
MAXIFS(BodyMapData_2!$E:$E,BodyMapData_2!$A:$A,Dashboard_2!$C$3,BodyMapData_2!$B:$B,$M23))</f>
        <v/>
      </c>
    </row>
    <row r="24">
      <c r="F24" s="30" t="s">
        <v>32</v>
      </c>
      <c r="G24" s="26">
        <v>26.0</v>
      </c>
      <c r="H24" s="26">
        <v>7.0</v>
      </c>
      <c r="I24" s="30" t="str">
        <f>IFERROR(AVERAGEIFS(BodyMapData_2!$E:$E,BodyMapData_2!$C:$C,$F24,BodyMapData_2!$B:$B,Dashboard_2!$C$4,BodyMapData_2!$A:$A,Dashboard_2!$C$3),"")</f>
        <v/>
      </c>
      <c r="J24" s="30" t="str">
        <f t="shared" ref="J24:K24" si="22">IF($I24="","",G24)</f>
        <v/>
      </c>
      <c r="K24" s="30" t="str">
        <f t="shared" si="22"/>
        <v/>
      </c>
      <c r="N24" s="30" t="str">
        <f>IF(SUMIFS(BodyMapData_2!$E:$E,BodyMapData_2!$A:$A,Dashboard_2!$C$3,BodyMapData_2!$B:$B,$M24)=0,"",
SUMIFS(BodyMapData_2!$E:$E,BodyMapData_2!$A:$A,Dashboard_2!$C$3,BodyMapData_2!$B:$B,$M24))</f>
        <v/>
      </c>
      <c r="O24" s="30" t="str">
        <f>IF(MAXIFS(BodyMapData_2!$E:$E,BodyMapData_2!$A:$A,Dashboard_2!$C$3,BodyMapData_2!$B:$B,$M24)=0,"",
MAXIFS(BodyMapData_2!$E:$E,BodyMapData_2!$A:$A,Dashboard_2!$C$3,BodyMapData_2!$B:$B,$M24))</f>
        <v/>
      </c>
    </row>
    <row r="25">
      <c r="F25" s="30" t="s">
        <v>33</v>
      </c>
      <c r="G25" s="26">
        <v>26.0</v>
      </c>
      <c r="H25" s="26">
        <v>2.0</v>
      </c>
      <c r="I25" s="30" t="str">
        <f>IFERROR(AVERAGEIFS(BodyMapData_2!$E:$E,BodyMapData_2!$C:$C,$F25,BodyMapData_2!$B:$B,Dashboard_2!$C$4,BodyMapData_2!$A:$A,Dashboard_2!$C$3),"")</f>
        <v/>
      </c>
      <c r="J25" s="30" t="str">
        <f t="shared" ref="J25:K25" si="23">IF($I25="","",G25)</f>
        <v/>
      </c>
      <c r="K25" s="30" t="str">
        <f t="shared" si="23"/>
        <v/>
      </c>
      <c r="N25" s="30" t="str">
        <f>IF(SUMIFS(BodyMapData_2!$E:$E,BodyMapData_2!$A:$A,Dashboard_2!$C$3,BodyMapData_2!$B:$B,$M25)=0,"",
SUMIFS(BodyMapData_2!$E:$E,BodyMapData_2!$A:$A,Dashboard_2!$C$3,BodyMapData_2!$B:$B,$M25))</f>
        <v/>
      </c>
      <c r="O25" s="30" t="str">
        <f>IF(MAXIFS(BodyMapData_2!$E:$E,BodyMapData_2!$A:$A,Dashboard_2!$C$3,BodyMapData_2!$B:$B,$M25)=0,"",
MAXIFS(BodyMapData_2!$E:$E,BodyMapData_2!$A:$A,Dashboard_2!$C$3,BodyMapData_2!$B:$B,$M25))</f>
        <v/>
      </c>
    </row>
    <row r="26">
      <c r="F26" s="30" t="s">
        <v>34</v>
      </c>
      <c r="G26" s="26">
        <v>17.0</v>
      </c>
      <c r="H26" s="26">
        <v>75.0</v>
      </c>
      <c r="I26" s="30" t="str">
        <f>IFERROR(AVERAGEIFS(BodyMapData_2!$E:$E,BodyMapData_2!$C:$C,$F26,BodyMapData_2!$B:$B,Dashboard_2!$C$4,BodyMapData_2!$A:$A,Dashboard_2!$C$3),"")</f>
        <v/>
      </c>
      <c r="J26" s="30" t="str">
        <f t="shared" ref="J26:K26" si="24">IF($I26="","",G26)</f>
        <v/>
      </c>
      <c r="K26" s="30" t="str">
        <f t="shared" si="24"/>
        <v/>
      </c>
      <c r="N26" s="30" t="str">
        <f>IF(SUMIFS(BodyMapData_2!$E:$E,BodyMapData_2!$A:$A,Dashboard_2!$C$3,BodyMapData_2!$B:$B,$M26)=0,"",
SUMIFS(BodyMapData_2!$E:$E,BodyMapData_2!$A:$A,Dashboard_2!$C$3,BodyMapData_2!$B:$B,$M26))</f>
        <v/>
      </c>
      <c r="O26" s="30" t="str">
        <f>IF(MAXIFS(BodyMapData_2!$E:$E,BodyMapData_2!$A:$A,Dashboard_2!$C$3,BodyMapData_2!$B:$B,$M26)=0,"",
MAXIFS(BodyMapData_2!$E:$E,BodyMapData_2!$A:$A,Dashboard_2!$C$3,BodyMapData_2!$B:$B,$M26))</f>
        <v/>
      </c>
    </row>
    <row r="27">
      <c r="F27" s="30" t="s">
        <v>35</v>
      </c>
      <c r="G27" s="26">
        <v>17.0</v>
      </c>
      <c r="H27" s="26">
        <v>60.0</v>
      </c>
      <c r="I27" s="30" t="str">
        <f>IFERROR(AVERAGEIFS(BodyMapData_2!$E:$E,BodyMapData_2!$C:$C,$F27,BodyMapData_2!$B:$B,Dashboard_2!$C$4,BodyMapData_2!$A:$A,Dashboard_2!$C$3),"")</f>
        <v/>
      </c>
      <c r="J27" s="30" t="str">
        <f t="shared" ref="J27:K27" si="25">IF($I27="","",G27)</f>
        <v/>
      </c>
      <c r="K27" s="30" t="str">
        <f t="shared" si="25"/>
        <v/>
      </c>
      <c r="N27" s="30" t="str">
        <f>IF(SUMIFS(BodyMapData_2!$E:$E,BodyMapData_2!$A:$A,Dashboard_2!$C$3,BodyMapData_2!$B:$B,$M27)=0,"",
SUMIFS(BodyMapData_2!$E:$E,BodyMapData_2!$A:$A,Dashboard_2!$C$3,BodyMapData_2!$B:$B,$M27))</f>
        <v/>
      </c>
      <c r="O27" s="30" t="str">
        <f>IF(MAXIFS(BodyMapData_2!$E:$E,BodyMapData_2!$A:$A,Dashboard_2!$C$3,BodyMapData_2!$B:$B,$M27)=0,"",
MAXIFS(BodyMapData_2!$E:$E,BodyMapData_2!$A:$A,Dashboard_2!$C$3,BodyMapData_2!$B:$B,$M27))</f>
        <v/>
      </c>
    </row>
    <row r="28">
      <c r="F28" s="30" t="s">
        <v>36</v>
      </c>
      <c r="G28" s="26">
        <v>15.0</v>
      </c>
      <c r="H28" s="26">
        <v>50.0</v>
      </c>
      <c r="I28" s="30" t="str">
        <f>IFERROR(AVERAGEIFS(BodyMapData_2!$E:$E,BodyMapData_2!$C:$C,$F28,BodyMapData_2!$B:$B,Dashboard_2!$C$4,BodyMapData_2!$A:$A,Dashboard_2!$C$3),"")</f>
        <v/>
      </c>
      <c r="J28" s="30" t="str">
        <f t="shared" ref="J28:K28" si="26">IF($I28="","",G28)</f>
        <v/>
      </c>
      <c r="K28" s="30" t="str">
        <f t="shared" si="26"/>
        <v/>
      </c>
      <c r="N28" s="30" t="str">
        <f>IF(SUMIFS(BodyMapData_2!$E:$E,BodyMapData_2!$A:$A,Dashboard_2!$C$3,BodyMapData_2!$B:$B,$M28)=0,"",
SUMIFS(BodyMapData_2!$E:$E,BodyMapData_2!$A:$A,Dashboard_2!$C$3,BodyMapData_2!$B:$B,$M28))</f>
        <v/>
      </c>
      <c r="O28" s="30" t="str">
        <f>IF(MAXIFS(BodyMapData_2!$E:$E,BodyMapData_2!$A:$A,Dashboard_2!$C$3,BodyMapData_2!$B:$B,$M28)=0,"",
MAXIFS(BodyMapData_2!$E:$E,BodyMapData_2!$A:$A,Dashboard_2!$C$3,BodyMapData_2!$B:$B,$M28))</f>
        <v/>
      </c>
    </row>
    <row r="29">
      <c r="F29" s="30" t="s">
        <v>37</v>
      </c>
      <c r="G29" s="26">
        <v>15.0</v>
      </c>
      <c r="H29" s="26">
        <v>40.0</v>
      </c>
      <c r="I29" s="30" t="str">
        <f>IFERROR(AVERAGEIFS(BodyMapData_2!$E:$E,BodyMapData_2!$C:$C,$F29,BodyMapData_2!$B:$B,Dashboard_2!$C$4,BodyMapData_2!$A:$A,Dashboard_2!$C$3),"")</f>
        <v/>
      </c>
      <c r="J29" s="30" t="str">
        <f t="shared" ref="J29:K29" si="27">IF($I29="","",G29)</f>
        <v/>
      </c>
      <c r="K29" s="30" t="str">
        <f t="shared" si="27"/>
        <v/>
      </c>
      <c r="N29" s="30" t="str">
        <f>IF(SUMIFS(BodyMapData_2!$E:$E,BodyMapData_2!$A:$A,Dashboard_2!$C$3,BodyMapData_2!$B:$B,$M29)=0,"",
SUMIFS(BodyMapData_2!$E:$E,BodyMapData_2!$A:$A,Dashboard_2!$C$3,BodyMapData_2!$B:$B,$M29))</f>
        <v/>
      </c>
      <c r="O29" s="30" t="str">
        <f>IF(MAXIFS(BodyMapData_2!$E:$E,BodyMapData_2!$A:$A,Dashboard_2!$C$3,BodyMapData_2!$B:$B,$M29)=0,"",
MAXIFS(BodyMapData_2!$E:$E,BodyMapData_2!$A:$A,Dashboard_2!$C$3,BodyMapData_2!$B:$B,$M29))</f>
        <v/>
      </c>
    </row>
    <row r="30">
      <c r="F30" s="30" t="s">
        <v>38</v>
      </c>
      <c r="G30" s="26">
        <v>16.0</v>
      </c>
      <c r="H30" s="26">
        <v>27.0</v>
      </c>
      <c r="I30" s="30">
        <f>IFERROR(AVERAGEIFS(BodyMapData_2!$E:$E,BodyMapData_2!$C:$C,$F30,BodyMapData_2!$B:$B,Dashboard_2!$C$4,BodyMapData_2!$A:$A,Dashboard_2!$C$3),"")</f>
        <v>5</v>
      </c>
      <c r="J30" s="30">
        <f t="shared" ref="J30:K30" si="28">IF($I30="","",G30)</f>
        <v>16</v>
      </c>
      <c r="K30" s="30">
        <f t="shared" si="28"/>
        <v>27</v>
      </c>
      <c r="N30" s="30" t="str">
        <f>IF(SUMIFS(BodyMapData_2!$E:$E,BodyMapData_2!$A:$A,Dashboard_2!$C$3,BodyMapData_2!$B:$B,$M30)=0,"",
SUMIFS(BodyMapData_2!$E:$E,BodyMapData_2!$A:$A,Dashboard_2!$C$3,BodyMapData_2!$B:$B,$M30))</f>
        <v/>
      </c>
      <c r="O30" s="30" t="str">
        <f>IF(MAXIFS(BodyMapData_2!$E:$E,BodyMapData_2!$A:$A,Dashboard_2!$C$3,BodyMapData_2!$B:$B,$M30)=0,"",
MAXIFS(BodyMapData_2!$E:$E,BodyMapData_2!$A:$A,Dashboard_2!$C$3,BodyMapData_2!$B:$B,$M30))</f>
        <v/>
      </c>
    </row>
    <row r="31">
      <c r="F31" s="30" t="s">
        <v>39</v>
      </c>
      <c r="G31" s="26">
        <v>16.0</v>
      </c>
      <c r="H31" s="26">
        <v>17.0</v>
      </c>
      <c r="I31" s="30" t="str">
        <f>IFERROR(AVERAGEIFS(BodyMapData_2!$E:$E,BodyMapData_2!$C:$C,$F31,BodyMapData_2!$B:$B,Dashboard_2!$C$4,BodyMapData_2!$A:$A,Dashboard_2!$C$3),"")</f>
        <v/>
      </c>
      <c r="J31" s="30" t="str">
        <f t="shared" ref="J31:K31" si="29">IF($I31="","",G31)</f>
        <v/>
      </c>
      <c r="K31" s="30" t="str">
        <f t="shared" si="29"/>
        <v/>
      </c>
      <c r="N31" s="30" t="str">
        <f>IF(SUMIFS(BodyMapData_2!$E:$E,BodyMapData_2!$A:$A,Dashboard_2!$C$3,BodyMapData_2!$B:$B,$M31)=0,"",
SUMIFS(BodyMapData_2!$E:$E,BodyMapData_2!$A:$A,Dashboard_2!$C$3,BodyMapData_2!$B:$B,$M31))</f>
        <v/>
      </c>
      <c r="O31" s="30" t="str">
        <f>IF(MAXIFS(BodyMapData_2!$E:$E,BodyMapData_2!$A:$A,Dashboard_2!$C$3,BodyMapData_2!$B:$B,$M31)=0,"",
MAXIFS(BodyMapData_2!$E:$E,BodyMapData_2!$A:$A,Dashboard_2!$C$3,BodyMapData_2!$B:$B,$M31))</f>
        <v/>
      </c>
    </row>
    <row r="32">
      <c r="F32" s="30" t="s">
        <v>40</v>
      </c>
      <c r="G32" s="26">
        <v>18.0</v>
      </c>
      <c r="H32" s="26">
        <v>7.0</v>
      </c>
      <c r="I32" s="30" t="str">
        <f>IFERROR(AVERAGEIFS(BodyMapData_2!$E:$E,BodyMapData_2!$C:$C,$F32,BodyMapData_2!$B:$B,Dashboard_2!$C$4,BodyMapData_2!$A:$A,Dashboard_2!$C$3),"")</f>
        <v/>
      </c>
      <c r="J32" s="30" t="str">
        <f t="shared" ref="J32:K32" si="30">IF($I32="","",G32)</f>
        <v/>
      </c>
      <c r="K32" s="30" t="str">
        <f t="shared" si="30"/>
        <v/>
      </c>
      <c r="N32" s="30" t="str">
        <f>IF(SUMIFS(BodyMapData_2!$E:$E,BodyMapData_2!$A:$A,Dashboard_2!$C$3,BodyMapData_2!$B:$B,$M32)=0,"",
SUMIFS(BodyMapData_2!$E:$E,BodyMapData_2!$A:$A,Dashboard_2!$C$3,BodyMapData_2!$B:$B,$M32))</f>
        <v/>
      </c>
      <c r="O32" s="30" t="str">
        <f>IF(MAXIFS(BodyMapData_2!$E:$E,BodyMapData_2!$A:$A,Dashboard_2!$C$3,BodyMapData_2!$B:$B,$M32)=0,"",
MAXIFS(BodyMapData_2!$E:$E,BodyMapData_2!$A:$A,Dashboard_2!$C$3,BodyMapData_2!$B:$B,$M32))</f>
        <v/>
      </c>
    </row>
    <row r="33">
      <c r="F33" s="30" t="s">
        <v>41</v>
      </c>
      <c r="G33" s="26">
        <v>17.0</v>
      </c>
      <c r="H33" s="26">
        <v>2.0</v>
      </c>
      <c r="I33" s="30">
        <f>IFERROR(AVERAGEIFS(BodyMapData_2!$E:$E,BodyMapData_2!$C:$C,$F33,BodyMapData_2!$B:$B,Dashboard_2!$C$4,BodyMapData_2!$A:$A,Dashboard_2!$C$3),"")</f>
        <v>1</v>
      </c>
      <c r="J33" s="30">
        <f t="shared" ref="J33:K33" si="31">IF($I33="","",G33)</f>
        <v>17</v>
      </c>
      <c r="K33" s="30">
        <f t="shared" si="31"/>
        <v>2</v>
      </c>
      <c r="N33" s="30" t="str">
        <f>IF(SUMIFS(BodyMapData_2!$E:$E,BodyMapData_2!$A:$A,Dashboard_2!$C$3,BodyMapData_2!$B:$B,$M33)=0,"",
SUMIFS(BodyMapData_2!$E:$E,BodyMapData_2!$A:$A,Dashboard_2!$C$3,BodyMapData_2!$B:$B,$M33))</f>
        <v/>
      </c>
      <c r="O33" s="30" t="str">
        <f>IF(MAXIFS(BodyMapData_2!$E:$E,BodyMapData_2!$A:$A,Dashboard_2!$C$3,BodyMapData_2!$B:$B,$M33)=0,"",
MAXIFS(BodyMapData_2!$E:$E,BodyMapData_2!$A:$A,Dashboard_2!$C$3,BodyMapData_2!$B:$B,$M33))</f>
        <v/>
      </c>
    </row>
    <row r="34">
      <c r="F34" s="30" t="s">
        <v>42</v>
      </c>
      <c r="G34" s="26">
        <v>68.0</v>
      </c>
      <c r="H34" s="26">
        <v>75.0</v>
      </c>
      <c r="I34" s="30" t="str">
        <f>IFERROR(AVERAGEIFS(BodyMapData_2!$E:$E,BodyMapData_2!$C:$C,$F34,BodyMapData_2!$B:$B,Dashboard_2!$C$4,BodyMapData_2!$A:$A,Dashboard_2!$C$3),"")</f>
        <v/>
      </c>
      <c r="J34" s="30" t="str">
        <f t="shared" ref="J34:K34" si="32">IF($I34="","",G34)</f>
        <v/>
      </c>
      <c r="K34" s="30" t="str">
        <f t="shared" si="32"/>
        <v/>
      </c>
      <c r="N34" s="30" t="str">
        <f>IF(SUMIFS(BodyMapData_2!$E:$E,BodyMapData_2!$A:$A,Dashboard_2!$C$3,BodyMapData_2!$B:$B,$M34)=0,"",
SUMIFS(BodyMapData_2!$E:$E,BodyMapData_2!$A:$A,Dashboard_2!$C$3,BodyMapData_2!$B:$B,$M34))</f>
        <v/>
      </c>
      <c r="O34" s="30" t="str">
        <f>IF(MAXIFS(BodyMapData_2!$E:$E,BodyMapData_2!$A:$A,Dashboard_2!$C$3,BodyMapData_2!$B:$B,$M34)=0,"",
MAXIFS(BodyMapData_2!$E:$E,BodyMapData_2!$A:$A,Dashboard_2!$C$3,BodyMapData_2!$B:$B,$M34))</f>
        <v/>
      </c>
    </row>
    <row r="35">
      <c r="F35" s="30" t="s">
        <v>43</v>
      </c>
      <c r="G35" s="26">
        <v>68.0</v>
      </c>
      <c r="H35" s="26">
        <v>60.0</v>
      </c>
      <c r="I35" s="30" t="str">
        <f>IFERROR(AVERAGEIFS(BodyMapData_2!$E:$E,BodyMapData_2!$C:$C,$F35,BodyMapData_2!$B:$B,Dashboard_2!$C$4,BodyMapData_2!$A:$A,Dashboard_2!$C$3),"")</f>
        <v/>
      </c>
      <c r="J35" s="30" t="str">
        <f t="shared" ref="J35:K35" si="33">IF($I35="","",G35)</f>
        <v/>
      </c>
      <c r="K35" s="30" t="str">
        <f t="shared" si="33"/>
        <v/>
      </c>
      <c r="N35" s="30" t="str">
        <f>IF(SUMIFS(BodyMapData_2!$E:$E,BodyMapData_2!$A:$A,Dashboard_2!$C$3,BodyMapData_2!$B:$B,$M35)=0,"",
SUMIFS(BodyMapData_2!$E:$E,BodyMapData_2!$A:$A,Dashboard_2!$C$3,BodyMapData_2!$B:$B,$M35))</f>
        <v/>
      </c>
      <c r="O35" s="30" t="str">
        <f>IF(MAXIFS(BodyMapData_2!$E:$E,BodyMapData_2!$A:$A,Dashboard_2!$C$3,BodyMapData_2!$B:$B,$M35)=0,"",
MAXIFS(BodyMapData_2!$E:$E,BodyMapData_2!$A:$A,Dashboard_2!$C$3,BodyMapData_2!$B:$B,$M35))</f>
        <v/>
      </c>
    </row>
    <row r="36">
      <c r="F36" s="30" t="s">
        <v>44</v>
      </c>
      <c r="G36" s="26">
        <v>67.0</v>
      </c>
      <c r="H36" s="26">
        <v>50.0</v>
      </c>
      <c r="I36" s="30" t="str">
        <f>IFERROR(AVERAGEIFS(BodyMapData_2!$E:$E,BodyMapData_2!$C:$C,$F36,BodyMapData_2!$B:$B,Dashboard_2!$C$4,BodyMapData_2!$A:$A,Dashboard_2!$C$3),"")</f>
        <v/>
      </c>
      <c r="J36" s="30" t="str">
        <f t="shared" ref="J36:K36" si="34">IF($I36="","",G36)</f>
        <v/>
      </c>
      <c r="K36" s="30" t="str">
        <f t="shared" si="34"/>
        <v/>
      </c>
      <c r="N36" s="30" t="str">
        <f>IF(SUMIFS(BodyMapData_2!$E:$E,BodyMapData_2!$A:$A,Dashboard_2!$C$3,BodyMapData_2!$B:$B,$M36)=0,"",
SUMIFS(BodyMapData_2!$E:$E,BodyMapData_2!$A:$A,Dashboard_2!$C$3,BodyMapData_2!$B:$B,$M36))</f>
        <v/>
      </c>
      <c r="O36" s="30" t="str">
        <f>IF(MAXIFS(BodyMapData_2!$E:$E,BodyMapData_2!$A:$A,Dashboard_2!$C$3,BodyMapData_2!$B:$B,$M36)=0,"",
MAXIFS(BodyMapData_2!$E:$E,BodyMapData_2!$A:$A,Dashboard_2!$C$3,BodyMapData_2!$B:$B,$M36))</f>
        <v/>
      </c>
    </row>
    <row r="37">
      <c r="F37" s="30" t="s">
        <v>45</v>
      </c>
      <c r="G37" s="26">
        <v>66.0</v>
      </c>
      <c r="H37" s="26">
        <v>35.0</v>
      </c>
      <c r="I37" s="30" t="str">
        <f>IFERROR(AVERAGEIFS(BodyMapData_2!$E:$E,BodyMapData_2!$C:$C,$F37,BodyMapData_2!$B:$B,Dashboard_2!$C$4,BodyMapData_2!$A:$A,Dashboard_2!$C$3),"")</f>
        <v/>
      </c>
      <c r="J37" s="30" t="str">
        <f t="shared" ref="J37:K37" si="35">IF($I37="","",G37)</f>
        <v/>
      </c>
      <c r="K37" s="30" t="str">
        <f t="shared" si="35"/>
        <v/>
      </c>
      <c r="N37" s="30" t="str">
        <f>IF(SUMIFS(BodyMapData_2!$E:$E,BodyMapData_2!$A:$A,Dashboard_2!$C$3,BodyMapData_2!$B:$B,$M37)=0,"",
SUMIFS(BodyMapData_2!$E:$E,BodyMapData_2!$A:$A,Dashboard_2!$C$3,BodyMapData_2!$B:$B,$M37))</f>
        <v/>
      </c>
      <c r="O37" s="30" t="str">
        <f>IF(MAXIFS(BodyMapData_2!$E:$E,BodyMapData_2!$A:$A,Dashboard_2!$C$3,BodyMapData_2!$B:$B,$M37)=0,"",
MAXIFS(BodyMapData_2!$E:$E,BodyMapData_2!$A:$A,Dashboard_2!$C$3,BodyMapData_2!$B:$B,$M37))</f>
        <v/>
      </c>
    </row>
    <row r="38">
      <c r="F38" s="30" t="s">
        <v>46</v>
      </c>
      <c r="G38" s="26">
        <v>66.0</v>
      </c>
      <c r="H38" s="26">
        <v>18.0</v>
      </c>
      <c r="I38" s="30" t="str">
        <f>IFERROR(AVERAGEIFS(BodyMapData_2!$E:$E,BodyMapData_2!$C:$C,$F38,BodyMapData_2!$B:$B,Dashboard_2!$C$4,BodyMapData_2!$A:$A,Dashboard_2!$C$3),"")</f>
        <v/>
      </c>
      <c r="J38" s="30" t="str">
        <f t="shared" ref="J38:K38" si="36">IF($I38="","",G38)</f>
        <v/>
      </c>
      <c r="K38" s="30" t="str">
        <f t="shared" si="36"/>
        <v/>
      </c>
      <c r="N38" s="30" t="str">
        <f>IF(SUMIFS(BodyMapData_2!$E:$E,BodyMapData_2!$A:$A,Dashboard_2!$C$3,BodyMapData_2!$B:$B,$M38)=0,"",
SUMIFS(BodyMapData_2!$E:$E,BodyMapData_2!$A:$A,Dashboard_2!$C$3,BodyMapData_2!$B:$B,$M38))</f>
        <v/>
      </c>
      <c r="O38" s="30" t="str">
        <f>IF(MAXIFS(BodyMapData_2!$E:$E,BodyMapData_2!$A:$A,Dashboard_2!$C$3,BodyMapData_2!$B:$B,$M38)=0,"",
MAXIFS(BodyMapData_2!$E:$E,BodyMapData_2!$A:$A,Dashboard_2!$C$3,BodyMapData_2!$B:$B,$M38))</f>
        <v/>
      </c>
    </row>
    <row r="39">
      <c r="F39" s="30" t="s">
        <v>47</v>
      </c>
      <c r="G39" s="26">
        <v>75.0</v>
      </c>
      <c r="H39" s="26">
        <v>75.0</v>
      </c>
      <c r="I39" s="30" t="str">
        <f>IFERROR(AVERAGEIFS(BodyMapData_2!$E:$E,BodyMapData_2!$C:$C,$F39,BodyMapData_2!$B:$B,Dashboard_2!$C$4,BodyMapData_2!$A:$A,Dashboard_2!$C$3),"")</f>
        <v/>
      </c>
      <c r="J39" s="30" t="str">
        <f t="shared" ref="J39:K39" si="37">IF($I39="","",G39)</f>
        <v/>
      </c>
      <c r="K39" s="30" t="str">
        <f t="shared" si="37"/>
        <v/>
      </c>
      <c r="N39" s="30" t="str">
        <f>IF(SUMIFS(BodyMapData_2!$E:$E,BodyMapData_2!$A:$A,Dashboard_2!$C$3,BodyMapData_2!$B:$B,$M39)=0,"",
SUMIFS(BodyMapData_2!$E:$E,BodyMapData_2!$A:$A,Dashboard_2!$C$3,BodyMapData_2!$B:$B,$M39))</f>
        <v/>
      </c>
      <c r="O39" s="30" t="str">
        <f>IF(MAXIFS(BodyMapData_2!$E:$E,BodyMapData_2!$A:$A,Dashboard_2!$C$3,BodyMapData_2!$B:$B,$M39)=0,"",
MAXIFS(BodyMapData_2!$E:$E,BodyMapData_2!$A:$A,Dashboard_2!$C$3,BodyMapData_2!$B:$B,$M39))</f>
        <v/>
      </c>
    </row>
    <row r="40">
      <c r="F40" s="30" t="s">
        <v>48</v>
      </c>
      <c r="G40" s="26">
        <v>75.0</v>
      </c>
      <c r="H40" s="26">
        <v>60.0</v>
      </c>
      <c r="I40" s="30" t="str">
        <f>IFERROR(AVERAGEIFS(BodyMapData_2!$E:$E,BodyMapData_2!$C:$C,$F40,BodyMapData_2!$B:$B,Dashboard_2!$C$4,BodyMapData_2!$A:$A,Dashboard_2!$C$3),"")</f>
        <v/>
      </c>
      <c r="J40" s="30" t="str">
        <f t="shared" ref="J40:K40" si="38">IF($I40="","",G40)</f>
        <v/>
      </c>
      <c r="K40" s="30" t="str">
        <f t="shared" si="38"/>
        <v/>
      </c>
      <c r="N40" s="30" t="str">
        <f>IF(SUMIFS(BodyMapData_2!$E:$E,BodyMapData_2!$A:$A,Dashboard_2!$C$3,BodyMapData_2!$B:$B,$M40)=0,"",
SUMIFS(BodyMapData_2!$E:$E,BodyMapData_2!$A:$A,Dashboard_2!$C$3,BodyMapData_2!$B:$B,$M40))</f>
        <v/>
      </c>
      <c r="O40" s="30" t="str">
        <f>IF(MAXIFS(BodyMapData_2!$E:$E,BodyMapData_2!$A:$A,Dashboard_2!$C$3,BodyMapData_2!$B:$B,$M40)=0,"",
MAXIFS(BodyMapData_2!$E:$E,BodyMapData_2!$A:$A,Dashboard_2!$C$3,BodyMapData_2!$B:$B,$M40))</f>
        <v/>
      </c>
    </row>
    <row r="41">
      <c r="F41" s="30" t="s">
        <v>49</v>
      </c>
      <c r="G41" s="26">
        <v>75.0</v>
      </c>
      <c r="H41" s="26">
        <v>50.0</v>
      </c>
      <c r="I41" s="30" t="str">
        <f>IFERROR(AVERAGEIFS(BodyMapData_2!$E:$E,BodyMapData_2!$C:$C,$F41,BodyMapData_2!$B:$B,Dashboard_2!$C$4,BodyMapData_2!$A:$A,Dashboard_2!$C$3),"")</f>
        <v/>
      </c>
      <c r="J41" s="30" t="str">
        <f t="shared" ref="J41:K41" si="39">IF($I41="","",G41)</f>
        <v/>
      </c>
      <c r="K41" s="30" t="str">
        <f t="shared" si="39"/>
        <v/>
      </c>
      <c r="N41" s="30" t="str">
        <f>IF(SUMIFS(BodyMapData_2!$E:$E,BodyMapData_2!$A:$A,Dashboard_2!$C$3,BodyMapData_2!$B:$B,$M41)=0,"",
SUMIFS(BodyMapData_2!$E:$E,BodyMapData_2!$A:$A,Dashboard_2!$C$3,BodyMapData_2!$B:$B,$M41))</f>
        <v/>
      </c>
      <c r="O41" s="30" t="str">
        <f>IF(MAXIFS(BodyMapData_2!$E:$E,BodyMapData_2!$A:$A,Dashboard_2!$C$3,BodyMapData_2!$B:$B,$M41)=0,"",
MAXIFS(BodyMapData_2!$E:$E,BodyMapData_2!$A:$A,Dashboard_2!$C$3,BodyMapData_2!$B:$B,$M41))</f>
        <v/>
      </c>
    </row>
    <row r="42">
      <c r="F42" s="30" t="s">
        <v>50</v>
      </c>
      <c r="G42" s="26">
        <v>77.0</v>
      </c>
      <c r="H42" s="26">
        <v>35.0</v>
      </c>
      <c r="I42" s="30" t="str">
        <f>IFERROR(AVERAGEIFS(BodyMapData_2!$E:$E,BodyMapData_2!$C:$C,$F42,BodyMapData_2!$B:$B,Dashboard_2!$C$4,BodyMapData_2!$A:$A,Dashboard_2!$C$3),"")</f>
        <v/>
      </c>
      <c r="J42" s="30" t="str">
        <f t="shared" ref="J42:K42" si="40">IF($I42="","",G42)</f>
        <v/>
      </c>
      <c r="K42" s="30" t="str">
        <f t="shared" si="40"/>
        <v/>
      </c>
      <c r="N42" s="30" t="str">
        <f>IF(SUMIFS(BodyMapData_2!$E:$E,BodyMapData_2!$A:$A,Dashboard_2!$C$3,BodyMapData_2!$B:$B,$M42)=0,"",
SUMIFS(BodyMapData_2!$E:$E,BodyMapData_2!$A:$A,Dashboard_2!$C$3,BodyMapData_2!$B:$B,$M42))</f>
        <v/>
      </c>
      <c r="O42" s="30" t="str">
        <f>IF(MAXIFS(BodyMapData_2!$E:$E,BodyMapData_2!$A:$A,Dashboard_2!$C$3,BodyMapData_2!$B:$B,$M42)=0,"",
MAXIFS(BodyMapData_2!$E:$E,BodyMapData_2!$A:$A,Dashboard_2!$C$3,BodyMapData_2!$B:$B,$M42))</f>
        <v/>
      </c>
    </row>
    <row r="43">
      <c r="F43" s="30" t="s">
        <v>51</v>
      </c>
      <c r="G43" s="26">
        <v>77.0</v>
      </c>
      <c r="H43" s="26">
        <v>18.0</v>
      </c>
      <c r="I43" s="30" t="str">
        <f>IFERROR(AVERAGEIFS(BodyMapData_2!$E:$E,BodyMapData_2!$C:$C,$F43,BodyMapData_2!$B:$B,Dashboard_2!$C$4,BodyMapData_2!$A:$A,Dashboard_2!$C$3),"")</f>
        <v/>
      </c>
      <c r="J43" s="30" t="str">
        <f t="shared" ref="J43:K43" si="41">IF($I43="","",G43)</f>
        <v/>
      </c>
      <c r="K43" s="30" t="str">
        <f t="shared" si="41"/>
        <v/>
      </c>
      <c r="N43" s="30" t="str">
        <f>IF(SUMIFS(BodyMapData_2!$E:$E,BodyMapData_2!$A:$A,Dashboard_2!$C$3,BodyMapData_2!$B:$B,$M43)=0,"",
SUMIFS(BodyMapData_2!$E:$E,BodyMapData_2!$A:$A,Dashboard_2!$C$3,BodyMapData_2!$B:$B,$M43))</f>
        <v/>
      </c>
      <c r="O43" s="30" t="str">
        <f>IF(MAXIFS(BodyMapData_2!$E:$E,BodyMapData_2!$A:$A,Dashboard_2!$C$3,BodyMapData_2!$B:$B,$M43)=0,"",
MAXIFS(BodyMapData_2!$E:$E,BodyMapData_2!$A:$A,Dashboard_2!$C$3,BodyMapData_2!$B:$B,$M43))</f>
        <v/>
      </c>
    </row>
    <row r="44">
      <c r="N44" s="30" t="str">
        <f>IF(SUMIFS(BodyMapData_2!$E:$E,BodyMapData_2!$A:$A,Dashboard_2!$C$3,BodyMapData_2!$B:$B,$M44)=0,"",
SUMIFS(BodyMapData_2!$E:$E,BodyMapData_2!$A:$A,Dashboard_2!$C$3,BodyMapData_2!$B:$B,$M44))</f>
        <v/>
      </c>
      <c r="O44" s="30" t="str">
        <f>IF(MAXIFS(BodyMapData_2!$E:$E,BodyMapData_2!$A:$A,Dashboard_2!$C$3,BodyMapData_2!$B:$B,$M44)=0,"",
MAXIFS(BodyMapData_2!$E:$E,BodyMapData_2!$A:$A,Dashboard_2!$C$3,BodyMapData_2!$B:$B,$M44))</f>
        <v/>
      </c>
    </row>
    <row r="45">
      <c r="N45" s="30" t="str">
        <f>IF(SUMIFS(BodyMapData_2!$E:$E,BodyMapData_2!$A:$A,Dashboard_2!$C$3,BodyMapData_2!$B:$B,$M45)=0,"",
SUMIFS(BodyMapData_2!$E:$E,BodyMapData_2!$A:$A,Dashboard_2!$C$3,BodyMapData_2!$B:$B,$M45))</f>
        <v/>
      </c>
      <c r="O45" s="30" t="str">
        <f>IF(MAXIFS(BodyMapData_2!$E:$E,BodyMapData_2!$A:$A,Dashboard_2!$C$3,BodyMapData_2!$B:$B,$M45)=0,"",
MAXIFS(BodyMapData_2!$E:$E,BodyMapData_2!$A:$A,Dashboard_2!$C$3,BodyMapData_2!$B:$B,$M45))</f>
        <v/>
      </c>
    </row>
    <row r="46">
      <c r="N46" s="30" t="str">
        <f>IF(SUMIFS(BodyMapData_2!$E:$E,BodyMapData_2!$A:$A,Dashboard_2!$C$3,BodyMapData_2!$B:$B,$M46)=0,"",
SUMIFS(BodyMapData_2!$E:$E,BodyMapData_2!$A:$A,Dashboard_2!$C$3,BodyMapData_2!$B:$B,$M46))</f>
        <v/>
      </c>
      <c r="O46" s="30" t="str">
        <f>IF(MAXIFS(BodyMapData_2!$E:$E,BodyMapData_2!$A:$A,Dashboard_2!$C$3,BodyMapData_2!$B:$B,$M46)=0,"",
MAXIFS(BodyMapData_2!$E:$E,BodyMapData_2!$A:$A,Dashboard_2!$C$3,BodyMapData_2!$B:$B,$M46))</f>
        <v/>
      </c>
    </row>
    <row r="47">
      <c r="N47" s="30" t="str">
        <f>IF(SUMIFS(BodyMapData_2!$E:$E,BodyMapData_2!$A:$A,Dashboard_2!$C$3,BodyMapData_2!$B:$B,$M47)=0,"",
SUMIFS(BodyMapData_2!$E:$E,BodyMapData_2!$A:$A,Dashboard_2!$C$3,BodyMapData_2!$B:$B,$M47))</f>
        <v/>
      </c>
      <c r="O47" s="30" t="str">
        <f>IF(MAXIFS(BodyMapData_2!$E:$E,BodyMapData_2!$A:$A,Dashboard_2!$C$3,BodyMapData_2!$B:$B,$M47)=0,"",
MAXIFS(BodyMapData_2!$E:$E,BodyMapData_2!$A:$A,Dashboard_2!$C$3,BodyMapData_2!$B:$B,$M47))</f>
        <v/>
      </c>
    </row>
    <row r="48">
      <c r="N48" s="30" t="str">
        <f>IF(SUMIFS(BodyMapData_2!$E:$E,BodyMapData_2!$A:$A,Dashboard_2!$C$3,BodyMapData_2!$B:$B,$M48)=0,"",
SUMIFS(BodyMapData_2!$E:$E,BodyMapData_2!$A:$A,Dashboard_2!$C$3,BodyMapData_2!$B:$B,$M48))</f>
        <v/>
      </c>
      <c r="O48" s="30" t="str">
        <f>IF(MAXIFS(BodyMapData_2!$E:$E,BodyMapData_2!$A:$A,Dashboard_2!$C$3,BodyMapData_2!$B:$B,$M48)=0,"",
MAXIFS(BodyMapData_2!$E:$E,BodyMapData_2!$A:$A,Dashboard_2!$C$3,BodyMapData_2!$B:$B,$M48))</f>
        <v/>
      </c>
    </row>
    <row r="49">
      <c r="N49" s="30" t="str">
        <f>IF(SUMIFS(BodyMapData_2!$E:$E,BodyMapData_2!$A:$A,Dashboard_2!$C$3,BodyMapData_2!$B:$B,$M49)=0,"",
SUMIFS(BodyMapData_2!$E:$E,BodyMapData_2!$A:$A,Dashboard_2!$C$3,BodyMapData_2!$B:$B,$M49))</f>
        <v/>
      </c>
      <c r="O49" s="30" t="str">
        <f>IF(MAXIFS(BodyMapData_2!$E:$E,BodyMapData_2!$A:$A,Dashboard_2!$C$3,BodyMapData_2!$B:$B,$M49)=0,"",
MAXIFS(BodyMapData_2!$E:$E,BodyMapData_2!$A:$A,Dashboard_2!$C$3,BodyMapData_2!$B:$B,$M49))</f>
        <v/>
      </c>
    </row>
    <row r="50">
      <c r="N50" s="30" t="str">
        <f>IF(SUMIFS(BodyMapData_2!$E:$E,BodyMapData_2!$A:$A,Dashboard_2!$C$3,BodyMapData_2!$B:$B,$M50)=0,"",
SUMIFS(BodyMapData_2!$E:$E,BodyMapData_2!$A:$A,Dashboard_2!$C$3,BodyMapData_2!$B:$B,$M50))</f>
        <v/>
      </c>
      <c r="O50" s="30" t="str">
        <f>IF(MAXIFS(BodyMapData_2!$E:$E,BodyMapData_2!$A:$A,Dashboard_2!$C$3,BodyMapData_2!$B:$B,$M50)=0,"",
MAXIFS(BodyMapData_2!$E:$E,BodyMapData_2!$A:$A,Dashboard_2!$C$3,BodyMapData_2!$B:$B,$M50))</f>
        <v/>
      </c>
    </row>
    <row r="51">
      <c r="N51" s="30" t="str">
        <f>IF(SUMIFS(BodyMapData_2!$E:$E,BodyMapData_2!$A:$A,Dashboard_2!$C$3,BodyMapData_2!$B:$B,$M51)=0,"",
SUMIFS(BodyMapData_2!$E:$E,BodyMapData_2!$A:$A,Dashboard_2!$C$3,BodyMapData_2!$B:$B,$M51))</f>
        <v/>
      </c>
      <c r="O51" s="30" t="str">
        <f>IF(MAXIFS(BodyMapData_2!$E:$E,BodyMapData_2!$A:$A,Dashboard_2!$C$3,BodyMapData_2!$B:$B,$M51)=0,"",
MAXIFS(BodyMapData_2!$E:$E,BodyMapData_2!$A:$A,Dashboard_2!$C$3,BodyMapData_2!$B:$B,$M51))</f>
        <v/>
      </c>
    </row>
    <row r="52">
      <c r="N52" s="30" t="str">
        <f>IF(SUMIFS(BodyMapData_2!$E:$E,BodyMapData_2!$A:$A,Dashboard_2!$C$3,BodyMapData_2!$B:$B,$M52)=0,"",
SUMIFS(BodyMapData_2!$E:$E,BodyMapData_2!$A:$A,Dashboard_2!$C$3,BodyMapData_2!$B:$B,$M52))</f>
        <v/>
      </c>
      <c r="O52" s="30" t="str">
        <f>IF(MAXIFS(BodyMapData_2!$E:$E,BodyMapData_2!$A:$A,Dashboard_2!$C$3,BodyMapData_2!$B:$B,$M52)=0,"",
MAXIFS(BodyMapData_2!$E:$E,BodyMapData_2!$A:$A,Dashboard_2!$C$3,BodyMapData_2!$B:$B,$M52))</f>
        <v/>
      </c>
    </row>
    <row r="53">
      <c r="N53" s="30" t="str">
        <f>IF(SUMIFS(BodyMapData_2!$E:$E,BodyMapData_2!$A:$A,Dashboard_2!$C$3,BodyMapData_2!$B:$B,$M53)=0,"",
SUMIFS(BodyMapData_2!$E:$E,BodyMapData_2!$A:$A,Dashboard_2!$C$3,BodyMapData_2!$B:$B,$M53))</f>
        <v/>
      </c>
      <c r="O53" s="30" t="str">
        <f>IF(MAXIFS(BodyMapData_2!$E:$E,BodyMapData_2!$A:$A,Dashboard_2!$C$3,BodyMapData_2!$B:$B,$M53)=0,"",
MAXIFS(BodyMapData_2!$E:$E,BodyMapData_2!$A:$A,Dashboard_2!$C$3,BodyMapData_2!$B:$B,$M53))</f>
        <v/>
      </c>
    </row>
    <row r="54">
      <c r="N54" s="30" t="str">
        <f>IF(SUMIFS(BodyMapData_2!$E:$E,BodyMapData_2!$A:$A,Dashboard_2!$C$3,BodyMapData_2!$B:$B,$M54)=0,"",
SUMIFS(BodyMapData_2!$E:$E,BodyMapData_2!$A:$A,Dashboard_2!$C$3,BodyMapData_2!$B:$B,$M54))</f>
        <v/>
      </c>
      <c r="O54" s="30" t="str">
        <f>IF(MAXIFS(BodyMapData_2!$E:$E,BodyMapData_2!$A:$A,Dashboard_2!$C$3,BodyMapData_2!$B:$B,$M54)=0,"",
MAXIFS(BodyMapData_2!$E:$E,BodyMapData_2!$A:$A,Dashboard_2!$C$3,BodyMapData_2!$B:$B,$M54))</f>
        <v/>
      </c>
    </row>
    <row r="55">
      <c r="N55" s="30" t="str">
        <f>IF(SUMIFS(BodyMapData_2!$E:$E,BodyMapData_2!$A:$A,Dashboard_2!$C$3,BodyMapData_2!$B:$B,$M55)=0,"",
SUMIFS(BodyMapData_2!$E:$E,BodyMapData_2!$A:$A,Dashboard_2!$C$3,BodyMapData_2!$B:$B,$M55))</f>
        <v/>
      </c>
      <c r="O55" s="30" t="str">
        <f>IF(MAXIFS(BodyMapData_2!$E:$E,BodyMapData_2!$A:$A,Dashboard_2!$C$3,BodyMapData_2!$B:$B,$M55)=0,"",
MAXIFS(BodyMapData_2!$E:$E,BodyMapData_2!$A:$A,Dashboard_2!$C$3,BodyMapData_2!$B:$B,$M55))</f>
        <v/>
      </c>
    </row>
    <row r="56">
      <c r="N56" s="30" t="str">
        <f>IF(SUMIFS(BodyMapData_2!$E:$E,BodyMapData_2!$A:$A,Dashboard_2!$C$3,BodyMapData_2!$B:$B,$M56)=0,"",
SUMIFS(BodyMapData_2!$E:$E,BodyMapData_2!$A:$A,Dashboard_2!$C$3,BodyMapData_2!$B:$B,$M56))</f>
        <v/>
      </c>
      <c r="O56" s="30" t="str">
        <f>IF(MAXIFS(BodyMapData_2!$E:$E,BodyMapData_2!$A:$A,Dashboard_2!$C$3,BodyMapData_2!$B:$B,$M56)=0,"",
MAXIFS(BodyMapData_2!$E:$E,BodyMapData_2!$A:$A,Dashboard_2!$C$3,BodyMapData_2!$B:$B,$M56))</f>
        <v/>
      </c>
    </row>
    <row r="57">
      <c r="N57" s="30" t="str">
        <f>IF(SUMIFS(BodyMapData_2!$E:$E,BodyMapData_2!$A:$A,Dashboard_2!$C$3,BodyMapData_2!$B:$B,$M57)=0,"",
SUMIFS(BodyMapData_2!$E:$E,BodyMapData_2!$A:$A,Dashboard_2!$C$3,BodyMapData_2!$B:$B,$M57))</f>
        <v/>
      </c>
      <c r="O57" s="30" t="str">
        <f>IF(MAXIFS(BodyMapData_2!$E:$E,BodyMapData_2!$A:$A,Dashboard_2!$C$3,BodyMapData_2!$B:$B,$M57)=0,"",
MAXIFS(BodyMapData_2!$E:$E,BodyMapData_2!$A:$A,Dashboard_2!$C$3,BodyMapData_2!$B:$B,$M57))</f>
        <v/>
      </c>
    </row>
    <row r="58">
      <c r="N58" s="30" t="str">
        <f>IF(SUMIFS(BodyMapData_2!$E:$E,BodyMapData_2!$A:$A,Dashboard_2!$C$3,BodyMapData_2!$B:$B,$M58)=0,"",
SUMIFS(BodyMapData_2!$E:$E,BodyMapData_2!$A:$A,Dashboard_2!$C$3,BodyMapData_2!$B:$B,$M58))</f>
        <v/>
      </c>
      <c r="O58" s="30" t="str">
        <f>IF(MAXIFS(BodyMapData_2!$E:$E,BodyMapData_2!$A:$A,Dashboard_2!$C$3,BodyMapData_2!$B:$B,$M58)=0,"",
MAXIFS(BodyMapData_2!$E:$E,BodyMapData_2!$A:$A,Dashboard_2!$C$3,BodyMapData_2!$B:$B,$M58))</f>
        <v/>
      </c>
    </row>
    <row r="59">
      <c r="N59" s="30" t="str">
        <f>IF(SUMIFS(BodyMapData_2!$E:$E,BodyMapData_2!$A:$A,Dashboard_2!$C$3,BodyMapData_2!$B:$B,$M59)=0,"",
SUMIFS(BodyMapData_2!$E:$E,BodyMapData_2!$A:$A,Dashboard_2!$C$3,BodyMapData_2!$B:$B,$M59))</f>
        <v/>
      </c>
      <c r="O59" s="30" t="str">
        <f>IF(MAXIFS(BodyMapData_2!$E:$E,BodyMapData_2!$A:$A,Dashboard_2!$C$3,BodyMapData_2!$B:$B,$M59)=0,"",
MAXIFS(BodyMapData_2!$E:$E,BodyMapData_2!$A:$A,Dashboard_2!$C$3,BodyMapData_2!$B:$B,$M59))</f>
        <v/>
      </c>
    </row>
    <row r="60">
      <c r="N60" s="30" t="str">
        <f>IF(SUMIFS(BodyMapData_2!$E:$E,BodyMapData_2!$A:$A,Dashboard_2!$C$3,BodyMapData_2!$B:$B,$M60)=0,"",
SUMIFS(BodyMapData_2!$E:$E,BodyMapData_2!$A:$A,Dashboard_2!$C$3,BodyMapData_2!$B:$B,$M60))</f>
        <v/>
      </c>
      <c r="O60" s="30" t="str">
        <f>IF(MAXIFS(BodyMapData_2!$E:$E,BodyMapData_2!$A:$A,Dashboard_2!$C$3,BodyMapData_2!$B:$B,$M60)=0,"",
MAXIFS(BodyMapData_2!$E:$E,BodyMapData_2!$A:$A,Dashboard_2!$C$3,BodyMapData_2!$B:$B,$M60))</f>
        <v/>
      </c>
    </row>
    <row r="61">
      <c r="N61" s="30" t="str">
        <f>IF(SUMIFS(BodyMapData_2!$E:$E,BodyMapData_2!$A:$A,Dashboard_2!$C$3,BodyMapData_2!$B:$B,$M61)=0,"",
SUMIFS(BodyMapData_2!$E:$E,BodyMapData_2!$A:$A,Dashboard_2!$C$3,BodyMapData_2!$B:$B,$M61))</f>
        <v/>
      </c>
      <c r="O61" s="30" t="str">
        <f>IF(MAXIFS(BodyMapData_2!$E:$E,BodyMapData_2!$A:$A,Dashboard_2!$C$3,BodyMapData_2!$B:$B,$M61)=0,"",
MAXIFS(BodyMapData_2!$E:$E,BodyMapData_2!$A:$A,Dashboard_2!$C$3,BodyMapData_2!$B:$B,$M61))</f>
        <v/>
      </c>
    </row>
    <row r="62">
      <c r="N62" s="30" t="str">
        <f>IF(SUMIFS(BodyMapData_2!$E:$E,BodyMapData_2!$A:$A,Dashboard_2!$C$3,BodyMapData_2!$B:$B,$M62)=0,"",
SUMIFS(BodyMapData_2!$E:$E,BodyMapData_2!$A:$A,Dashboard_2!$C$3,BodyMapData_2!$B:$B,$M62))</f>
        <v/>
      </c>
      <c r="O62" s="30" t="str">
        <f>IF(MAXIFS(BodyMapData_2!$E:$E,BodyMapData_2!$A:$A,Dashboard_2!$C$3,BodyMapData_2!$B:$B,$M62)=0,"",
MAXIFS(BodyMapData_2!$E:$E,BodyMapData_2!$A:$A,Dashboard_2!$C$3,BodyMapData_2!$B:$B,$M62))</f>
        <v/>
      </c>
    </row>
    <row r="63">
      <c r="N63" s="30" t="str">
        <f>IF(SUMIFS(BodyMapData_2!$E:$E,BodyMapData_2!$A:$A,Dashboard_2!$C$3,BodyMapData_2!$B:$B,$M63)=0,"",
SUMIFS(BodyMapData_2!$E:$E,BodyMapData_2!$A:$A,Dashboard_2!$C$3,BodyMapData_2!$B:$B,$M63))</f>
        <v/>
      </c>
      <c r="O63" s="30" t="str">
        <f>IF(MAXIFS(BodyMapData_2!$E:$E,BodyMapData_2!$A:$A,Dashboard_2!$C$3,BodyMapData_2!$B:$B,$M63)=0,"",
MAXIFS(BodyMapData_2!$E:$E,BodyMapData_2!$A:$A,Dashboard_2!$C$3,BodyMapData_2!$B:$B,$M63))</f>
        <v/>
      </c>
    </row>
    <row r="64">
      <c r="N64" s="30" t="str">
        <f>IF(SUMIFS(BodyMapData_2!$E:$E,BodyMapData_2!$A:$A,Dashboard_2!$C$3,BodyMapData_2!$B:$B,$M64)=0,"",
SUMIFS(BodyMapData_2!$E:$E,BodyMapData_2!$A:$A,Dashboard_2!$C$3,BodyMapData_2!$B:$B,$M64))</f>
        <v/>
      </c>
      <c r="O64" s="30" t="str">
        <f>IF(MAXIFS(BodyMapData_2!$E:$E,BodyMapData_2!$A:$A,Dashboard_2!$C$3,BodyMapData_2!$B:$B,$M64)=0,"",
MAXIFS(BodyMapData_2!$E:$E,BodyMapData_2!$A:$A,Dashboard_2!$C$3,BodyMapData_2!$B:$B,$M64))</f>
        <v/>
      </c>
    </row>
    <row r="65">
      <c r="N65" s="30" t="str">
        <f>IF(SUMIFS(BodyMapData_2!$E:$E,BodyMapData_2!$A:$A,Dashboard_2!$C$3,BodyMapData_2!$B:$B,$M65)=0,"",
SUMIFS(BodyMapData_2!$E:$E,BodyMapData_2!$A:$A,Dashboard_2!$C$3,BodyMapData_2!$B:$B,$M65))</f>
        <v/>
      </c>
      <c r="O65" s="30" t="str">
        <f>IF(MAXIFS(BodyMapData_2!$E:$E,BodyMapData_2!$A:$A,Dashboard_2!$C$3,BodyMapData_2!$B:$B,$M65)=0,"",
MAXIFS(BodyMapData_2!$E:$E,BodyMapData_2!$A:$A,Dashboard_2!$C$3,BodyMapData_2!$B:$B,$M65))</f>
        <v/>
      </c>
    </row>
    <row r="66">
      <c r="N66" s="30" t="str">
        <f>IF(SUMIFS(BodyMapData_2!$E:$E,BodyMapData_2!$A:$A,Dashboard_2!$C$3,BodyMapData_2!$B:$B,$M66)=0,"",
SUMIFS(BodyMapData_2!$E:$E,BodyMapData_2!$A:$A,Dashboard_2!$C$3,BodyMapData_2!$B:$B,$M66))</f>
        <v/>
      </c>
      <c r="O66" s="30" t="str">
        <f>IF(MAXIFS(BodyMapData_2!$E:$E,BodyMapData_2!$A:$A,Dashboard_2!$C$3,BodyMapData_2!$B:$B,$M66)=0,"",
MAXIFS(BodyMapData_2!$E:$E,BodyMapData_2!$A:$A,Dashboard_2!$C$3,BodyMapData_2!$B:$B,$M66))</f>
        <v/>
      </c>
    </row>
    <row r="67">
      <c r="N67" s="30" t="str">
        <f>IF(SUMIFS(BodyMapData_2!$E:$E,BodyMapData_2!$A:$A,Dashboard_2!$C$3,BodyMapData_2!$B:$B,$M67)=0,"",
SUMIFS(BodyMapData_2!$E:$E,BodyMapData_2!$A:$A,Dashboard_2!$C$3,BodyMapData_2!$B:$B,$M67))</f>
        <v/>
      </c>
      <c r="O67" s="30" t="str">
        <f>IF(MAXIFS(BodyMapData_2!$E:$E,BodyMapData_2!$A:$A,Dashboard_2!$C$3,BodyMapData_2!$B:$B,$M67)=0,"",
MAXIFS(BodyMapData_2!$E:$E,BodyMapData_2!$A:$A,Dashboard_2!$C$3,BodyMapData_2!$B:$B,$M67))</f>
        <v/>
      </c>
    </row>
    <row r="68">
      <c r="N68" s="30" t="str">
        <f>IF(SUMIFS(BodyMapData_2!$E:$E,BodyMapData_2!$A:$A,Dashboard_2!$C$3,BodyMapData_2!$B:$B,$M68)=0,"",
SUMIFS(BodyMapData_2!$E:$E,BodyMapData_2!$A:$A,Dashboard_2!$C$3,BodyMapData_2!$B:$B,$M68))</f>
        <v/>
      </c>
      <c r="O68" s="30" t="str">
        <f>IF(MAXIFS(BodyMapData_2!$E:$E,BodyMapData_2!$A:$A,Dashboard_2!$C$3,BodyMapData_2!$B:$B,$M68)=0,"",
MAXIFS(BodyMapData_2!$E:$E,BodyMapData_2!$A:$A,Dashboard_2!$C$3,BodyMapData_2!$B:$B,$M68))</f>
        <v/>
      </c>
    </row>
    <row r="69">
      <c r="N69" s="30" t="str">
        <f>IF(SUMIFS(BodyMapData_2!$E:$E,BodyMapData_2!$A:$A,Dashboard_2!$C$3,BodyMapData_2!$B:$B,$M69)=0,"",
SUMIFS(BodyMapData_2!$E:$E,BodyMapData_2!$A:$A,Dashboard_2!$C$3,BodyMapData_2!$B:$B,$M69))</f>
        <v/>
      </c>
      <c r="O69" s="30" t="str">
        <f>IF(MAXIFS(BodyMapData_2!$E:$E,BodyMapData_2!$A:$A,Dashboard_2!$C$3,BodyMapData_2!$B:$B,$M69)=0,"",
MAXIFS(BodyMapData_2!$E:$E,BodyMapData_2!$A:$A,Dashboard_2!$C$3,BodyMapData_2!$B:$B,$M69))</f>
        <v/>
      </c>
    </row>
    <row r="70">
      <c r="N70" s="30" t="str">
        <f>IF(SUMIFS(BodyMapData_2!$E:$E,BodyMapData_2!$A:$A,Dashboard_2!$C$3,BodyMapData_2!$B:$B,$M70)=0,"",
SUMIFS(BodyMapData_2!$E:$E,BodyMapData_2!$A:$A,Dashboard_2!$C$3,BodyMapData_2!$B:$B,$M70))</f>
        <v/>
      </c>
      <c r="O70" s="30" t="str">
        <f>IF(MAXIFS(BodyMapData_2!$E:$E,BodyMapData_2!$A:$A,Dashboard_2!$C$3,BodyMapData_2!$B:$B,$M70)=0,"",
MAXIFS(BodyMapData_2!$E:$E,BodyMapData_2!$A:$A,Dashboard_2!$C$3,BodyMapData_2!$B:$B,$M70))</f>
        <v/>
      </c>
    </row>
    <row r="71">
      <c r="N71" s="30" t="str">
        <f>IF(SUMIFS(BodyMapData_2!$E:$E,BodyMapData_2!$A:$A,Dashboard_2!$C$3,BodyMapData_2!$B:$B,$M71)=0,"",
SUMIFS(BodyMapData_2!$E:$E,BodyMapData_2!$A:$A,Dashboard_2!$C$3,BodyMapData_2!$B:$B,$M71))</f>
        <v/>
      </c>
      <c r="O71" s="30" t="str">
        <f>IF(MAXIFS(BodyMapData_2!$E:$E,BodyMapData_2!$A:$A,Dashboard_2!$C$3,BodyMapData_2!$B:$B,$M71)=0,"",
MAXIFS(BodyMapData_2!$E:$E,BodyMapData_2!$A:$A,Dashboard_2!$C$3,BodyMapData_2!$B:$B,$M71))</f>
        <v/>
      </c>
    </row>
    <row r="72">
      <c r="N72" s="30" t="str">
        <f>IF(SUMIFS(BodyMapData_2!$E:$E,BodyMapData_2!$A:$A,Dashboard_2!$C$3,BodyMapData_2!$B:$B,$M72)=0,"",
SUMIFS(BodyMapData_2!$E:$E,BodyMapData_2!$A:$A,Dashboard_2!$C$3,BodyMapData_2!$B:$B,$M72))</f>
        <v/>
      </c>
      <c r="O72" s="30" t="str">
        <f>IF(MAXIFS(BodyMapData_2!$E:$E,BodyMapData_2!$A:$A,Dashboard_2!$C$3,BodyMapData_2!$B:$B,$M72)=0,"",
MAXIFS(BodyMapData_2!$E:$E,BodyMapData_2!$A:$A,Dashboard_2!$C$3,BodyMapData_2!$B:$B,$M72))</f>
        <v/>
      </c>
    </row>
    <row r="73">
      <c r="N73" s="30" t="str">
        <f>IF(SUMIFS(BodyMapData_2!$E:$E,BodyMapData_2!$A:$A,Dashboard_2!$C$3,BodyMapData_2!$B:$B,$M73)=0,"",
SUMIFS(BodyMapData_2!$E:$E,BodyMapData_2!$A:$A,Dashboard_2!$C$3,BodyMapData_2!$B:$B,$M73))</f>
        <v/>
      </c>
      <c r="O73" s="30" t="str">
        <f>IF(MAXIFS(BodyMapData_2!$E:$E,BodyMapData_2!$A:$A,Dashboard_2!$C$3,BodyMapData_2!$B:$B,$M73)=0,"",
MAXIFS(BodyMapData_2!$E:$E,BodyMapData_2!$A:$A,Dashboard_2!$C$3,BodyMapData_2!$B:$B,$M73))</f>
        <v/>
      </c>
    </row>
    <row r="74">
      <c r="N74" s="30" t="str">
        <f>IF(SUMIFS(BodyMapData_2!$E:$E,BodyMapData_2!$A:$A,Dashboard_2!$C$3,BodyMapData_2!$B:$B,$M74)=0,"",
SUMIFS(BodyMapData_2!$E:$E,BodyMapData_2!$A:$A,Dashboard_2!$C$3,BodyMapData_2!$B:$B,$M74))</f>
        <v/>
      </c>
      <c r="O74" s="30" t="str">
        <f>IF(MAXIFS(BodyMapData_2!$E:$E,BodyMapData_2!$A:$A,Dashboard_2!$C$3,BodyMapData_2!$B:$B,$M74)=0,"",
MAXIFS(BodyMapData_2!$E:$E,BodyMapData_2!$A:$A,Dashboard_2!$C$3,BodyMapData_2!$B:$B,$M74))</f>
        <v/>
      </c>
    </row>
    <row r="75">
      <c r="N75" s="30" t="str">
        <f>IF(SUMIFS(BodyMapData_2!$E:$E,BodyMapData_2!$A:$A,Dashboard_2!$C$3,BodyMapData_2!$B:$B,$M75)=0,"",
SUMIFS(BodyMapData_2!$E:$E,BodyMapData_2!$A:$A,Dashboard_2!$C$3,BodyMapData_2!$B:$B,$M75))</f>
        <v/>
      </c>
      <c r="O75" s="30" t="str">
        <f>IF(MAXIFS(BodyMapData_2!$E:$E,BodyMapData_2!$A:$A,Dashboard_2!$C$3,BodyMapData_2!$B:$B,$M75)=0,"",
MAXIFS(BodyMapData_2!$E:$E,BodyMapData_2!$A:$A,Dashboard_2!$C$3,BodyMapData_2!$B:$B,$M75))</f>
        <v/>
      </c>
    </row>
    <row r="76">
      <c r="N76" s="30" t="str">
        <f>IF(SUMIFS(BodyMapData_2!$E:$E,BodyMapData_2!$A:$A,Dashboard_2!$C$3,BodyMapData_2!$B:$B,$M76)=0,"",
SUMIFS(BodyMapData_2!$E:$E,BodyMapData_2!$A:$A,Dashboard_2!$C$3,BodyMapData_2!$B:$B,$M76))</f>
        <v/>
      </c>
      <c r="O76" s="30" t="str">
        <f>IF(MAXIFS(BodyMapData_2!$E:$E,BodyMapData_2!$A:$A,Dashboard_2!$C$3,BodyMapData_2!$B:$B,$M76)=0,"",
MAXIFS(BodyMapData_2!$E:$E,BodyMapData_2!$A:$A,Dashboard_2!$C$3,BodyMapData_2!$B:$B,$M76))</f>
        <v/>
      </c>
    </row>
    <row r="77">
      <c r="N77" s="30" t="str">
        <f>IF(SUMIFS(BodyMapData_2!$E:$E,BodyMapData_2!$A:$A,Dashboard_2!$C$3,BodyMapData_2!$B:$B,$M77)=0,"",
SUMIFS(BodyMapData_2!$E:$E,BodyMapData_2!$A:$A,Dashboard_2!$C$3,BodyMapData_2!$B:$B,$M77))</f>
        <v/>
      </c>
      <c r="O77" s="30" t="str">
        <f>IF(MAXIFS(BodyMapData_2!$E:$E,BodyMapData_2!$A:$A,Dashboard_2!$C$3,BodyMapData_2!$B:$B,$M77)=0,"",
MAXIFS(BodyMapData_2!$E:$E,BodyMapData_2!$A:$A,Dashboard_2!$C$3,BodyMapData_2!$B:$B,$M77))</f>
        <v/>
      </c>
    </row>
    <row r="78">
      <c r="N78" s="30" t="str">
        <f>IF(SUMIFS(BodyMapData_2!$E:$E,BodyMapData_2!$A:$A,Dashboard_2!$C$3,BodyMapData_2!$B:$B,$M78)=0,"",
SUMIFS(BodyMapData_2!$E:$E,BodyMapData_2!$A:$A,Dashboard_2!$C$3,BodyMapData_2!$B:$B,$M78))</f>
        <v/>
      </c>
      <c r="O78" s="30" t="str">
        <f>IF(MAXIFS(BodyMapData_2!$E:$E,BodyMapData_2!$A:$A,Dashboard_2!$C$3,BodyMapData_2!$B:$B,$M78)=0,"",
MAXIFS(BodyMapData_2!$E:$E,BodyMapData_2!$A:$A,Dashboard_2!$C$3,BodyMapData_2!$B:$B,$M78))</f>
        <v/>
      </c>
    </row>
    <row r="79">
      <c r="N79" s="30" t="str">
        <f>IF(SUMIFS(BodyMapData_2!$E:$E,BodyMapData_2!$A:$A,Dashboard_2!$C$3,BodyMapData_2!$B:$B,$M79)=0,"",
SUMIFS(BodyMapData_2!$E:$E,BodyMapData_2!$A:$A,Dashboard_2!$C$3,BodyMapData_2!$B:$B,$M79))</f>
        <v/>
      </c>
      <c r="O79" s="30" t="str">
        <f>IF(MAXIFS(BodyMapData_2!$E:$E,BodyMapData_2!$A:$A,Dashboard_2!$C$3,BodyMapData_2!$B:$B,$M79)=0,"",
MAXIFS(BodyMapData_2!$E:$E,BodyMapData_2!$A:$A,Dashboard_2!$C$3,BodyMapData_2!$B:$B,$M79))</f>
        <v/>
      </c>
    </row>
    <row r="80">
      <c r="N80" s="30" t="str">
        <f>IF(SUMIFS(BodyMapData_2!$E:$E,BodyMapData_2!$A:$A,Dashboard_2!$C$3,BodyMapData_2!$B:$B,$M80)=0,"",
SUMIFS(BodyMapData_2!$E:$E,BodyMapData_2!$A:$A,Dashboard_2!$C$3,BodyMapData_2!$B:$B,$M80))</f>
        <v/>
      </c>
      <c r="O80" s="30" t="str">
        <f>IF(MAXIFS(BodyMapData_2!$E:$E,BodyMapData_2!$A:$A,Dashboard_2!$C$3,BodyMapData_2!$B:$B,$M80)=0,"",
MAXIFS(BodyMapData_2!$E:$E,BodyMapData_2!$A:$A,Dashboard_2!$C$3,BodyMapData_2!$B:$B,$M80))</f>
        <v/>
      </c>
    </row>
    <row r="81">
      <c r="N81" s="30" t="str">
        <f>IF(SUMIFS(BodyMapData_2!$E:$E,BodyMapData_2!$A:$A,Dashboard_2!$C$3,BodyMapData_2!$B:$B,$M81)=0,"",
SUMIFS(BodyMapData_2!$E:$E,BodyMapData_2!$A:$A,Dashboard_2!$C$3,BodyMapData_2!$B:$B,$M81))</f>
        <v/>
      </c>
      <c r="O81" s="30" t="str">
        <f>IF(MAXIFS(BodyMapData_2!$E:$E,BodyMapData_2!$A:$A,Dashboard_2!$C$3,BodyMapData_2!$B:$B,$M81)=0,"",
MAXIFS(BodyMapData_2!$E:$E,BodyMapData_2!$A:$A,Dashboard_2!$C$3,BodyMapData_2!$B:$B,$M81))</f>
        <v/>
      </c>
    </row>
    <row r="82">
      <c r="N82" s="30" t="str">
        <f>IF(SUMIFS(BodyMapData_2!$E:$E,BodyMapData_2!$A:$A,Dashboard_2!$C$3,BodyMapData_2!$B:$B,$M82)=0,"",
SUMIFS(BodyMapData_2!$E:$E,BodyMapData_2!$A:$A,Dashboard_2!$C$3,BodyMapData_2!$B:$B,$M82))</f>
        <v/>
      </c>
      <c r="O82" s="30" t="str">
        <f>IF(MAXIFS(BodyMapData_2!$E:$E,BodyMapData_2!$A:$A,Dashboard_2!$C$3,BodyMapData_2!$B:$B,$M82)=0,"",
MAXIFS(BodyMapData_2!$E:$E,BodyMapData_2!$A:$A,Dashboard_2!$C$3,BodyMapData_2!$B:$B,$M82))</f>
        <v/>
      </c>
    </row>
    <row r="83">
      <c r="N83" s="30" t="str">
        <f>IF(SUMIFS(BodyMapData_2!$E:$E,BodyMapData_2!$A:$A,Dashboard_2!$C$3,BodyMapData_2!$B:$B,$M83)=0,"",
SUMIFS(BodyMapData_2!$E:$E,BodyMapData_2!$A:$A,Dashboard_2!$C$3,BodyMapData_2!$B:$B,$M83))</f>
        <v/>
      </c>
      <c r="O83" s="30" t="str">
        <f>IF(MAXIFS(BodyMapData_2!$E:$E,BodyMapData_2!$A:$A,Dashboard_2!$C$3,BodyMapData_2!$B:$B,$M83)=0,"",
MAXIFS(BodyMapData_2!$E:$E,BodyMapData_2!$A:$A,Dashboard_2!$C$3,BodyMapData_2!$B:$B,$M83))</f>
        <v/>
      </c>
    </row>
    <row r="84">
      <c r="N84" s="30" t="str">
        <f>IF(SUMIFS(BodyMapData_2!$E:$E,BodyMapData_2!$A:$A,Dashboard_2!$C$3,BodyMapData_2!$B:$B,$M84)=0,"",
SUMIFS(BodyMapData_2!$E:$E,BodyMapData_2!$A:$A,Dashboard_2!$C$3,BodyMapData_2!$B:$B,$M84))</f>
        <v/>
      </c>
      <c r="O84" s="30" t="str">
        <f>IF(MAXIFS(BodyMapData_2!$E:$E,BodyMapData_2!$A:$A,Dashboard_2!$C$3,BodyMapData_2!$B:$B,$M84)=0,"",
MAXIFS(BodyMapData_2!$E:$E,BodyMapData_2!$A:$A,Dashboard_2!$C$3,BodyMapData_2!$B:$B,$M84))</f>
        <v/>
      </c>
    </row>
    <row r="85">
      <c r="N85" s="30" t="str">
        <f>IF(SUMIFS(BodyMapData_2!$E:$E,BodyMapData_2!$A:$A,Dashboard_2!$C$3,BodyMapData_2!$B:$B,$M85)=0,"",
SUMIFS(BodyMapData_2!$E:$E,BodyMapData_2!$A:$A,Dashboard_2!$C$3,BodyMapData_2!$B:$B,$M85))</f>
        <v/>
      </c>
      <c r="O85" s="30" t="str">
        <f>IF(MAXIFS(BodyMapData_2!$E:$E,BodyMapData_2!$A:$A,Dashboard_2!$C$3,BodyMapData_2!$B:$B,$M85)=0,"",
MAXIFS(BodyMapData_2!$E:$E,BodyMapData_2!$A:$A,Dashboard_2!$C$3,BodyMapData_2!$B:$B,$M85))</f>
        <v/>
      </c>
    </row>
    <row r="86">
      <c r="N86" s="30" t="str">
        <f>IF(SUMIFS(BodyMapData_2!$E:$E,BodyMapData_2!$A:$A,Dashboard_2!$C$3,BodyMapData_2!$B:$B,$M86)=0,"",
SUMIFS(BodyMapData_2!$E:$E,BodyMapData_2!$A:$A,Dashboard_2!$C$3,BodyMapData_2!$B:$B,$M86))</f>
        <v/>
      </c>
      <c r="O86" s="30" t="str">
        <f>IF(MAXIFS(BodyMapData_2!$E:$E,BodyMapData_2!$A:$A,Dashboard_2!$C$3,BodyMapData_2!$B:$B,$M86)=0,"",
MAXIFS(BodyMapData_2!$E:$E,BodyMapData_2!$A:$A,Dashboard_2!$C$3,BodyMapData_2!$B:$B,$M86))</f>
        <v/>
      </c>
    </row>
    <row r="87">
      <c r="N87" s="30" t="str">
        <f>IF(SUMIFS(BodyMapData_2!$E:$E,BodyMapData_2!$A:$A,Dashboard_2!$C$3,BodyMapData_2!$B:$B,$M87)=0,"",
SUMIFS(BodyMapData_2!$E:$E,BodyMapData_2!$A:$A,Dashboard_2!$C$3,BodyMapData_2!$B:$B,$M87))</f>
        <v/>
      </c>
      <c r="O87" s="30" t="str">
        <f>IF(MAXIFS(BodyMapData_2!$E:$E,BodyMapData_2!$A:$A,Dashboard_2!$C$3,BodyMapData_2!$B:$B,$M87)=0,"",
MAXIFS(BodyMapData_2!$E:$E,BodyMapData_2!$A:$A,Dashboard_2!$C$3,BodyMapData_2!$B:$B,$M87))</f>
        <v/>
      </c>
    </row>
    <row r="88">
      <c r="N88" s="30" t="str">
        <f>IF(SUMIFS(BodyMapData_2!$E:$E,BodyMapData_2!$A:$A,Dashboard_2!$C$3,BodyMapData_2!$B:$B,$M88)=0,"",
SUMIFS(BodyMapData_2!$E:$E,BodyMapData_2!$A:$A,Dashboard_2!$C$3,BodyMapData_2!$B:$B,$M88))</f>
        <v/>
      </c>
      <c r="O88" s="30" t="str">
        <f>IF(MAXIFS(BodyMapData_2!$E:$E,BodyMapData_2!$A:$A,Dashboard_2!$C$3,BodyMapData_2!$B:$B,$M88)=0,"",
MAXIFS(BodyMapData_2!$E:$E,BodyMapData_2!$A:$A,Dashboard_2!$C$3,BodyMapData_2!$B:$B,$M88))</f>
        <v/>
      </c>
    </row>
    <row r="89">
      <c r="N89" s="30" t="str">
        <f>IF(SUMIFS(BodyMapData_2!$E:$E,BodyMapData_2!$A:$A,Dashboard_2!$C$3,BodyMapData_2!$B:$B,$M89)=0,"",
SUMIFS(BodyMapData_2!$E:$E,BodyMapData_2!$A:$A,Dashboard_2!$C$3,BodyMapData_2!$B:$B,$M89))</f>
        <v/>
      </c>
      <c r="O89" s="30" t="str">
        <f>IF(MAXIFS(BodyMapData_2!$E:$E,BodyMapData_2!$A:$A,Dashboard_2!$C$3,BodyMapData_2!$B:$B,$M89)=0,"",
MAXIFS(BodyMapData_2!$E:$E,BodyMapData_2!$A:$A,Dashboard_2!$C$3,BodyMapData_2!$B:$B,$M89))</f>
        <v/>
      </c>
    </row>
    <row r="90">
      <c r="N90" s="30" t="str">
        <f>IF(SUMIFS(BodyMapData_2!$E:$E,BodyMapData_2!$A:$A,Dashboard_2!$C$3,BodyMapData_2!$B:$B,$M90)=0,"",
SUMIFS(BodyMapData_2!$E:$E,BodyMapData_2!$A:$A,Dashboard_2!$C$3,BodyMapData_2!$B:$B,$M90))</f>
        <v/>
      </c>
      <c r="O90" s="30" t="str">
        <f>IF(MAXIFS(BodyMapData_2!$E:$E,BodyMapData_2!$A:$A,Dashboard_2!$C$3,BodyMapData_2!$B:$B,$M90)=0,"",
MAXIFS(BodyMapData_2!$E:$E,BodyMapData_2!$A:$A,Dashboard_2!$C$3,BodyMapData_2!$B:$B,$M90))</f>
        <v/>
      </c>
    </row>
    <row r="91">
      <c r="N91" s="30" t="str">
        <f>IF(SUMIFS(BodyMapData_2!$E:$E,BodyMapData_2!$A:$A,Dashboard_2!$C$3,BodyMapData_2!$B:$B,$M91)=0,"",
SUMIFS(BodyMapData_2!$E:$E,BodyMapData_2!$A:$A,Dashboard_2!$C$3,BodyMapData_2!$B:$B,$M91))</f>
        <v/>
      </c>
      <c r="O91" s="30" t="str">
        <f>IF(MAXIFS(BodyMapData_2!$E:$E,BodyMapData_2!$A:$A,Dashboard_2!$C$3,BodyMapData_2!$B:$B,$M91)=0,"",
MAXIFS(BodyMapData_2!$E:$E,BodyMapData_2!$A:$A,Dashboard_2!$C$3,BodyMapData_2!$B:$B,$M91))</f>
        <v/>
      </c>
    </row>
    <row r="92">
      <c r="N92" s="30" t="str">
        <f>IF(SUMIFS(BodyMapData_2!$E:$E,BodyMapData_2!$A:$A,Dashboard_2!$C$3,BodyMapData_2!$B:$B,$M92)=0,"",
SUMIFS(BodyMapData_2!$E:$E,BodyMapData_2!$A:$A,Dashboard_2!$C$3,BodyMapData_2!$B:$B,$M92))</f>
        <v/>
      </c>
      <c r="O92" s="30" t="str">
        <f>IF(MAXIFS(BodyMapData_2!$E:$E,BodyMapData_2!$A:$A,Dashboard_2!$C$3,BodyMapData_2!$B:$B,$M92)=0,"",
MAXIFS(BodyMapData_2!$E:$E,BodyMapData_2!$A:$A,Dashboard_2!$C$3,BodyMapData_2!$B:$B,$M92))</f>
        <v/>
      </c>
    </row>
    <row r="93">
      <c r="N93" s="30" t="str">
        <f>IF(SUMIFS(BodyMapData_2!$E:$E,BodyMapData_2!$A:$A,Dashboard_2!$C$3,BodyMapData_2!$B:$B,$M93)=0,"",
SUMIFS(BodyMapData_2!$E:$E,BodyMapData_2!$A:$A,Dashboard_2!$C$3,BodyMapData_2!$B:$B,$M93))</f>
        <v/>
      </c>
      <c r="O93" s="30" t="str">
        <f>IF(MAXIFS(BodyMapData_2!$E:$E,BodyMapData_2!$A:$A,Dashboard_2!$C$3,BodyMapData_2!$B:$B,$M93)=0,"",
MAXIFS(BodyMapData_2!$E:$E,BodyMapData_2!$A:$A,Dashboard_2!$C$3,BodyMapData_2!$B:$B,$M93))</f>
        <v/>
      </c>
    </row>
    <row r="94">
      <c r="N94" s="30" t="str">
        <f>IF(SUMIFS(BodyMapData_2!$E:$E,BodyMapData_2!$A:$A,Dashboard_2!$C$3,BodyMapData_2!$B:$B,$M94)=0,"",
SUMIFS(BodyMapData_2!$E:$E,BodyMapData_2!$A:$A,Dashboard_2!$C$3,BodyMapData_2!$B:$B,$M94))</f>
        <v/>
      </c>
      <c r="O94" s="30" t="str">
        <f>IF(MAXIFS(BodyMapData_2!$E:$E,BodyMapData_2!$A:$A,Dashboard_2!$C$3,BodyMapData_2!$B:$B,$M94)=0,"",
MAXIFS(BodyMapData_2!$E:$E,BodyMapData_2!$A:$A,Dashboard_2!$C$3,BodyMapData_2!$B:$B,$M94))</f>
        <v/>
      </c>
    </row>
    <row r="95">
      <c r="N95" s="30" t="str">
        <f>IF(SUMIFS(BodyMapData_2!$E:$E,BodyMapData_2!$A:$A,Dashboard_2!$C$3,BodyMapData_2!$B:$B,$M95)=0,"",
SUMIFS(BodyMapData_2!$E:$E,BodyMapData_2!$A:$A,Dashboard_2!$C$3,BodyMapData_2!$B:$B,$M95))</f>
        <v/>
      </c>
      <c r="O95" s="30" t="str">
        <f>IF(MAXIFS(BodyMapData_2!$E:$E,BodyMapData_2!$A:$A,Dashboard_2!$C$3,BodyMapData_2!$B:$B,$M95)=0,"",
MAXIFS(BodyMapData_2!$E:$E,BodyMapData_2!$A:$A,Dashboard_2!$C$3,BodyMapData_2!$B:$B,$M95))</f>
        <v/>
      </c>
    </row>
    <row r="96">
      <c r="N96" s="30" t="str">
        <f>IF(SUMIFS(BodyMapData_2!$E:$E,BodyMapData_2!$A:$A,Dashboard_2!$C$3,BodyMapData_2!$B:$B,$M96)=0,"",
SUMIFS(BodyMapData_2!$E:$E,BodyMapData_2!$A:$A,Dashboard_2!$C$3,BodyMapData_2!$B:$B,$M96))</f>
        <v/>
      </c>
      <c r="O96" s="30" t="str">
        <f>IF(MAXIFS(BodyMapData_2!$E:$E,BodyMapData_2!$A:$A,Dashboard_2!$C$3,BodyMapData_2!$B:$B,$M96)=0,"",
MAXIFS(BodyMapData_2!$E:$E,BodyMapData_2!$A:$A,Dashboard_2!$C$3,BodyMapData_2!$B:$B,$M96))</f>
        <v/>
      </c>
    </row>
    <row r="97">
      <c r="N97" s="30" t="str">
        <f>IF(SUMIFS(BodyMapData_2!$E:$E,BodyMapData_2!$A:$A,Dashboard_2!$C$3,BodyMapData_2!$B:$B,$M97)=0,"",
SUMIFS(BodyMapData_2!$E:$E,BodyMapData_2!$A:$A,Dashboard_2!$C$3,BodyMapData_2!$B:$B,$M97))</f>
        <v/>
      </c>
      <c r="O97" s="30" t="str">
        <f>IF(MAXIFS(BodyMapData_2!$E:$E,BodyMapData_2!$A:$A,Dashboard_2!$C$3,BodyMapData_2!$B:$B,$M97)=0,"",
MAXIFS(BodyMapData_2!$E:$E,BodyMapData_2!$A:$A,Dashboard_2!$C$3,BodyMapData_2!$B:$B,$M97))</f>
        <v/>
      </c>
    </row>
    <row r="98">
      <c r="N98" s="30" t="str">
        <f>IF(SUMIFS(BodyMapData_2!$E:$E,BodyMapData_2!$A:$A,Dashboard_2!$C$3,BodyMapData_2!$B:$B,$M98)=0,"",
SUMIFS(BodyMapData_2!$E:$E,BodyMapData_2!$A:$A,Dashboard_2!$C$3,BodyMapData_2!$B:$B,$M98))</f>
        <v/>
      </c>
      <c r="O98" s="30" t="str">
        <f>IF(MAXIFS(BodyMapData_2!$E:$E,BodyMapData_2!$A:$A,Dashboard_2!$C$3,BodyMapData_2!$B:$B,$M98)=0,"",
MAXIFS(BodyMapData_2!$E:$E,BodyMapData_2!$A:$A,Dashboard_2!$C$3,BodyMapData_2!$B:$B,$M98))</f>
        <v/>
      </c>
    </row>
    <row r="99">
      <c r="N99" s="30" t="str">
        <f>IF(SUMIFS(BodyMapData_2!$E:$E,BodyMapData_2!$A:$A,Dashboard_2!$C$3,BodyMapData_2!$B:$B,$M99)=0,"",
SUMIFS(BodyMapData_2!$E:$E,BodyMapData_2!$A:$A,Dashboard_2!$C$3,BodyMapData_2!$B:$B,$M99))</f>
        <v/>
      </c>
      <c r="O99" s="30" t="str">
        <f>IF(MAXIFS(BodyMapData_2!$E:$E,BodyMapData_2!$A:$A,Dashboard_2!$C$3,BodyMapData_2!$B:$B,$M99)=0,"",
MAXIFS(BodyMapData_2!$E:$E,BodyMapData_2!$A:$A,Dashboard_2!$C$3,BodyMapData_2!$B:$B,$M99))</f>
        <v/>
      </c>
    </row>
    <row r="100">
      <c r="N100" s="30" t="str">
        <f>IF(SUMIFS(BodyMapData_2!$E:$E,BodyMapData_2!$A:$A,Dashboard_2!$C$3,BodyMapData_2!$B:$B,$M100)=0,"",
SUMIFS(BodyMapData_2!$E:$E,BodyMapData_2!$A:$A,Dashboard_2!$C$3,BodyMapData_2!$B:$B,$M100))</f>
        <v/>
      </c>
      <c r="O100" s="30" t="str">
        <f>IF(MAXIFS(BodyMapData_2!$E:$E,BodyMapData_2!$A:$A,Dashboard_2!$C$3,BodyMapData_2!$B:$B,$M100)=0,"",
MAXIFS(BodyMapData_2!$E:$E,BodyMapData_2!$A:$A,Dashboard_2!$C$3,BodyMapData_2!$B:$B,$M100))</f>
        <v/>
      </c>
    </row>
    <row r="101">
      <c r="N101" s="30" t="str">
        <f>IF(SUMIFS(BodyMapData_2!$E:$E,BodyMapData_2!$A:$A,Dashboard_2!$C$3,BodyMapData_2!$B:$B,$M101)=0,"",
SUMIFS(BodyMapData_2!$E:$E,BodyMapData_2!$A:$A,Dashboard_2!$C$3,BodyMapData_2!$B:$B,$M101))</f>
        <v/>
      </c>
      <c r="O101" s="30" t="str">
        <f>IF(MAXIFS(BodyMapData_2!$E:$E,BodyMapData_2!$A:$A,Dashboard_2!$C$3,BodyMapData_2!$B:$B,$M101)=0,"",
MAXIFS(BodyMapData_2!$E:$E,BodyMapData_2!$A:$A,Dashboard_2!$C$3,BodyMapData_2!$B:$B,$M101))</f>
        <v/>
      </c>
    </row>
    <row r="102">
      <c r="N102" s="30" t="str">
        <f>IF(SUMIFS(BodyMapData_2!$E:$E,BodyMapData_2!$A:$A,Dashboard_2!$C$3,BodyMapData_2!$B:$B,$M102)=0,"",
SUMIFS(BodyMapData_2!$E:$E,BodyMapData_2!$A:$A,Dashboard_2!$C$3,BodyMapData_2!$B:$B,$M102))</f>
        <v/>
      </c>
      <c r="O102" s="30" t="str">
        <f>IF(MAXIFS(BodyMapData_2!$E:$E,BodyMapData_2!$A:$A,Dashboard_2!$C$3,BodyMapData_2!$B:$B,$M102)=0,"",
MAXIFS(BodyMapData_2!$E:$E,BodyMapData_2!$A:$A,Dashboard_2!$C$3,BodyMapData_2!$B:$B,$M102))</f>
        <v/>
      </c>
    </row>
    <row r="103">
      <c r="N103" s="30" t="str">
        <f>IF(SUMIFS(BodyMapData_2!$E:$E,BodyMapData_2!$A:$A,Dashboard_2!$C$3,BodyMapData_2!$B:$B,$M103)=0,"",
SUMIFS(BodyMapData_2!$E:$E,BodyMapData_2!$A:$A,Dashboard_2!$C$3,BodyMapData_2!$B:$B,$M103))</f>
        <v/>
      </c>
      <c r="O103" s="30" t="str">
        <f>IF(MAXIFS(BodyMapData_2!$E:$E,BodyMapData_2!$A:$A,Dashboard_2!$C$3,BodyMapData_2!$B:$B,$M103)=0,"",
MAXIFS(BodyMapData_2!$E:$E,BodyMapData_2!$A:$A,Dashboard_2!$C$3,BodyMapData_2!$B:$B,$M103))</f>
        <v/>
      </c>
    </row>
    <row r="104">
      <c r="N104" s="30" t="str">
        <f>IF(SUMIFS(BodyMapData_2!$E:$E,BodyMapData_2!$A:$A,Dashboard_2!$C$3,BodyMapData_2!$B:$B,$M104)=0,"",
SUMIFS(BodyMapData_2!$E:$E,BodyMapData_2!$A:$A,Dashboard_2!$C$3,BodyMapData_2!$B:$B,$M104))</f>
        <v/>
      </c>
      <c r="O104" s="30" t="str">
        <f>IF(MAXIFS(BodyMapData_2!$E:$E,BodyMapData_2!$A:$A,Dashboard_2!$C$3,BodyMapData_2!$B:$B,$M104)=0,"",
MAXIFS(BodyMapData_2!$E:$E,BodyMapData_2!$A:$A,Dashboard_2!$C$3,BodyMapData_2!$B:$B,$M104))</f>
        <v/>
      </c>
    </row>
    <row r="105">
      <c r="N105" s="30" t="str">
        <f>IF(SUMIFS(BodyMapData_2!$E:$E,BodyMapData_2!$A:$A,Dashboard_2!$C$3,BodyMapData_2!$B:$B,$M105)=0,"",
SUMIFS(BodyMapData_2!$E:$E,BodyMapData_2!$A:$A,Dashboard_2!$C$3,BodyMapData_2!$B:$B,$M105))</f>
        <v/>
      </c>
      <c r="O105" s="30" t="str">
        <f>IF(MAXIFS(BodyMapData_2!$E:$E,BodyMapData_2!$A:$A,Dashboard_2!$C$3,BodyMapData_2!$B:$B,$M105)=0,"",
MAXIFS(BodyMapData_2!$E:$E,BodyMapData_2!$A:$A,Dashboard_2!$C$3,BodyMapData_2!$B:$B,$M105))</f>
        <v/>
      </c>
    </row>
    <row r="106">
      <c r="N106" s="30" t="str">
        <f>IF(SUMIFS(BodyMapData_2!$E:$E,BodyMapData_2!$A:$A,Dashboard_2!$C$3,BodyMapData_2!$B:$B,$M106)=0,"",
SUMIFS(BodyMapData_2!$E:$E,BodyMapData_2!$A:$A,Dashboard_2!$C$3,BodyMapData_2!$B:$B,$M106))</f>
        <v/>
      </c>
      <c r="O106" s="30" t="str">
        <f>IF(MAXIFS(BodyMapData_2!$E:$E,BodyMapData_2!$A:$A,Dashboard_2!$C$3,BodyMapData_2!$B:$B,$M106)=0,"",
MAXIFS(BodyMapData_2!$E:$E,BodyMapData_2!$A:$A,Dashboard_2!$C$3,BodyMapData_2!$B:$B,$M106))</f>
        <v/>
      </c>
    </row>
    <row r="107">
      <c r="N107" s="30" t="str">
        <f>IF(SUMIFS(BodyMapData_2!$E:$E,BodyMapData_2!$A:$A,Dashboard_2!$C$3,BodyMapData_2!$B:$B,$M107)=0,"",
SUMIFS(BodyMapData_2!$E:$E,BodyMapData_2!$A:$A,Dashboard_2!$C$3,BodyMapData_2!$B:$B,$M107))</f>
        <v/>
      </c>
      <c r="O107" s="30" t="str">
        <f>IF(MAXIFS(BodyMapData_2!$E:$E,BodyMapData_2!$A:$A,Dashboard_2!$C$3,BodyMapData_2!$B:$B,$M107)=0,"",
MAXIFS(BodyMapData_2!$E:$E,BodyMapData_2!$A:$A,Dashboard_2!$C$3,BodyMapData_2!$B:$B,$M107))</f>
        <v/>
      </c>
    </row>
    <row r="108">
      <c r="N108" s="30" t="str">
        <f>IF(SUMIFS(BodyMapData_2!$E:$E,BodyMapData_2!$A:$A,Dashboard_2!$C$3,BodyMapData_2!$B:$B,$M108)=0,"",
SUMIFS(BodyMapData_2!$E:$E,BodyMapData_2!$A:$A,Dashboard_2!$C$3,BodyMapData_2!$B:$B,$M108))</f>
        <v/>
      </c>
      <c r="O108" s="30" t="str">
        <f>IF(MAXIFS(BodyMapData_2!$E:$E,BodyMapData_2!$A:$A,Dashboard_2!$C$3,BodyMapData_2!$B:$B,$M108)=0,"",
MAXIFS(BodyMapData_2!$E:$E,BodyMapData_2!$A:$A,Dashboard_2!$C$3,BodyMapData_2!$B:$B,$M108))</f>
        <v/>
      </c>
    </row>
    <row r="109">
      <c r="N109" s="30" t="str">
        <f>IF(SUMIFS(BodyMapData_2!$E:$E,BodyMapData_2!$A:$A,Dashboard_2!$C$3,BodyMapData_2!$B:$B,$M109)=0,"",
SUMIFS(BodyMapData_2!$E:$E,BodyMapData_2!$A:$A,Dashboard_2!$C$3,BodyMapData_2!$B:$B,$M109))</f>
        <v/>
      </c>
      <c r="O109" s="30" t="str">
        <f>IF(MAXIFS(BodyMapData_2!$E:$E,BodyMapData_2!$A:$A,Dashboard_2!$C$3,BodyMapData_2!$B:$B,$M109)=0,"",
MAXIFS(BodyMapData_2!$E:$E,BodyMapData_2!$A:$A,Dashboard_2!$C$3,BodyMapData_2!$B:$B,$M109))</f>
        <v/>
      </c>
    </row>
    <row r="110">
      <c r="N110" s="30" t="str">
        <f>IF(SUMIFS(BodyMapData_2!$E:$E,BodyMapData_2!$A:$A,Dashboard_2!$C$3,BodyMapData_2!$B:$B,$M110)=0,"",
SUMIFS(BodyMapData_2!$E:$E,BodyMapData_2!$A:$A,Dashboard_2!$C$3,BodyMapData_2!$B:$B,$M110))</f>
        <v/>
      </c>
      <c r="O110" s="30" t="str">
        <f>IF(MAXIFS(BodyMapData_2!$E:$E,BodyMapData_2!$A:$A,Dashboard_2!$C$3,BodyMapData_2!$B:$B,$M110)=0,"",
MAXIFS(BodyMapData_2!$E:$E,BodyMapData_2!$A:$A,Dashboard_2!$C$3,BodyMapData_2!$B:$B,$M110))</f>
        <v/>
      </c>
    </row>
    <row r="111">
      <c r="N111" s="30" t="str">
        <f>IF(SUMIFS(BodyMapData_2!$E:$E,BodyMapData_2!$A:$A,Dashboard_2!$C$3,BodyMapData_2!$B:$B,$M111)=0,"",
SUMIFS(BodyMapData_2!$E:$E,BodyMapData_2!$A:$A,Dashboard_2!$C$3,BodyMapData_2!$B:$B,$M111))</f>
        <v/>
      </c>
      <c r="O111" s="30" t="str">
        <f>IF(MAXIFS(BodyMapData_2!$E:$E,BodyMapData_2!$A:$A,Dashboard_2!$C$3,BodyMapData_2!$B:$B,$M111)=0,"",
MAXIFS(BodyMapData_2!$E:$E,BodyMapData_2!$A:$A,Dashboard_2!$C$3,BodyMapData_2!$B:$B,$M111))</f>
        <v/>
      </c>
    </row>
    <row r="112">
      <c r="N112" s="30" t="str">
        <f>IF(SUMIFS(BodyMapData_2!$E:$E,BodyMapData_2!$A:$A,Dashboard_2!$C$3,BodyMapData_2!$B:$B,$M112)=0,"",
SUMIFS(BodyMapData_2!$E:$E,BodyMapData_2!$A:$A,Dashboard_2!$C$3,BodyMapData_2!$B:$B,$M112))</f>
        <v/>
      </c>
      <c r="O112" s="30" t="str">
        <f>IF(MAXIFS(BodyMapData_2!$E:$E,BodyMapData_2!$A:$A,Dashboard_2!$C$3,BodyMapData_2!$B:$B,$M112)=0,"",
MAXIFS(BodyMapData_2!$E:$E,BodyMapData_2!$A:$A,Dashboard_2!$C$3,BodyMapData_2!$B:$B,$M112))</f>
        <v/>
      </c>
    </row>
    <row r="113">
      <c r="N113" s="30" t="str">
        <f>IF(SUMIFS(BodyMapData_2!$E:$E,BodyMapData_2!$A:$A,Dashboard_2!$C$3,BodyMapData_2!$B:$B,$M113)=0,"",
SUMIFS(BodyMapData_2!$E:$E,BodyMapData_2!$A:$A,Dashboard_2!$C$3,BodyMapData_2!$B:$B,$M113))</f>
        <v/>
      </c>
      <c r="O113" s="30" t="str">
        <f>IF(MAXIFS(BodyMapData_2!$E:$E,BodyMapData_2!$A:$A,Dashboard_2!$C$3,BodyMapData_2!$B:$B,$M113)=0,"",
MAXIFS(BodyMapData_2!$E:$E,BodyMapData_2!$A:$A,Dashboard_2!$C$3,BodyMapData_2!$B:$B,$M113))</f>
        <v/>
      </c>
    </row>
    <row r="114">
      <c r="N114" s="30" t="str">
        <f>IF(SUMIFS(BodyMapData_2!$E:$E,BodyMapData_2!$A:$A,Dashboard_2!$C$3,BodyMapData_2!$B:$B,$M114)=0,"",
SUMIFS(BodyMapData_2!$E:$E,BodyMapData_2!$A:$A,Dashboard_2!$C$3,BodyMapData_2!$B:$B,$M114))</f>
        <v/>
      </c>
      <c r="O114" s="30" t="str">
        <f>IF(MAXIFS(BodyMapData_2!$E:$E,BodyMapData_2!$A:$A,Dashboard_2!$C$3,BodyMapData_2!$B:$B,$M114)=0,"",
MAXIFS(BodyMapData_2!$E:$E,BodyMapData_2!$A:$A,Dashboard_2!$C$3,BodyMapData_2!$B:$B,$M114))</f>
        <v/>
      </c>
    </row>
    <row r="115">
      <c r="N115" s="30" t="str">
        <f>IF(SUMIFS(BodyMapData_2!$E:$E,BodyMapData_2!$A:$A,Dashboard_2!$C$3,BodyMapData_2!$B:$B,$M115)=0,"",
SUMIFS(BodyMapData_2!$E:$E,BodyMapData_2!$A:$A,Dashboard_2!$C$3,BodyMapData_2!$B:$B,$M115))</f>
        <v/>
      </c>
      <c r="O115" s="30" t="str">
        <f>IF(MAXIFS(BodyMapData_2!$E:$E,BodyMapData_2!$A:$A,Dashboard_2!$C$3,BodyMapData_2!$B:$B,$M115)=0,"",
MAXIFS(BodyMapData_2!$E:$E,BodyMapData_2!$A:$A,Dashboard_2!$C$3,BodyMapData_2!$B:$B,$M115))</f>
        <v/>
      </c>
    </row>
    <row r="116">
      <c r="N116" s="30" t="str">
        <f>IF(SUMIFS(BodyMapData_2!$E:$E,BodyMapData_2!$A:$A,Dashboard_2!$C$3,BodyMapData_2!$B:$B,$M116)=0,"",
SUMIFS(BodyMapData_2!$E:$E,BodyMapData_2!$A:$A,Dashboard_2!$C$3,BodyMapData_2!$B:$B,$M116))</f>
        <v/>
      </c>
      <c r="O116" s="30" t="str">
        <f>IF(MAXIFS(BodyMapData_2!$E:$E,BodyMapData_2!$A:$A,Dashboard_2!$C$3,BodyMapData_2!$B:$B,$M116)=0,"",
MAXIFS(BodyMapData_2!$E:$E,BodyMapData_2!$A:$A,Dashboard_2!$C$3,BodyMapData_2!$B:$B,$M116))</f>
        <v/>
      </c>
    </row>
    <row r="117">
      <c r="N117" s="30" t="str">
        <f>IF(SUMIFS(BodyMapData_2!$E:$E,BodyMapData_2!$A:$A,Dashboard_2!$C$3,BodyMapData_2!$B:$B,$M117)=0,"",
SUMIFS(BodyMapData_2!$E:$E,BodyMapData_2!$A:$A,Dashboard_2!$C$3,BodyMapData_2!$B:$B,$M117))</f>
        <v/>
      </c>
      <c r="O117" s="30" t="str">
        <f>IF(MAXIFS(BodyMapData_2!$E:$E,BodyMapData_2!$A:$A,Dashboard_2!$C$3,BodyMapData_2!$B:$B,$M117)=0,"",
MAXIFS(BodyMapData_2!$E:$E,BodyMapData_2!$A:$A,Dashboard_2!$C$3,BodyMapData_2!$B:$B,$M117))</f>
        <v/>
      </c>
    </row>
    <row r="118">
      <c r="N118" s="30" t="str">
        <f>IF(SUMIFS(BodyMapData_2!$E:$E,BodyMapData_2!$A:$A,Dashboard_2!$C$3,BodyMapData_2!$B:$B,$M118)=0,"",
SUMIFS(BodyMapData_2!$E:$E,BodyMapData_2!$A:$A,Dashboard_2!$C$3,BodyMapData_2!$B:$B,$M118))</f>
        <v/>
      </c>
      <c r="O118" s="30" t="str">
        <f>IF(MAXIFS(BodyMapData_2!$E:$E,BodyMapData_2!$A:$A,Dashboard_2!$C$3,BodyMapData_2!$B:$B,$M118)=0,"",
MAXIFS(BodyMapData_2!$E:$E,BodyMapData_2!$A:$A,Dashboard_2!$C$3,BodyMapData_2!$B:$B,$M118))</f>
        <v/>
      </c>
    </row>
    <row r="119">
      <c r="N119" s="30" t="str">
        <f>IF(SUMIFS(BodyMapData_2!$E:$E,BodyMapData_2!$A:$A,Dashboard_2!$C$3,BodyMapData_2!$B:$B,$M119)=0,"",
SUMIFS(BodyMapData_2!$E:$E,BodyMapData_2!$A:$A,Dashboard_2!$C$3,BodyMapData_2!$B:$B,$M119))</f>
        <v/>
      </c>
      <c r="O119" s="30" t="str">
        <f>IF(MAXIFS(BodyMapData_2!$E:$E,BodyMapData_2!$A:$A,Dashboard_2!$C$3,BodyMapData_2!$B:$B,$M119)=0,"",
MAXIFS(BodyMapData_2!$E:$E,BodyMapData_2!$A:$A,Dashboard_2!$C$3,BodyMapData_2!$B:$B,$M119))</f>
        <v/>
      </c>
    </row>
    <row r="120">
      <c r="N120" s="30" t="str">
        <f>IF(SUMIFS(BodyMapData_2!$E:$E,BodyMapData_2!$A:$A,Dashboard_2!$C$3,BodyMapData_2!$B:$B,$M120)=0,"",
SUMIFS(BodyMapData_2!$E:$E,BodyMapData_2!$A:$A,Dashboard_2!$C$3,BodyMapData_2!$B:$B,$M120))</f>
        <v/>
      </c>
      <c r="O120" s="30" t="str">
        <f>IF(MAXIFS(BodyMapData_2!$E:$E,BodyMapData_2!$A:$A,Dashboard_2!$C$3,BodyMapData_2!$B:$B,$M120)=0,"",
MAXIFS(BodyMapData_2!$E:$E,BodyMapData_2!$A:$A,Dashboard_2!$C$3,BodyMapData_2!$B:$B,$M120))</f>
        <v/>
      </c>
    </row>
    <row r="121">
      <c r="N121" s="30" t="str">
        <f>IF(SUMIFS(BodyMapData_2!$E:$E,BodyMapData_2!$A:$A,Dashboard_2!$C$3,BodyMapData_2!$B:$B,$M121)=0,"",
SUMIFS(BodyMapData_2!$E:$E,BodyMapData_2!$A:$A,Dashboard_2!$C$3,BodyMapData_2!$B:$B,$M121))</f>
        <v/>
      </c>
      <c r="O121" s="30" t="str">
        <f>IF(MAXIFS(BodyMapData_2!$E:$E,BodyMapData_2!$A:$A,Dashboard_2!$C$3,BodyMapData_2!$B:$B,$M121)=0,"",
MAXIFS(BodyMapData_2!$E:$E,BodyMapData_2!$A:$A,Dashboard_2!$C$3,BodyMapData_2!$B:$B,$M121))</f>
        <v/>
      </c>
    </row>
    <row r="122">
      <c r="N122" s="30" t="str">
        <f>IF(SUMIFS(BodyMapData_2!$E:$E,BodyMapData_2!$A:$A,Dashboard_2!$C$3,BodyMapData_2!$B:$B,$M122)=0,"",
SUMIFS(BodyMapData_2!$E:$E,BodyMapData_2!$A:$A,Dashboard_2!$C$3,BodyMapData_2!$B:$B,$M122))</f>
        <v/>
      </c>
      <c r="O122" s="30" t="str">
        <f>IF(MAXIFS(BodyMapData_2!$E:$E,BodyMapData_2!$A:$A,Dashboard_2!$C$3,BodyMapData_2!$B:$B,$M122)=0,"",
MAXIFS(BodyMapData_2!$E:$E,BodyMapData_2!$A:$A,Dashboard_2!$C$3,BodyMapData_2!$B:$B,$M122))</f>
        <v/>
      </c>
    </row>
    <row r="123">
      <c r="N123" s="30" t="str">
        <f>IF(SUMIFS(BodyMapData_2!$E:$E,BodyMapData_2!$A:$A,Dashboard_2!$C$3,BodyMapData_2!$B:$B,$M123)=0,"",
SUMIFS(BodyMapData_2!$E:$E,BodyMapData_2!$A:$A,Dashboard_2!$C$3,BodyMapData_2!$B:$B,$M123))</f>
        <v/>
      </c>
      <c r="O123" s="30" t="str">
        <f>IF(MAXIFS(BodyMapData_2!$E:$E,BodyMapData_2!$A:$A,Dashboard_2!$C$3,BodyMapData_2!$B:$B,$M123)=0,"",
MAXIFS(BodyMapData_2!$E:$E,BodyMapData_2!$A:$A,Dashboard_2!$C$3,BodyMapData_2!$B:$B,$M123))</f>
        <v/>
      </c>
    </row>
    <row r="124">
      <c r="N124" s="30" t="str">
        <f>IF(SUMIFS(BodyMapData_2!$E:$E,BodyMapData_2!$A:$A,Dashboard_2!$C$3,BodyMapData_2!$B:$B,$M124)=0,"",
SUMIFS(BodyMapData_2!$E:$E,BodyMapData_2!$A:$A,Dashboard_2!$C$3,BodyMapData_2!$B:$B,$M124))</f>
        <v/>
      </c>
      <c r="O124" s="30" t="str">
        <f>IF(MAXIFS(BodyMapData_2!$E:$E,BodyMapData_2!$A:$A,Dashboard_2!$C$3,BodyMapData_2!$B:$B,$M124)=0,"",
MAXIFS(BodyMapData_2!$E:$E,BodyMapData_2!$A:$A,Dashboard_2!$C$3,BodyMapData_2!$B:$B,$M124))</f>
        <v/>
      </c>
    </row>
    <row r="125">
      <c r="N125" s="30" t="str">
        <f>IF(SUMIFS(BodyMapData_2!$E:$E,BodyMapData_2!$A:$A,Dashboard_2!$C$3,BodyMapData_2!$B:$B,$M125)=0,"",
SUMIFS(BodyMapData_2!$E:$E,BodyMapData_2!$A:$A,Dashboard_2!$C$3,BodyMapData_2!$B:$B,$M125))</f>
        <v/>
      </c>
      <c r="O125" s="30" t="str">
        <f>IF(MAXIFS(BodyMapData_2!$E:$E,BodyMapData_2!$A:$A,Dashboard_2!$C$3,BodyMapData_2!$B:$B,$M125)=0,"",
MAXIFS(BodyMapData_2!$E:$E,BodyMapData_2!$A:$A,Dashboard_2!$C$3,BodyMapData_2!$B:$B,$M125))</f>
        <v/>
      </c>
    </row>
    <row r="126">
      <c r="N126" s="30" t="str">
        <f>IF(SUMIFS(BodyMapData_2!$E:$E,BodyMapData_2!$A:$A,Dashboard_2!$C$3,BodyMapData_2!$B:$B,$M126)=0,"",
SUMIFS(BodyMapData_2!$E:$E,BodyMapData_2!$A:$A,Dashboard_2!$C$3,BodyMapData_2!$B:$B,$M126))</f>
        <v/>
      </c>
      <c r="O126" s="30" t="str">
        <f>IF(MAXIFS(BodyMapData_2!$E:$E,BodyMapData_2!$A:$A,Dashboard_2!$C$3,BodyMapData_2!$B:$B,$M126)=0,"",
MAXIFS(BodyMapData_2!$E:$E,BodyMapData_2!$A:$A,Dashboard_2!$C$3,BodyMapData_2!$B:$B,$M126))</f>
        <v/>
      </c>
    </row>
    <row r="127">
      <c r="N127" s="30" t="str">
        <f>IF(SUMIFS(BodyMapData_2!$E:$E,BodyMapData_2!$A:$A,Dashboard_2!$C$3,BodyMapData_2!$B:$B,$M127)=0,"",
SUMIFS(BodyMapData_2!$E:$E,BodyMapData_2!$A:$A,Dashboard_2!$C$3,BodyMapData_2!$B:$B,$M127))</f>
        <v/>
      </c>
      <c r="O127" s="30" t="str">
        <f>IF(MAXIFS(BodyMapData_2!$E:$E,BodyMapData_2!$A:$A,Dashboard_2!$C$3,BodyMapData_2!$B:$B,$M127)=0,"",
MAXIFS(BodyMapData_2!$E:$E,BodyMapData_2!$A:$A,Dashboard_2!$C$3,BodyMapData_2!$B:$B,$M127))</f>
        <v/>
      </c>
    </row>
    <row r="128">
      <c r="N128" s="30" t="str">
        <f>IF(SUMIFS(BodyMapData_2!$E:$E,BodyMapData_2!$A:$A,Dashboard_2!$C$3,BodyMapData_2!$B:$B,$M128)=0,"",
SUMIFS(BodyMapData_2!$E:$E,BodyMapData_2!$A:$A,Dashboard_2!$C$3,BodyMapData_2!$B:$B,$M128))</f>
        <v/>
      </c>
      <c r="O128" s="30" t="str">
        <f>IF(MAXIFS(BodyMapData_2!$E:$E,BodyMapData_2!$A:$A,Dashboard_2!$C$3,BodyMapData_2!$B:$B,$M128)=0,"",
MAXIFS(BodyMapData_2!$E:$E,BodyMapData_2!$A:$A,Dashboard_2!$C$3,BodyMapData_2!$B:$B,$M128))</f>
        <v/>
      </c>
    </row>
    <row r="129">
      <c r="N129" s="30" t="str">
        <f>IF(SUMIFS(BodyMapData_2!$E:$E,BodyMapData_2!$A:$A,Dashboard_2!$C$3,BodyMapData_2!$B:$B,$M129)=0,"",
SUMIFS(BodyMapData_2!$E:$E,BodyMapData_2!$A:$A,Dashboard_2!$C$3,BodyMapData_2!$B:$B,$M129))</f>
        <v/>
      </c>
      <c r="O129" s="30" t="str">
        <f>IF(MAXIFS(BodyMapData_2!$E:$E,BodyMapData_2!$A:$A,Dashboard_2!$C$3,BodyMapData_2!$B:$B,$M129)=0,"",
MAXIFS(BodyMapData_2!$E:$E,BodyMapData_2!$A:$A,Dashboard_2!$C$3,BodyMapData_2!$B:$B,$M129))</f>
        <v/>
      </c>
    </row>
    <row r="130">
      <c r="N130" s="30" t="str">
        <f>IF(SUMIFS(BodyMapData_2!$E:$E,BodyMapData_2!$A:$A,Dashboard_2!$C$3,BodyMapData_2!$B:$B,$M130)=0,"",
SUMIFS(BodyMapData_2!$E:$E,BodyMapData_2!$A:$A,Dashboard_2!$C$3,BodyMapData_2!$B:$B,$M130))</f>
        <v/>
      </c>
      <c r="O130" s="30" t="str">
        <f>IF(MAXIFS(BodyMapData_2!$E:$E,BodyMapData_2!$A:$A,Dashboard_2!$C$3,BodyMapData_2!$B:$B,$M130)=0,"",
MAXIFS(BodyMapData_2!$E:$E,BodyMapData_2!$A:$A,Dashboard_2!$C$3,BodyMapData_2!$B:$B,$M130))</f>
        <v/>
      </c>
    </row>
    <row r="131">
      <c r="N131" s="30" t="str">
        <f>IF(SUMIFS(BodyMapData_2!$E:$E,BodyMapData_2!$A:$A,Dashboard_2!$C$3,BodyMapData_2!$B:$B,$M131)=0,"",
SUMIFS(BodyMapData_2!$E:$E,BodyMapData_2!$A:$A,Dashboard_2!$C$3,BodyMapData_2!$B:$B,$M131))</f>
        <v/>
      </c>
      <c r="O131" s="30" t="str">
        <f>IF(MAXIFS(BodyMapData_2!$E:$E,BodyMapData_2!$A:$A,Dashboard_2!$C$3,BodyMapData_2!$B:$B,$M131)=0,"",
MAXIFS(BodyMapData_2!$E:$E,BodyMapData_2!$A:$A,Dashboard_2!$C$3,BodyMapData_2!$B:$B,$M131))</f>
        <v/>
      </c>
    </row>
    <row r="132">
      <c r="N132" s="30" t="str">
        <f>IF(SUMIFS(BodyMapData_2!$E:$E,BodyMapData_2!$A:$A,Dashboard_2!$C$3,BodyMapData_2!$B:$B,$M132)=0,"",
SUMIFS(BodyMapData_2!$E:$E,BodyMapData_2!$A:$A,Dashboard_2!$C$3,BodyMapData_2!$B:$B,$M132))</f>
        <v/>
      </c>
      <c r="O132" s="30" t="str">
        <f>IF(MAXIFS(BodyMapData_2!$E:$E,BodyMapData_2!$A:$A,Dashboard_2!$C$3,BodyMapData_2!$B:$B,$M132)=0,"",
MAXIFS(BodyMapData_2!$E:$E,BodyMapData_2!$A:$A,Dashboard_2!$C$3,BodyMapData_2!$B:$B,$M132))</f>
        <v/>
      </c>
    </row>
    <row r="133">
      <c r="N133" s="30" t="str">
        <f>IF(SUMIFS(BodyMapData_2!$E:$E,BodyMapData_2!$A:$A,Dashboard_2!$C$3,BodyMapData_2!$B:$B,$M133)=0,"",
SUMIFS(BodyMapData_2!$E:$E,BodyMapData_2!$A:$A,Dashboard_2!$C$3,BodyMapData_2!$B:$B,$M133))</f>
        <v/>
      </c>
      <c r="O133" s="30" t="str">
        <f>IF(MAXIFS(BodyMapData_2!$E:$E,BodyMapData_2!$A:$A,Dashboard_2!$C$3,BodyMapData_2!$B:$B,$M133)=0,"",
MAXIFS(BodyMapData_2!$E:$E,BodyMapData_2!$A:$A,Dashboard_2!$C$3,BodyMapData_2!$B:$B,$M133))</f>
        <v/>
      </c>
    </row>
    <row r="134">
      <c r="N134" s="30" t="str">
        <f>IF(SUMIFS(BodyMapData_2!$E:$E,BodyMapData_2!$A:$A,Dashboard_2!$C$3,BodyMapData_2!$B:$B,$M134)=0,"",
SUMIFS(BodyMapData_2!$E:$E,BodyMapData_2!$A:$A,Dashboard_2!$C$3,BodyMapData_2!$B:$B,$M134))</f>
        <v/>
      </c>
      <c r="O134" s="30" t="str">
        <f>IF(MAXIFS(BodyMapData_2!$E:$E,BodyMapData_2!$A:$A,Dashboard_2!$C$3,BodyMapData_2!$B:$B,$M134)=0,"",
MAXIFS(BodyMapData_2!$E:$E,BodyMapData_2!$A:$A,Dashboard_2!$C$3,BodyMapData_2!$B:$B,$M134))</f>
        <v/>
      </c>
    </row>
    <row r="135">
      <c r="N135" s="30" t="str">
        <f>IF(SUMIFS(BodyMapData_2!$E:$E,BodyMapData_2!$A:$A,Dashboard_2!$C$3,BodyMapData_2!$B:$B,$M135)=0,"",
SUMIFS(BodyMapData_2!$E:$E,BodyMapData_2!$A:$A,Dashboard_2!$C$3,BodyMapData_2!$B:$B,$M135))</f>
        <v/>
      </c>
      <c r="O135" s="30" t="str">
        <f>IF(MAXIFS(BodyMapData_2!$E:$E,BodyMapData_2!$A:$A,Dashboard_2!$C$3,BodyMapData_2!$B:$B,$M135)=0,"",
MAXIFS(BodyMapData_2!$E:$E,BodyMapData_2!$A:$A,Dashboard_2!$C$3,BodyMapData_2!$B:$B,$M135))</f>
        <v/>
      </c>
    </row>
    <row r="136">
      <c r="N136" s="30" t="str">
        <f>IF(SUMIFS(BodyMapData_2!$E:$E,BodyMapData_2!$A:$A,Dashboard_2!$C$3,BodyMapData_2!$B:$B,$M136)=0,"",
SUMIFS(BodyMapData_2!$E:$E,BodyMapData_2!$A:$A,Dashboard_2!$C$3,BodyMapData_2!$B:$B,$M136))</f>
        <v/>
      </c>
      <c r="O136" s="30" t="str">
        <f>IF(MAXIFS(BodyMapData_2!$E:$E,BodyMapData_2!$A:$A,Dashboard_2!$C$3,BodyMapData_2!$B:$B,$M136)=0,"",
MAXIFS(BodyMapData_2!$E:$E,BodyMapData_2!$A:$A,Dashboard_2!$C$3,BodyMapData_2!$B:$B,$M136))</f>
        <v/>
      </c>
    </row>
    <row r="137">
      <c r="N137" s="30" t="str">
        <f>IF(SUMIFS(BodyMapData_2!$E:$E,BodyMapData_2!$A:$A,Dashboard_2!$C$3,BodyMapData_2!$B:$B,$M137)=0,"",
SUMIFS(BodyMapData_2!$E:$E,BodyMapData_2!$A:$A,Dashboard_2!$C$3,BodyMapData_2!$B:$B,$M137))</f>
        <v/>
      </c>
      <c r="O137" s="30" t="str">
        <f>IF(MAXIFS(BodyMapData_2!$E:$E,BodyMapData_2!$A:$A,Dashboard_2!$C$3,BodyMapData_2!$B:$B,$M137)=0,"",
MAXIFS(BodyMapData_2!$E:$E,BodyMapData_2!$A:$A,Dashboard_2!$C$3,BodyMapData_2!$B:$B,$M137))</f>
        <v/>
      </c>
    </row>
    <row r="138">
      <c r="N138" s="30" t="str">
        <f>IF(SUMIFS(BodyMapData_2!$E:$E,BodyMapData_2!$A:$A,Dashboard_2!$C$3,BodyMapData_2!$B:$B,$M138)=0,"",
SUMIFS(BodyMapData_2!$E:$E,BodyMapData_2!$A:$A,Dashboard_2!$C$3,BodyMapData_2!$B:$B,$M138))</f>
        <v/>
      </c>
      <c r="O138" s="30" t="str">
        <f>IF(MAXIFS(BodyMapData_2!$E:$E,BodyMapData_2!$A:$A,Dashboard_2!$C$3,BodyMapData_2!$B:$B,$M138)=0,"",
MAXIFS(BodyMapData_2!$E:$E,BodyMapData_2!$A:$A,Dashboard_2!$C$3,BodyMapData_2!$B:$B,$M138))</f>
        <v/>
      </c>
    </row>
    <row r="139">
      <c r="N139" s="30" t="str">
        <f>IF(SUMIFS(BodyMapData_2!$E:$E,BodyMapData_2!$A:$A,Dashboard_2!$C$3,BodyMapData_2!$B:$B,$M139)=0,"",
SUMIFS(BodyMapData_2!$E:$E,BodyMapData_2!$A:$A,Dashboard_2!$C$3,BodyMapData_2!$B:$B,$M139))</f>
        <v/>
      </c>
      <c r="O139" s="30" t="str">
        <f>IF(MAXIFS(BodyMapData_2!$E:$E,BodyMapData_2!$A:$A,Dashboard_2!$C$3,BodyMapData_2!$B:$B,$M139)=0,"",
MAXIFS(BodyMapData_2!$E:$E,BodyMapData_2!$A:$A,Dashboard_2!$C$3,BodyMapData_2!$B:$B,$M139))</f>
        <v/>
      </c>
    </row>
    <row r="140">
      <c r="N140" s="30" t="str">
        <f>IF(SUMIFS(BodyMapData_2!$E:$E,BodyMapData_2!$A:$A,Dashboard_2!$C$3,BodyMapData_2!$B:$B,$M140)=0,"",
SUMIFS(BodyMapData_2!$E:$E,BodyMapData_2!$A:$A,Dashboard_2!$C$3,BodyMapData_2!$B:$B,$M140))</f>
        <v/>
      </c>
      <c r="O140" s="30" t="str">
        <f>IF(MAXIFS(BodyMapData_2!$E:$E,BodyMapData_2!$A:$A,Dashboard_2!$C$3,BodyMapData_2!$B:$B,$M140)=0,"",
MAXIFS(BodyMapData_2!$E:$E,BodyMapData_2!$A:$A,Dashboard_2!$C$3,BodyMapData_2!$B:$B,$M140))</f>
        <v/>
      </c>
    </row>
    <row r="141">
      <c r="N141" s="30" t="str">
        <f>IF(SUMIFS(BodyMapData_2!$E:$E,BodyMapData_2!$A:$A,Dashboard_2!$C$3,BodyMapData_2!$B:$B,$M141)=0,"",
SUMIFS(BodyMapData_2!$E:$E,BodyMapData_2!$A:$A,Dashboard_2!$C$3,BodyMapData_2!$B:$B,$M141))</f>
        <v/>
      </c>
      <c r="O141" s="30" t="str">
        <f>IF(MAXIFS(BodyMapData_2!$E:$E,BodyMapData_2!$A:$A,Dashboard_2!$C$3,BodyMapData_2!$B:$B,$M141)=0,"",
MAXIFS(BodyMapData_2!$E:$E,BodyMapData_2!$A:$A,Dashboard_2!$C$3,BodyMapData_2!$B:$B,$M141))</f>
        <v/>
      </c>
    </row>
    <row r="142">
      <c r="N142" s="30" t="str">
        <f>IF(SUMIFS(BodyMapData_2!$E:$E,BodyMapData_2!$A:$A,Dashboard_2!$C$3,BodyMapData_2!$B:$B,$M142)=0,"",
SUMIFS(BodyMapData_2!$E:$E,BodyMapData_2!$A:$A,Dashboard_2!$C$3,BodyMapData_2!$B:$B,$M142))</f>
        <v/>
      </c>
      <c r="O142" s="30" t="str">
        <f>IF(MAXIFS(BodyMapData_2!$E:$E,BodyMapData_2!$A:$A,Dashboard_2!$C$3,BodyMapData_2!$B:$B,$M142)=0,"",
MAXIFS(BodyMapData_2!$E:$E,BodyMapData_2!$A:$A,Dashboard_2!$C$3,BodyMapData_2!$B:$B,$M142))</f>
        <v/>
      </c>
    </row>
    <row r="143">
      <c r="N143" s="30" t="str">
        <f>IF(SUMIFS(BodyMapData_2!$E:$E,BodyMapData_2!$A:$A,Dashboard_2!$C$3,BodyMapData_2!$B:$B,$M143)=0,"",
SUMIFS(BodyMapData_2!$E:$E,BodyMapData_2!$A:$A,Dashboard_2!$C$3,BodyMapData_2!$B:$B,$M143))</f>
        <v/>
      </c>
      <c r="O143" s="30" t="str">
        <f>IF(MAXIFS(BodyMapData_2!$E:$E,BodyMapData_2!$A:$A,Dashboard_2!$C$3,BodyMapData_2!$B:$B,$M143)=0,"",
MAXIFS(BodyMapData_2!$E:$E,BodyMapData_2!$A:$A,Dashboard_2!$C$3,BodyMapData_2!$B:$B,$M143))</f>
        <v/>
      </c>
    </row>
    <row r="144">
      <c r="N144" s="30" t="str">
        <f>IF(SUMIFS(BodyMapData_2!$E:$E,BodyMapData_2!$A:$A,Dashboard_2!$C$3,BodyMapData_2!$B:$B,$M144)=0,"",
SUMIFS(BodyMapData_2!$E:$E,BodyMapData_2!$A:$A,Dashboard_2!$C$3,BodyMapData_2!$B:$B,$M144))</f>
        <v/>
      </c>
      <c r="O144" s="30" t="str">
        <f>IF(MAXIFS(BodyMapData_2!$E:$E,BodyMapData_2!$A:$A,Dashboard_2!$C$3,BodyMapData_2!$B:$B,$M144)=0,"",
MAXIFS(BodyMapData_2!$E:$E,BodyMapData_2!$A:$A,Dashboard_2!$C$3,BodyMapData_2!$B:$B,$M144))</f>
        <v/>
      </c>
    </row>
    <row r="145">
      <c r="N145" s="30" t="str">
        <f>IF(SUMIFS(BodyMapData_2!$E:$E,BodyMapData_2!$A:$A,Dashboard_2!$C$3,BodyMapData_2!$B:$B,$M145)=0,"",
SUMIFS(BodyMapData_2!$E:$E,BodyMapData_2!$A:$A,Dashboard_2!$C$3,BodyMapData_2!$B:$B,$M145))</f>
        <v/>
      </c>
      <c r="O145" s="30" t="str">
        <f>IF(MAXIFS(BodyMapData_2!$E:$E,BodyMapData_2!$A:$A,Dashboard_2!$C$3,BodyMapData_2!$B:$B,$M145)=0,"",
MAXIFS(BodyMapData_2!$E:$E,BodyMapData_2!$A:$A,Dashboard_2!$C$3,BodyMapData_2!$B:$B,$M145))</f>
        <v/>
      </c>
    </row>
    <row r="146">
      <c r="N146" s="30" t="str">
        <f>IF(SUMIFS(BodyMapData_2!$E:$E,BodyMapData_2!$A:$A,Dashboard_2!$C$3,BodyMapData_2!$B:$B,$M146)=0,"",
SUMIFS(BodyMapData_2!$E:$E,BodyMapData_2!$A:$A,Dashboard_2!$C$3,BodyMapData_2!$B:$B,$M146))</f>
        <v/>
      </c>
      <c r="O146" s="30" t="str">
        <f>IF(MAXIFS(BodyMapData_2!$E:$E,BodyMapData_2!$A:$A,Dashboard_2!$C$3,BodyMapData_2!$B:$B,$M146)=0,"",
MAXIFS(BodyMapData_2!$E:$E,BodyMapData_2!$A:$A,Dashboard_2!$C$3,BodyMapData_2!$B:$B,$M146))</f>
        <v/>
      </c>
    </row>
    <row r="147">
      <c r="N147" s="30" t="str">
        <f>IF(SUMIFS(BodyMapData_2!$E:$E,BodyMapData_2!$A:$A,Dashboard_2!$C$3,BodyMapData_2!$B:$B,$M147)=0,"",
SUMIFS(BodyMapData_2!$E:$E,BodyMapData_2!$A:$A,Dashboard_2!$C$3,BodyMapData_2!$B:$B,$M147))</f>
        <v/>
      </c>
      <c r="O147" s="30" t="str">
        <f>IF(MAXIFS(BodyMapData_2!$E:$E,BodyMapData_2!$A:$A,Dashboard_2!$C$3,BodyMapData_2!$B:$B,$M147)=0,"",
MAXIFS(BodyMapData_2!$E:$E,BodyMapData_2!$A:$A,Dashboard_2!$C$3,BodyMapData_2!$B:$B,$M147))</f>
        <v/>
      </c>
    </row>
    <row r="148">
      <c r="N148" s="30" t="str">
        <f>IF(SUMIFS(BodyMapData_2!$E:$E,BodyMapData_2!$A:$A,Dashboard_2!$C$3,BodyMapData_2!$B:$B,$M148)=0,"",
SUMIFS(BodyMapData_2!$E:$E,BodyMapData_2!$A:$A,Dashboard_2!$C$3,BodyMapData_2!$B:$B,$M148))</f>
        <v/>
      </c>
      <c r="O148" s="30" t="str">
        <f>IF(MAXIFS(BodyMapData_2!$E:$E,BodyMapData_2!$A:$A,Dashboard_2!$C$3,BodyMapData_2!$B:$B,$M148)=0,"",
MAXIFS(BodyMapData_2!$E:$E,BodyMapData_2!$A:$A,Dashboard_2!$C$3,BodyMapData_2!$B:$B,$M148))</f>
        <v/>
      </c>
    </row>
    <row r="149">
      <c r="N149" s="30" t="str">
        <f>IF(SUMIFS(BodyMapData_2!$E:$E,BodyMapData_2!$A:$A,Dashboard_2!$C$3,BodyMapData_2!$B:$B,$M149)=0,"",
SUMIFS(BodyMapData_2!$E:$E,BodyMapData_2!$A:$A,Dashboard_2!$C$3,BodyMapData_2!$B:$B,$M149))</f>
        <v/>
      </c>
      <c r="O149" s="30" t="str">
        <f>IF(MAXIFS(BodyMapData_2!$E:$E,BodyMapData_2!$A:$A,Dashboard_2!$C$3,BodyMapData_2!$B:$B,$M149)=0,"",
MAXIFS(BodyMapData_2!$E:$E,BodyMapData_2!$A:$A,Dashboard_2!$C$3,BodyMapData_2!$B:$B,$M149))</f>
        <v/>
      </c>
    </row>
    <row r="150">
      <c r="N150" s="30" t="str">
        <f>IF(SUMIFS(BodyMapData_2!$E:$E,BodyMapData_2!$A:$A,Dashboard_2!$C$3,BodyMapData_2!$B:$B,$M150)=0,"",
SUMIFS(BodyMapData_2!$E:$E,BodyMapData_2!$A:$A,Dashboard_2!$C$3,BodyMapData_2!$B:$B,$M150))</f>
        <v/>
      </c>
      <c r="O150" s="30" t="str">
        <f>IF(MAXIFS(BodyMapData_2!$E:$E,BodyMapData_2!$A:$A,Dashboard_2!$C$3,BodyMapData_2!$B:$B,$M150)=0,"",
MAXIFS(BodyMapData_2!$E:$E,BodyMapData_2!$A:$A,Dashboard_2!$C$3,BodyMapData_2!$B:$B,$M150))</f>
        <v/>
      </c>
    </row>
    <row r="151">
      <c r="N151" s="30" t="str">
        <f>IF(SUMIFS(BodyMapData_2!$E:$E,BodyMapData_2!$A:$A,Dashboard_2!$C$3,BodyMapData_2!$B:$B,$M151)=0,"",
SUMIFS(BodyMapData_2!$E:$E,BodyMapData_2!$A:$A,Dashboard_2!$C$3,BodyMapData_2!$B:$B,$M151))</f>
        <v/>
      </c>
      <c r="O151" s="30" t="str">
        <f>IF(MAXIFS(BodyMapData_2!$E:$E,BodyMapData_2!$A:$A,Dashboard_2!$C$3,BodyMapData_2!$B:$B,$M151)=0,"",
MAXIFS(BodyMapData_2!$E:$E,BodyMapData_2!$A:$A,Dashboard_2!$C$3,BodyMapData_2!$B:$B,$M151))</f>
        <v/>
      </c>
    </row>
    <row r="152">
      <c r="N152" s="30" t="str">
        <f>IF(SUMIFS(BodyMapData_2!$E:$E,BodyMapData_2!$A:$A,Dashboard_2!$C$3,BodyMapData_2!$B:$B,$M152)=0,"",
SUMIFS(BodyMapData_2!$E:$E,BodyMapData_2!$A:$A,Dashboard_2!$C$3,BodyMapData_2!$B:$B,$M152))</f>
        <v/>
      </c>
      <c r="O152" s="30" t="str">
        <f>IF(MAXIFS(BodyMapData_2!$E:$E,BodyMapData_2!$A:$A,Dashboard_2!$C$3,BodyMapData_2!$B:$B,$M152)=0,"",
MAXIFS(BodyMapData_2!$E:$E,BodyMapData_2!$A:$A,Dashboard_2!$C$3,BodyMapData_2!$B:$B,$M152))</f>
        <v/>
      </c>
    </row>
    <row r="153">
      <c r="N153" s="30" t="str">
        <f>IF(SUMIFS(BodyMapData_2!$E:$E,BodyMapData_2!$A:$A,Dashboard_2!$C$3,BodyMapData_2!$B:$B,$M153)=0,"",
SUMIFS(BodyMapData_2!$E:$E,BodyMapData_2!$A:$A,Dashboard_2!$C$3,BodyMapData_2!$B:$B,$M153))</f>
        <v/>
      </c>
      <c r="O153" s="30" t="str">
        <f>IF(MAXIFS(BodyMapData_2!$E:$E,BodyMapData_2!$A:$A,Dashboard_2!$C$3,BodyMapData_2!$B:$B,$M153)=0,"",
MAXIFS(BodyMapData_2!$E:$E,BodyMapData_2!$A:$A,Dashboard_2!$C$3,BodyMapData_2!$B:$B,$M153))</f>
        <v/>
      </c>
    </row>
    <row r="154">
      <c r="N154" s="30" t="str">
        <f>IF(SUMIFS(BodyMapData_2!$E:$E,BodyMapData_2!$A:$A,Dashboard_2!$C$3,BodyMapData_2!$B:$B,$M154)=0,"",
SUMIFS(BodyMapData_2!$E:$E,BodyMapData_2!$A:$A,Dashboard_2!$C$3,BodyMapData_2!$B:$B,$M154))</f>
        <v/>
      </c>
      <c r="O154" s="30" t="str">
        <f>IF(MAXIFS(BodyMapData_2!$E:$E,BodyMapData_2!$A:$A,Dashboard_2!$C$3,BodyMapData_2!$B:$B,$M154)=0,"",
MAXIFS(BodyMapData_2!$E:$E,BodyMapData_2!$A:$A,Dashboard_2!$C$3,BodyMapData_2!$B:$B,$M154))</f>
        <v/>
      </c>
    </row>
    <row r="155">
      <c r="N155" s="30" t="str">
        <f>IF(SUMIFS(BodyMapData_2!$E:$E,BodyMapData_2!$A:$A,Dashboard_2!$C$3,BodyMapData_2!$B:$B,$M155)=0,"",
SUMIFS(BodyMapData_2!$E:$E,BodyMapData_2!$A:$A,Dashboard_2!$C$3,BodyMapData_2!$B:$B,$M155))</f>
        <v/>
      </c>
      <c r="O155" s="30" t="str">
        <f>IF(MAXIFS(BodyMapData_2!$E:$E,BodyMapData_2!$A:$A,Dashboard_2!$C$3,BodyMapData_2!$B:$B,$M155)=0,"",
MAXIFS(BodyMapData_2!$E:$E,BodyMapData_2!$A:$A,Dashboard_2!$C$3,BodyMapData_2!$B:$B,$M155))</f>
        <v/>
      </c>
    </row>
    <row r="156">
      <c r="N156" s="30" t="str">
        <f>IF(SUMIFS(BodyMapData_2!$E:$E,BodyMapData_2!$A:$A,Dashboard_2!$C$3,BodyMapData_2!$B:$B,$M156)=0,"",
SUMIFS(BodyMapData_2!$E:$E,BodyMapData_2!$A:$A,Dashboard_2!$C$3,BodyMapData_2!$B:$B,$M156))</f>
        <v/>
      </c>
      <c r="O156" s="30" t="str">
        <f>IF(MAXIFS(BodyMapData_2!$E:$E,BodyMapData_2!$A:$A,Dashboard_2!$C$3,BodyMapData_2!$B:$B,$M156)=0,"",
MAXIFS(BodyMapData_2!$E:$E,BodyMapData_2!$A:$A,Dashboard_2!$C$3,BodyMapData_2!$B:$B,$M156))</f>
        <v/>
      </c>
    </row>
    <row r="157">
      <c r="N157" s="30" t="str">
        <f>IF(SUMIFS(BodyMapData_2!$E:$E,BodyMapData_2!$A:$A,Dashboard_2!$C$3,BodyMapData_2!$B:$B,$M157)=0,"",
SUMIFS(BodyMapData_2!$E:$E,BodyMapData_2!$A:$A,Dashboard_2!$C$3,BodyMapData_2!$B:$B,$M157))</f>
        <v/>
      </c>
      <c r="O157" s="30" t="str">
        <f>IF(MAXIFS(BodyMapData_2!$E:$E,BodyMapData_2!$A:$A,Dashboard_2!$C$3,BodyMapData_2!$B:$B,$M157)=0,"",
MAXIFS(BodyMapData_2!$E:$E,BodyMapData_2!$A:$A,Dashboard_2!$C$3,BodyMapData_2!$B:$B,$M157))</f>
        <v/>
      </c>
    </row>
    <row r="158">
      <c r="N158" s="30" t="str">
        <f>IF(SUMIFS(BodyMapData_2!$E:$E,BodyMapData_2!$A:$A,Dashboard_2!$C$3,BodyMapData_2!$B:$B,$M158)=0,"",
SUMIFS(BodyMapData_2!$E:$E,BodyMapData_2!$A:$A,Dashboard_2!$C$3,BodyMapData_2!$B:$B,$M158))</f>
        <v/>
      </c>
      <c r="O158" s="30" t="str">
        <f>IF(MAXIFS(BodyMapData_2!$E:$E,BodyMapData_2!$A:$A,Dashboard_2!$C$3,BodyMapData_2!$B:$B,$M158)=0,"",
MAXIFS(BodyMapData_2!$E:$E,BodyMapData_2!$A:$A,Dashboard_2!$C$3,BodyMapData_2!$B:$B,$M158))</f>
        <v/>
      </c>
    </row>
    <row r="159">
      <c r="N159" s="30" t="str">
        <f>IF(SUMIFS(BodyMapData_2!$E:$E,BodyMapData_2!$A:$A,Dashboard_2!$C$3,BodyMapData_2!$B:$B,$M159)=0,"",
SUMIFS(BodyMapData_2!$E:$E,BodyMapData_2!$A:$A,Dashboard_2!$C$3,BodyMapData_2!$B:$B,$M159))</f>
        <v/>
      </c>
      <c r="O159" s="30" t="str">
        <f>IF(MAXIFS(BodyMapData_2!$E:$E,BodyMapData_2!$A:$A,Dashboard_2!$C$3,BodyMapData_2!$B:$B,$M159)=0,"",
MAXIFS(BodyMapData_2!$E:$E,BodyMapData_2!$A:$A,Dashboard_2!$C$3,BodyMapData_2!$B:$B,$M159))</f>
        <v/>
      </c>
    </row>
    <row r="160">
      <c r="N160" s="30" t="str">
        <f>IF(SUMIFS(BodyMapData_2!$E:$E,BodyMapData_2!$A:$A,Dashboard_2!$C$3,BodyMapData_2!$B:$B,$M160)=0,"",
SUMIFS(BodyMapData_2!$E:$E,BodyMapData_2!$A:$A,Dashboard_2!$C$3,BodyMapData_2!$B:$B,$M160))</f>
        <v/>
      </c>
      <c r="O160" s="30" t="str">
        <f>IF(MAXIFS(BodyMapData_2!$E:$E,BodyMapData_2!$A:$A,Dashboard_2!$C$3,BodyMapData_2!$B:$B,$M160)=0,"",
MAXIFS(BodyMapData_2!$E:$E,BodyMapData_2!$A:$A,Dashboard_2!$C$3,BodyMapData_2!$B:$B,$M160))</f>
        <v/>
      </c>
    </row>
    <row r="161">
      <c r="N161" s="30" t="str">
        <f>IF(SUMIFS(BodyMapData_2!$E:$E,BodyMapData_2!$A:$A,Dashboard_2!$C$3,BodyMapData_2!$B:$B,$M161)=0,"",
SUMIFS(BodyMapData_2!$E:$E,BodyMapData_2!$A:$A,Dashboard_2!$C$3,BodyMapData_2!$B:$B,$M161))</f>
        <v/>
      </c>
      <c r="O161" s="30" t="str">
        <f>IF(MAXIFS(BodyMapData_2!$E:$E,BodyMapData_2!$A:$A,Dashboard_2!$C$3,BodyMapData_2!$B:$B,$M161)=0,"",
MAXIFS(BodyMapData_2!$E:$E,BodyMapData_2!$A:$A,Dashboard_2!$C$3,BodyMapData_2!$B:$B,$M161))</f>
        <v/>
      </c>
    </row>
    <row r="162">
      <c r="N162" s="30" t="str">
        <f>IF(SUMIFS(BodyMapData_2!$E:$E,BodyMapData_2!$A:$A,Dashboard_2!$C$3,BodyMapData_2!$B:$B,$M162)=0,"",
SUMIFS(BodyMapData_2!$E:$E,BodyMapData_2!$A:$A,Dashboard_2!$C$3,BodyMapData_2!$B:$B,$M162))</f>
        <v/>
      </c>
      <c r="O162" s="30" t="str">
        <f>IF(MAXIFS(BodyMapData_2!$E:$E,BodyMapData_2!$A:$A,Dashboard_2!$C$3,BodyMapData_2!$B:$B,$M162)=0,"",
MAXIFS(BodyMapData_2!$E:$E,BodyMapData_2!$A:$A,Dashboard_2!$C$3,BodyMapData_2!$B:$B,$M162))</f>
        <v/>
      </c>
    </row>
    <row r="163">
      <c r="N163" s="30" t="str">
        <f>IF(SUMIFS(BodyMapData_2!$E:$E,BodyMapData_2!$A:$A,Dashboard_2!$C$3,BodyMapData_2!$B:$B,$M163)=0,"",
SUMIFS(BodyMapData_2!$E:$E,BodyMapData_2!$A:$A,Dashboard_2!$C$3,BodyMapData_2!$B:$B,$M163))</f>
        <v/>
      </c>
      <c r="O163" s="30" t="str">
        <f>IF(MAXIFS(BodyMapData_2!$E:$E,BodyMapData_2!$A:$A,Dashboard_2!$C$3,BodyMapData_2!$B:$B,$M163)=0,"",
MAXIFS(BodyMapData_2!$E:$E,BodyMapData_2!$A:$A,Dashboard_2!$C$3,BodyMapData_2!$B:$B,$M163))</f>
        <v/>
      </c>
    </row>
    <row r="164">
      <c r="N164" s="30" t="str">
        <f>IF(SUMIFS(BodyMapData_2!$E:$E,BodyMapData_2!$A:$A,Dashboard_2!$C$3,BodyMapData_2!$B:$B,$M164)=0,"",
SUMIFS(BodyMapData_2!$E:$E,BodyMapData_2!$A:$A,Dashboard_2!$C$3,BodyMapData_2!$B:$B,$M164))</f>
        <v/>
      </c>
      <c r="O164" s="30" t="str">
        <f>IF(MAXIFS(BodyMapData_2!$E:$E,BodyMapData_2!$A:$A,Dashboard_2!$C$3,BodyMapData_2!$B:$B,$M164)=0,"",
MAXIFS(BodyMapData_2!$E:$E,BodyMapData_2!$A:$A,Dashboard_2!$C$3,BodyMapData_2!$B:$B,$M164))</f>
        <v/>
      </c>
    </row>
    <row r="165">
      <c r="N165" s="30" t="str">
        <f>IF(SUMIFS(BodyMapData_2!$E:$E,BodyMapData_2!$A:$A,Dashboard_2!$C$3,BodyMapData_2!$B:$B,$M165)=0,"",
SUMIFS(BodyMapData_2!$E:$E,BodyMapData_2!$A:$A,Dashboard_2!$C$3,BodyMapData_2!$B:$B,$M165))</f>
        <v/>
      </c>
      <c r="O165" s="30" t="str">
        <f>IF(MAXIFS(BodyMapData_2!$E:$E,BodyMapData_2!$A:$A,Dashboard_2!$C$3,BodyMapData_2!$B:$B,$M165)=0,"",
MAXIFS(BodyMapData_2!$E:$E,BodyMapData_2!$A:$A,Dashboard_2!$C$3,BodyMapData_2!$B:$B,$M165))</f>
        <v/>
      </c>
    </row>
    <row r="166">
      <c r="N166" s="30" t="str">
        <f>IF(SUMIFS(BodyMapData_2!$E:$E,BodyMapData_2!$A:$A,Dashboard_2!$C$3,BodyMapData_2!$B:$B,$M166)=0,"",
SUMIFS(BodyMapData_2!$E:$E,BodyMapData_2!$A:$A,Dashboard_2!$C$3,BodyMapData_2!$B:$B,$M166))</f>
        <v/>
      </c>
      <c r="O166" s="30" t="str">
        <f>IF(MAXIFS(BodyMapData_2!$E:$E,BodyMapData_2!$A:$A,Dashboard_2!$C$3,BodyMapData_2!$B:$B,$M166)=0,"",
MAXIFS(BodyMapData_2!$E:$E,BodyMapData_2!$A:$A,Dashboard_2!$C$3,BodyMapData_2!$B:$B,$M166))</f>
        <v/>
      </c>
    </row>
    <row r="167">
      <c r="N167" s="30" t="str">
        <f>IF(SUMIFS(BodyMapData_2!$E:$E,BodyMapData_2!$A:$A,Dashboard_2!$C$3,BodyMapData_2!$B:$B,$M167)=0,"",
SUMIFS(BodyMapData_2!$E:$E,BodyMapData_2!$A:$A,Dashboard_2!$C$3,BodyMapData_2!$B:$B,$M167))</f>
        <v/>
      </c>
      <c r="O167" s="30" t="str">
        <f>IF(MAXIFS(BodyMapData_2!$E:$E,BodyMapData_2!$A:$A,Dashboard_2!$C$3,BodyMapData_2!$B:$B,$M167)=0,"",
MAXIFS(BodyMapData_2!$E:$E,BodyMapData_2!$A:$A,Dashboard_2!$C$3,BodyMapData_2!$B:$B,$M167))</f>
        <v/>
      </c>
    </row>
    <row r="168">
      <c r="N168" s="30" t="str">
        <f>IF(SUMIFS(BodyMapData_2!$E:$E,BodyMapData_2!$A:$A,Dashboard_2!$C$3,BodyMapData_2!$B:$B,$M168)=0,"",
SUMIFS(BodyMapData_2!$E:$E,BodyMapData_2!$A:$A,Dashboard_2!$C$3,BodyMapData_2!$B:$B,$M168))</f>
        <v/>
      </c>
      <c r="O168" s="30" t="str">
        <f>IF(MAXIFS(BodyMapData_2!$E:$E,BodyMapData_2!$A:$A,Dashboard_2!$C$3,BodyMapData_2!$B:$B,$M168)=0,"",
MAXIFS(BodyMapData_2!$E:$E,BodyMapData_2!$A:$A,Dashboard_2!$C$3,BodyMapData_2!$B:$B,$M168))</f>
        <v/>
      </c>
    </row>
    <row r="169">
      <c r="N169" s="30" t="str">
        <f>IF(SUMIFS(BodyMapData_2!$E:$E,BodyMapData_2!$A:$A,Dashboard_2!$C$3,BodyMapData_2!$B:$B,$M169)=0,"",
SUMIFS(BodyMapData_2!$E:$E,BodyMapData_2!$A:$A,Dashboard_2!$C$3,BodyMapData_2!$B:$B,$M169))</f>
        <v/>
      </c>
      <c r="O169" s="30" t="str">
        <f>IF(MAXIFS(BodyMapData_2!$E:$E,BodyMapData_2!$A:$A,Dashboard_2!$C$3,BodyMapData_2!$B:$B,$M169)=0,"",
MAXIFS(BodyMapData_2!$E:$E,BodyMapData_2!$A:$A,Dashboard_2!$C$3,BodyMapData_2!$B:$B,$M169))</f>
        <v/>
      </c>
    </row>
    <row r="170">
      <c r="N170" s="30" t="str">
        <f>IF(SUMIFS(BodyMapData_2!$E:$E,BodyMapData_2!$A:$A,Dashboard_2!$C$3,BodyMapData_2!$B:$B,$M170)=0,"",
SUMIFS(BodyMapData_2!$E:$E,BodyMapData_2!$A:$A,Dashboard_2!$C$3,BodyMapData_2!$B:$B,$M170))</f>
        <v/>
      </c>
      <c r="O170" s="30" t="str">
        <f>IF(MAXIFS(BodyMapData_2!$E:$E,BodyMapData_2!$A:$A,Dashboard_2!$C$3,BodyMapData_2!$B:$B,$M170)=0,"",
MAXIFS(BodyMapData_2!$E:$E,BodyMapData_2!$A:$A,Dashboard_2!$C$3,BodyMapData_2!$B:$B,$M170))</f>
        <v/>
      </c>
    </row>
    <row r="171">
      <c r="N171" s="30" t="str">
        <f>IF(SUMIFS(BodyMapData_2!$E:$E,BodyMapData_2!$A:$A,Dashboard_2!$C$3,BodyMapData_2!$B:$B,$M171)=0,"",
SUMIFS(BodyMapData_2!$E:$E,BodyMapData_2!$A:$A,Dashboard_2!$C$3,BodyMapData_2!$B:$B,$M171))</f>
        <v/>
      </c>
      <c r="O171" s="30" t="str">
        <f>IF(MAXIFS(BodyMapData_2!$E:$E,BodyMapData_2!$A:$A,Dashboard_2!$C$3,BodyMapData_2!$B:$B,$M171)=0,"",
MAXIFS(BodyMapData_2!$E:$E,BodyMapData_2!$A:$A,Dashboard_2!$C$3,BodyMapData_2!$B:$B,$M171))</f>
        <v/>
      </c>
    </row>
    <row r="172">
      <c r="N172" s="30" t="str">
        <f>IF(SUMIFS(BodyMapData_2!$E:$E,BodyMapData_2!$A:$A,Dashboard_2!$C$3,BodyMapData_2!$B:$B,$M172)=0,"",
SUMIFS(BodyMapData_2!$E:$E,BodyMapData_2!$A:$A,Dashboard_2!$C$3,BodyMapData_2!$B:$B,$M172))</f>
        <v/>
      </c>
      <c r="O172" s="30" t="str">
        <f>IF(MAXIFS(BodyMapData_2!$E:$E,BodyMapData_2!$A:$A,Dashboard_2!$C$3,BodyMapData_2!$B:$B,$M172)=0,"",
MAXIFS(BodyMapData_2!$E:$E,BodyMapData_2!$A:$A,Dashboard_2!$C$3,BodyMapData_2!$B:$B,$M172))</f>
        <v/>
      </c>
    </row>
    <row r="173">
      <c r="N173" s="30" t="str">
        <f>IF(SUMIFS(BodyMapData_2!$E:$E,BodyMapData_2!$A:$A,Dashboard_2!$C$3,BodyMapData_2!$B:$B,$M173)=0,"",
SUMIFS(BodyMapData_2!$E:$E,BodyMapData_2!$A:$A,Dashboard_2!$C$3,BodyMapData_2!$B:$B,$M173))</f>
        <v/>
      </c>
      <c r="O173" s="30" t="str">
        <f>IF(MAXIFS(BodyMapData_2!$E:$E,BodyMapData_2!$A:$A,Dashboard_2!$C$3,BodyMapData_2!$B:$B,$M173)=0,"",
MAXIFS(BodyMapData_2!$E:$E,BodyMapData_2!$A:$A,Dashboard_2!$C$3,BodyMapData_2!$B:$B,$M173))</f>
        <v/>
      </c>
    </row>
    <row r="174">
      <c r="N174" s="30" t="str">
        <f>IF(SUMIFS(BodyMapData_2!$E:$E,BodyMapData_2!$A:$A,Dashboard_2!$C$3,BodyMapData_2!$B:$B,$M174)=0,"",
SUMIFS(BodyMapData_2!$E:$E,BodyMapData_2!$A:$A,Dashboard_2!$C$3,BodyMapData_2!$B:$B,$M174))</f>
        <v/>
      </c>
      <c r="O174" s="30" t="str">
        <f>IF(MAXIFS(BodyMapData_2!$E:$E,BodyMapData_2!$A:$A,Dashboard_2!$C$3,BodyMapData_2!$B:$B,$M174)=0,"",
MAXIFS(BodyMapData_2!$E:$E,BodyMapData_2!$A:$A,Dashboard_2!$C$3,BodyMapData_2!$B:$B,$M174))</f>
        <v/>
      </c>
    </row>
    <row r="175">
      <c r="N175" s="30" t="str">
        <f>IF(SUMIFS(BodyMapData_2!$E:$E,BodyMapData_2!$A:$A,Dashboard_2!$C$3,BodyMapData_2!$B:$B,$M175)=0,"",
SUMIFS(BodyMapData_2!$E:$E,BodyMapData_2!$A:$A,Dashboard_2!$C$3,BodyMapData_2!$B:$B,$M175))</f>
        <v/>
      </c>
      <c r="O175" s="30" t="str">
        <f>IF(MAXIFS(BodyMapData_2!$E:$E,BodyMapData_2!$A:$A,Dashboard_2!$C$3,BodyMapData_2!$B:$B,$M175)=0,"",
MAXIFS(BodyMapData_2!$E:$E,BodyMapData_2!$A:$A,Dashboard_2!$C$3,BodyMapData_2!$B:$B,$M175))</f>
        <v/>
      </c>
    </row>
    <row r="176">
      <c r="N176" s="30" t="str">
        <f>IF(SUMIFS(BodyMapData_2!$E:$E,BodyMapData_2!$A:$A,Dashboard_2!$C$3,BodyMapData_2!$B:$B,$M176)=0,"",
SUMIFS(BodyMapData_2!$E:$E,BodyMapData_2!$A:$A,Dashboard_2!$C$3,BodyMapData_2!$B:$B,$M176))</f>
        <v/>
      </c>
      <c r="O176" s="30" t="str">
        <f>IF(MAXIFS(BodyMapData_2!$E:$E,BodyMapData_2!$A:$A,Dashboard_2!$C$3,BodyMapData_2!$B:$B,$M176)=0,"",
MAXIFS(BodyMapData_2!$E:$E,BodyMapData_2!$A:$A,Dashboard_2!$C$3,BodyMapData_2!$B:$B,$M176))</f>
        <v/>
      </c>
    </row>
    <row r="177">
      <c r="N177" s="30" t="str">
        <f>IF(SUMIFS(BodyMapData_2!$E:$E,BodyMapData_2!$A:$A,Dashboard_2!$C$3,BodyMapData_2!$B:$B,$M177)=0,"",
SUMIFS(BodyMapData_2!$E:$E,BodyMapData_2!$A:$A,Dashboard_2!$C$3,BodyMapData_2!$B:$B,$M177))</f>
        <v/>
      </c>
      <c r="O177" s="30" t="str">
        <f>IF(MAXIFS(BodyMapData_2!$E:$E,BodyMapData_2!$A:$A,Dashboard_2!$C$3,BodyMapData_2!$B:$B,$M177)=0,"",
MAXIFS(BodyMapData_2!$E:$E,BodyMapData_2!$A:$A,Dashboard_2!$C$3,BodyMapData_2!$B:$B,$M177))</f>
        <v/>
      </c>
    </row>
    <row r="178">
      <c r="N178" s="30" t="str">
        <f>IF(SUMIFS(BodyMapData_2!$E:$E,BodyMapData_2!$A:$A,Dashboard_2!$C$3,BodyMapData_2!$B:$B,$M178)=0,"",
SUMIFS(BodyMapData_2!$E:$E,BodyMapData_2!$A:$A,Dashboard_2!$C$3,BodyMapData_2!$B:$B,$M178))</f>
        <v/>
      </c>
      <c r="O178" s="30" t="str">
        <f>IF(MAXIFS(BodyMapData_2!$E:$E,BodyMapData_2!$A:$A,Dashboard_2!$C$3,BodyMapData_2!$B:$B,$M178)=0,"",
MAXIFS(BodyMapData_2!$E:$E,BodyMapData_2!$A:$A,Dashboard_2!$C$3,BodyMapData_2!$B:$B,$M178))</f>
        <v/>
      </c>
    </row>
    <row r="179">
      <c r="N179" s="30" t="str">
        <f>IF(SUMIFS(BodyMapData_2!$E:$E,BodyMapData_2!$A:$A,Dashboard_2!$C$3,BodyMapData_2!$B:$B,$M179)=0,"",
SUMIFS(BodyMapData_2!$E:$E,BodyMapData_2!$A:$A,Dashboard_2!$C$3,BodyMapData_2!$B:$B,$M179))</f>
        <v/>
      </c>
      <c r="O179" s="30" t="str">
        <f>IF(MAXIFS(BodyMapData_2!$E:$E,BodyMapData_2!$A:$A,Dashboard_2!$C$3,BodyMapData_2!$B:$B,$M179)=0,"",
MAXIFS(BodyMapData_2!$E:$E,BodyMapData_2!$A:$A,Dashboard_2!$C$3,BodyMapData_2!$B:$B,$M179))</f>
        <v/>
      </c>
    </row>
    <row r="180">
      <c r="N180" s="30" t="str">
        <f>IF(SUMIFS(BodyMapData_2!$E:$E,BodyMapData_2!$A:$A,Dashboard_2!$C$3,BodyMapData_2!$B:$B,$M180)=0,"",
SUMIFS(BodyMapData_2!$E:$E,BodyMapData_2!$A:$A,Dashboard_2!$C$3,BodyMapData_2!$B:$B,$M180))</f>
        <v/>
      </c>
      <c r="O180" s="30" t="str">
        <f>IF(MAXIFS(BodyMapData_2!$E:$E,BodyMapData_2!$A:$A,Dashboard_2!$C$3,BodyMapData_2!$B:$B,$M180)=0,"",
MAXIFS(BodyMapData_2!$E:$E,BodyMapData_2!$A:$A,Dashboard_2!$C$3,BodyMapData_2!$B:$B,$M180))</f>
        <v/>
      </c>
    </row>
    <row r="181">
      <c r="N181" s="30" t="str">
        <f>IF(SUMIFS(BodyMapData_2!$E:$E,BodyMapData_2!$A:$A,Dashboard_2!$C$3,BodyMapData_2!$B:$B,$M181)=0,"",
SUMIFS(BodyMapData_2!$E:$E,BodyMapData_2!$A:$A,Dashboard_2!$C$3,BodyMapData_2!$B:$B,$M181))</f>
        <v/>
      </c>
      <c r="O181" s="30" t="str">
        <f>IF(MAXIFS(BodyMapData_2!$E:$E,BodyMapData_2!$A:$A,Dashboard_2!$C$3,BodyMapData_2!$B:$B,$M181)=0,"",
MAXIFS(BodyMapData_2!$E:$E,BodyMapData_2!$A:$A,Dashboard_2!$C$3,BodyMapData_2!$B:$B,$M181))</f>
        <v/>
      </c>
    </row>
    <row r="182">
      <c r="N182" s="30" t="str">
        <f>IF(SUMIFS(BodyMapData_2!$E:$E,BodyMapData_2!$A:$A,Dashboard_2!$C$3,BodyMapData_2!$B:$B,$M182)=0,"",
SUMIFS(BodyMapData_2!$E:$E,BodyMapData_2!$A:$A,Dashboard_2!$C$3,BodyMapData_2!$B:$B,$M182))</f>
        <v/>
      </c>
      <c r="O182" s="30" t="str">
        <f>IF(MAXIFS(BodyMapData_2!$E:$E,BodyMapData_2!$A:$A,Dashboard_2!$C$3,BodyMapData_2!$B:$B,$M182)=0,"",
MAXIFS(BodyMapData_2!$E:$E,BodyMapData_2!$A:$A,Dashboard_2!$C$3,BodyMapData_2!$B:$B,$M182))</f>
        <v/>
      </c>
    </row>
    <row r="183">
      <c r="N183" s="30" t="str">
        <f>IF(SUMIFS(BodyMapData_2!$E:$E,BodyMapData_2!$A:$A,Dashboard_2!$C$3,BodyMapData_2!$B:$B,$M183)=0,"",
SUMIFS(BodyMapData_2!$E:$E,BodyMapData_2!$A:$A,Dashboard_2!$C$3,BodyMapData_2!$B:$B,$M183))</f>
        <v/>
      </c>
      <c r="O183" s="30" t="str">
        <f>IF(MAXIFS(BodyMapData_2!$E:$E,BodyMapData_2!$A:$A,Dashboard_2!$C$3,BodyMapData_2!$B:$B,$M183)=0,"",
MAXIFS(BodyMapData_2!$E:$E,BodyMapData_2!$A:$A,Dashboard_2!$C$3,BodyMapData_2!$B:$B,$M183))</f>
        <v/>
      </c>
    </row>
    <row r="184">
      <c r="N184" s="30" t="str">
        <f>IF(SUMIFS(BodyMapData_2!$E:$E,BodyMapData_2!$A:$A,Dashboard_2!$C$3,BodyMapData_2!$B:$B,$M184)=0,"",
SUMIFS(BodyMapData_2!$E:$E,BodyMapData_2!$A:$A,Dashboard_2!$C$3,BodyMapData_2!$B:$B,$M184))</f>
        <v/>
      </c>
      <c r="O184" s="30" t="str">
        <f>IF(MAXIFS(BodyMapData_2!$E:$E,BodyMapData_2!$A:$A,Dashboard_2!$C$3,BodyMapData_2!$B:$B,$M184)=0,"",
MAXIFS(BodyMapData_2!$E:$E,BodyMapData_2!$A:$A,Dashboard_2!$C$3,BodyMapData_2!$B:$B,$M184))</f>
        <v/>
      </c>
    </row>
    <row r="185">
      <c r="N185" s="30" t="str">
        <f>IF(SUMIFS(BodyMapData_2!$E:$E,BodyMapData_2!$A:$A,Dashboard_2!$C$3,BodyMapData_2!$B:$B,$M185)=0,"",
SUMIFS(BodyMapData_2!$E:$E,BodyMapData_2!$A:$A,Dashboard_2!$C$3,BodyMapData_2!$B:$B,$M185))</f>
        <v/>
      </c>
      <c r="O185" s="30" t="str">
        <f>IF(MAXIFS(BodyMapData_2!$E:$E,BodyMapData_2!$A:$A,Dashboard_2!$C$3,BodyMapData_2!$B:$B,$M185)=0,"",
MAXIFS(BodyMapData_2!$E:$E,BodyMapData_2!$A:$A,Dashboard_2!$C$3,BodyMapData_2!$B:$B,$M185))</f>
        <v/>
      </c>
    </row>
    <row r="186">
      <c r="N186" s="30" t="str">
        <f>IF(SUMIFS(BodyMapData_2!$E:$E,BodyMapData_2!$A:$A,Dashboard_2!$C$3,BodyMapData_2!$B:$B,$M186)=0,"",
SUMIFS(BodyMapData_2!$E:$E,BodyMapData_2!$A:$A,Dashboard_2!$C$3,BodyMapData_2!$B:$B,$M186))</f>
        <v/>
      </c>
      <c r="O186" s="30" t="str">
        <f>IF(MAXIFS(BodyMapData_2!$E:$E,BodyMapData_2!$A:$A,Dashboard_2!$C$3,BodyMapData_2!$B:$B,$M186)=0,"",
MAXIFS(BodyMapData_2!$E:$E,BodyMapData_2!$A:$A,Dashboard_2!$C$3,BodyMapData_2!$B:$B,$M186))</f>
        <v/>
      </c>
    </row>
    <row r="187">
      <c r="N187" s="30" t="str">
        <f>IF(SUMIFS(BodyMapData_2!$E:$E,BodyMapData_2!$A:$A,Dashboard_2!$C$3,BodyMapData_2!$B:$B,$M187)=0,"",
SUMIFS(BodyMapData_2!$E:$E,BodyMapData_2!$A:$A,Dashboard_2!$C$3,BodyMapData_2!$B:$B,$M187))</f>
        <v/>
      </c>
      <c r="O187" s="30" t="str">
        <f>IF(MAXIFS(BodyMapData_2!$E:$E,BodyMapData_2!$A:$A,Dashboard_2!$C$3,BodyMapData_2!$B:$B,$M187)=0,"",
MAXIFS(BodyMapData_2!$E:$E,BodyMapData_2!$A:$A,Dashboard_2!$C$3,BodyMapData_2!$B:$B,$M187))</f>
        <v/>
      </c>
    </row>
    <row r="188">
      <c r="N188" s="30" t="str">
        <f>IF(SUMIFS(BodyMapData_2!$E:$E,BodyMapData_2!$A:$A,Dashboard_2!$C$3,BodyMapData_2!$B:$B,$M188)=0,"",
SUMIFS(BodyMapData_2!$E:$E,BodyMapData_2!$A:$A,Dashboard_2!$C$3,BodyMapData_2!$B:$B,$M188))</f>
        <v/>
      </c>
      <c r="O188" s="30" t="str">
        <f>IF(MAXIFS(BodyMapData_2!$E:$E,BodyMapData_2!$A:$A,Dashboard_2!$C$3,BodyMapData_2!$B:$B,$M188)=0,"",
MAXIFS(BodyMapData_2!$E:$E,BodyMapData_2!$A:$A,Dashboard_2!$C$3,BodyMapData_2!$B:$B,$M188))</f>
        <v/>
      </c>
    </row>
    <row r="189">
      <c r="N189" s="30" t="str">
        <f>IF(SUMIFS(BodyMapData_2!$E:$E,BodyMapData_2!$A:$A,Dashboard_2!$C$3,BodyMapData_2!$B:$B,$M189)=0,"",
SUMIFS(BodyMapData_2!$E:$E,BodyMapData_2!$A:$A,Dashboard_2!$C$3,BodyMapData_2!$B:$B,$M189))</f>
        <v/>
      </c>
      <c r="O189" s="30" t="str">
        <f>IF(MAXIFS(BodyMapData_2!$E:$E,BodyMapData_2!$A:$A,Dashboard_2!$C$3,BodyMapData_2!$B:$B,$M189)=0,"",
MAXIFS(BodyMapData_2!$E:$E,BodyMapData_2!$A:$A,Dashboard_2!$C$3,BodyMapData_2!$B:$B,$M189))</f>
        <v/>
      </c>
    </row>
    <row r="190">
      <c r="N190" s="30" t="str">
        <f>IF(SUMIFS(BodyMapData_2!$E:$E,BodyMapData_2!$A:$A,Dashboard_2!$C$3,BodyMapData_2!$B:$B,$M190)=0,"",
SUMIFS(BodyMapData_2!$E:$E,BodyMapData_2!$A:$A,Dashboard_2!$C$3,BodyMapData_2!$B:$B,$M190))</f>
        <v/>
      </c>
      <c r="O190" s="30" t="str">
        <f>IF(MAXIFS(BodyMapData_2!$E:$E,BodyMapData_2!$A:$A,Dashboard_2!$C$3,BodyMapData_2!$B:$B,$M190)=0,"",
MAXIFS(BodyMapData_2!$E:$E,BodyMapData_2!$A:$A,Dashboard_2!$C$3,BodyMapData_2!$B:$B,$M190))</f>
        <v/>
      </c>
    </row>
    <row r="191">
      <c r="N191" s="30" t="str">
        <f>IF(SUMIFS(BodyMapData_2!$E:$E,BodyMapData_2!$A:$A,Dashboard_2!$C$3,BodyMapData_2!$B:$B,$M191)=0,"",
SUMIFS(BodyMapData_2!$E:$E,BodyMapData_2!$A:$A,Dashboard_2!$C$3,BodyMapData_2!$B:$B,$M191))</f>
        <v/>
      </c>
      <c r="O191" s="30" t="str">
        <f>IF(MAXIFS(BodyMapData_2!$E:$E,BodyMapData_2!$A:$A,Dashboard_2!$C$3,BodyMapData_2!$B:$B,$M191)=0,"",
MAXIFS(BodyMapData_2!$E:$E,BodyMapData_2!$A:$A,Dashboard_2!$C$3,BodyMapData_2!$B:$B,$M191))</f>
        <v/>
      </c>
    </row>
    <row r="192">
      <c r="N192" s="30" t="str">
        <f>IF(SUMIFS(BodyMapData_2!$E:$E,BodyMapData_2!$A:$A,Dashboard_2!$C$3,BodyMapData_2!$B:$B,$M192)=0,"",
SUMIFS(BodyMapData_2!$E:$E,BodyMapData_2!$A:$A,Dashboard_2!$C$3,BodyMapData_2!$B:$B,$M192))</f>
        <v/>
      </c>
      <c r="O192" s="30" t="str">
        <f>IF(MAXIFS(BodyMapData_2!$E:$E,BodyMapData_2!$A:$A,Dashboard_2!$C$3,BodyMapData_2!$B:$B,$M192)=0,"",
MAXIFS(BodyMapData_2!$E:$E,BodyMapData_2!$A:$A,Dashboard_2!$C$3,BodyMapData_2!$B:$B,$M192))</f>
        <v/>
      </c>
    </row>
    <row r="193">
      <c r="N193" s="30" t="str">
        <f>IF(SUMIFS(BodyMapData_2!$E:$E,BodyMapData_2!$A:$A,Dashboard_2!$C$3,BodyMapData_2!$B:$B,$M193)=0,"",
SUMIFS(BodyMapData_2!$E:$E,BodyMapData_2!$A:$A,Dashboard_2!$C$3,BodyMapData_2!$B:$B,$M193))</f>
        <v/>
      </c>
      <c r="O193" s="30" t="str">
        <f>IF(MAXIFS(BodyMapData_2!$E:$E,BodyMapData_2!$A:$A,Dashboard_2!$C$3,BodyMapData_2!$B:$B,$M193)=0,"",
MAXIFS(BodyMapData_2!$E:$E,BodyMapData_2!$A:$A,Dashboard_2!$C$3,BodyMapData_2!$B:$B,$M193))</f>
        <v/>
      </c>
    </row>
    <row r="194">
      <c r="N194" s="30" t="str">
        <f>IF(SUMIFS(BodyMapData_2!$E:$E,BodyMapData_2!$A:$A,Dashboard_2!$C$3,BodyMapData_2!$B:$B,$M194)=0,"",
SUMIFS(BodyMapData_2!$E:$E,BodyMapData_2!$A:$A,Dashboard_2!$C$3,BodyMapData_2!$B:$B,$M194))</f>
        <v/>
      </c>
      <c r="O194" s="30" t="str">
        <f>IF(MAXIFS(BodyMapData_2!$E:$E,BodyMapData_2!$A:$A,Dashboard_2!$C$3,BodyMapData_2!$B:$B,$M194)=0,"",
MAXIFS(BodyMapData_2!$E:$E,BodyMapData_2!$A:$A,Dashboard_2!$C$3,BodyMapData_2!$B:$B,$M194))</f>
        <v/>
      </c>
    </row>
    <row r="195">
      <c r="N195" s="30" t="str">
        <f>IF(SUMIFS(BodyMapData_2!$E:$E,BodyMapData_2!$A:$A,Dashboard_2!$C$3,BodyMapData_2!$B:$B,$M195)=0,"",
SUMIFS(BodyMapData_2!$E:$E,BodyMapData_2!$A:$A,Dashboard_2!$C$3,BodyMapData_2!$B:$B,$M195))</f>
        <v/>
      </c>
      <c r="O195" s="30" t="str">
        <f>IF(MAXIFS(BodyMapData_2!$E:$E,BodyMapData_2!$A:$A,Dashboard_2!$C$3,BodyMapData_2!$B:$B,$M195)=0,"",
MAXIFS(BodyMapData_2!$E:$E,BodyMapData_2!$A:$A,Dashboard_2!$C$3,BodyMapData_2!$B:$B,$M195))</f>
        <v/>
      </c>
    </row>
    <row r="196">
      <c r="N196" s="30" t="str">
        <f>IF(SUMIFS(BodyMapData_2!$E:$E,BodyMapData_2!$A:$A,Dashboard_2!$C$3,BodyMapData_2!$B:$B,$M196)=0,"",
SUMIFS(BodyMapData_2!$E:$E,BodyMapData_2!$A:$A,Dashboard_2!$C$3,BodyMapData_2!$B:$B,$M196))</f>
        <v/>
      </c>
      <c r="O196" s="30" t="str">
        <f>IF(MAXIFS(BodyMapData_2!$E:$E,BodyMapData_2!$A:$A,Dashboard_2!$C$3,BodyMapData_2!$B:$B,$M196)=0,"",
MAXIFS(BodyMapData_2!$E:$E,BodyMapData_2!$A:$A,Dashboard_2!$C$3,BodyMapData_2!$B:$B,$M196))</f>
        <v/>
      </c>
    </row>
    <row r="197">
      <c r="N197" s="30" t="str">
        <f>IF(SUMIFS(BodyMapData_2!$E:$E,BodyMapData_2!$A:$A,Dashboard_2!$C$3,BodyMapData_2!$B:$B,$M197)=0,"",
SUMIFS(BodyMapData_2!$E:$E,BodyMapData_2!$A:$A,Dashboard_2!$C$3,BodyMapData_2!$B:$B,$M197))</f>
        <v/>
      </c>
      <c r="O197" s="30" t="str">
        <f>IF(MAXIFS(BodyMapData_2!$E:$E,BodyMapData_2!$A:$A,Dashboard_2!$C$3,BodyMapData_2!$B:$B,$M197)=0,"",
MAXIFS(BodyMapData_2!$E:$E,BodyMapData_2!$A:$A,Dashboard_2!$C$3,BodyMapData_2!$B:$B,$M197))</f>
        <v/>
      </c>
    </row>
    <row r="198">
      <c r="N198" s="30" t="str">
        <f>IF(SUMIFS(BodyMapData_2!$E:$E,BodyMapData_2!$A:$A,Dashboard_2!$C$3,BodyMapData_2!$B:$B,$M198)=0,"",
SUMIFS(BodyMapData_2!$E:$E,BodyMapData_2!$A:$A,Dashboard_2!$C$3,BodyMapData_2!$B:$B,$M198))</f>
        <v/>
      </c>
      <c r="O198" s="30" t="str">
        <f>IF(MAXIFS(BodyMapData_2!$E:$E,BodyMapData_2!$A:$A,Dashboard_2!$C$3,BodyMapData_2!$B:$B,$M198)=0,"",
MAXIFS(BodyMapData_2!$E:$E,BodyMapData_2!$A:$A,Dashboard_2!$C$3,BodyMapData_2!$B:$B,$M198))</f>
        <v/>
      </c>
    </row>
    <row r="199">
      <c r="N199" s="30" t="str">
        <f>IF(SUMIFS(BodyMapData_2!$E:$E,BodyMapData_2!$A:$A,Dashboard_2!$C$3,BodyMapData_2!$B:$B,$M199)=0,"",
SUMIFS(BodyMapData_2!$E:$E,BodyMapData_2!$A:$A,Dashboard_2!$C$3,BodyMapData_2!$B:$B,$M199))</f>
        <v/>
      </c>
      <c r="O199" s="30" t="str">
        <f>IF(MAXIFS(BodyMapData_2!$E:$E,BodyMapData_2!$A:$A,Dashboard_2!$C$3,BodyMapData_2!$B:$B,$M199)=0,"",
MAXIFS(BodyMapData_2!$E:$E,BodyMapData_2!$A:$A,Dashboard_2!$C$3,BodyMapData_2!$B:$B,$M199))</f>
        <v/>
      </c>
    </row>
    <row r="200">
      <c r="N200" s="30" t="str">
        <f>IF(SUMIFS(BodyMapData_2!$E:$E,BodyMapData_2!$A:$A,Dashboard_2!$C$3,BodyMapData_2!$B:$B,$M200)=0,"",
SUMIFS(BodyMapData_2!$E:$E,BodyMapData_2!$A:$A,Dashboard_2!$C$3,BodyMapData_2!$B:$B,$M200))</f>
        <v/>
      </c>
      <c r="O200" s="30" t="str">
        <f>IF(MAXIFS(BodyMapData_2!$E:$E,BodyMapData_2!$A:$A,Dashboard_2!$C$3,BodyMapData_2!$B:$B,$M200)=0,"",
MAXIFS(BodyMapData_2!$E:$E,BodyMapData_2!$A:$A,Dashboard_2!$C$3,BodyMapData_2!$B:$B,$M200))</f>
        <v/>
      </c>
    </row>
    <row r="201">
      <c r="N201" s="30" t="str">
        <f>IF(SUMIFS(BodyMapData_2!$E:$E,BodyMapData_2!$A:$A,Dashboard_2!$C$3,BodyMapData_2!$B:$B,$M201)=0,"",
SUMIFS(BodyMapData_2!$E:$E,BodyMapData_2!$A:$A,Dashboard_2!$C$3,BodyMapData_2!$B:$B,$M201))</f>
        <v/>
      </c>
      <c r="O201" s="30" t="str">
        <f>IF(MAXIFS(BodyMapData_2!$E:$E,BodyMapData_2!$A:$A,Dashboard_2!$C$3,BodyMapData_2!$B:$B,$M201)=0,"",
MAXIFS(BodyMapData_2!$E:$E,BodyMapData_2!$A:$A,Dashboard_2!$C$3,BodyMapData_2!$B:$B,$M201))</f>
        <v/>
      </c>
    </row>
    <row r="202">
      <c r="N202" s="30" t="str">
        <f>IF(SUMIFS(BodyMapData_2!$E:$E,BodyMapData_2!$A:$A,Dashboard_2!$C$3,BodyMapData_2!$B:$B,$M202)=0,"",
SUMIFS(BodyMapData_2!$E:$E,BodyMapData_2!$A:$A,Dashboard_2!$C$3,BodyMapData_2!$B:$B,$M202))</f>
        <v/>
      </c>
      <c r="O202" s="30" t="str">
        <f>IF(MAXIFS(BodyMapData_2!$E:$E,BodyMapData_2!$A:$A,Dashboard_2!$C$3,BodyMapData_2!$B:$B,$M202)=0,"",
MAXIFS(BodyMapData_2!$E:$E,BodyMapData_2!$A:$A,Dashboard_2!$C$3,BodyMapData_2!$B:$B,$M202))</f>
        <v/>
      </c>
    </row>
    <row r="203">
      <c r="N203" s="30" t="str">
        <f>IF(SUMIFS(BodyMapData_2!$E:$E,BodyMapData_2!$A:$A,Dashboard_2!$C$3,BodyMapData_2!$B:$B,$M203)=0,"",
SUMIFS(BodyMapData_2!$E:$E,BodyMapData_2!$A:$A,Dashboard_2!$C$3,BodyMapData_2!$B:$B,$M203))</f>
        <v/>
      </c>
      <c r="O203" s="30" t="str">
        <f>IF(MAXIFS(BodyMapData_2!$E:$E,BodyMapData_2!$A:$A,Dashboard_2!$C$3,BodyMapData_2!$B:$B,$M203)=0,"",
MAXIFS(BodyMapData_2!$E:$E,BodyMapData_2!$A:$A,Dashboard_2!$C$3,BodyMapData_2!$B:$B,$M203))</f>
        <v/>
      </c>
    </row>
    <row r="204">
      <c r="N204" s="30" t="str">
        <f>IF(SUMIFS(BodyMapData_2!$E:$E,BodyMapData_2!$A:$A,Dashboard_2!$C$3,BodyMapData_2!$B:$B,$M204)=0,"",
SUMIFS(BodyMapData_2!$E:$E,BodyMapData_2!$A:$A,Dashboard_2!$C$3,BodyMapData_2!$B:$B,$M204))</f>
        <v/>
      </c>
      <c r="O204" s="30" t="str">
        <f>IF(MAXIFS(BodyMapData_2!$E:$E,BodyMapData_2!$A:$A,Dashboard_2!$C$3,BodyMapData_2!$B:$B,$M204)=0,"",
MAXIFS(BodyMapData_2!$E:$E,BodyMapData_2!$A:$A,Dashboard_2!$C$3,BodyMapData_2!$B:$B,$M204))</f>
        <v/>
      </c>
    </row>
    <row r="205">
      <c r="N205" s="30" t="str">
        <f>IF(SUMIFS(BodyMapData_2!$E:$E,BodyMapData_2!$A:$A,Dashboard_2!$C$3,BodyMapData_2!$B:$B,$M205)=0,"",
SUMIFS(BodyMapData_2!$E:$E,BodyMapData_2!$A:$A,Dashboard_2!$C$3,BodyMapData_2!$B:$B,$M205))</f>
        <v/>
      </c>
      <c r="O205" s="30" t="str">
        <f>IF(MAXIFS(BodyMapData_2!$E:$E,BodyMapData_2!$A:$A,Dashboard_2!$C$3,BodyMapData_2!$B:$B,$M205)=0,"",
MAXIFS(BodyMapData_2!$E:$E,BodyMapData_2!$A:$A,Dashboard_2!$C$3,BodyMapData_2!$B:$B,$M205))</f>
        <v/>
      </c>
    </row>
    <row r="206">
      <c r="N206" s="30" t="str">
        <f>IF(SUMIFS(BodyMapData_2!$E:$E,BodyMapData_2!$A:$A,Dashboard_2!$C$3,BodyMapData_2!$B:$B,$M206)=0,"",
SUMIFS(BodyMapData_2!$E:$E,BodyMapData_2!$A:$A,Dashboard_2!$C$3,BodyMapData_2!$B:$B,$M206))</f>
        <v/>
      </c>
      <c r="O206" s="30" t="str">
        <f>IF(MAXIFS(BodyMapData_2!$E:$E,BodyMapData_2!$A:$A,Dashboard_2!$C$3,BodyMapData_2!$B:$B,$M206)=0,"",
MAXIFS(BodyMapData_2!$E:$E,BodyMapData_2!$A:$A,Dashboard_2!$C$3,BodyMapData_2!$B:$B,$M206))</f>
        <v/>
      </c>
    </row>
    <row r="207">
      <c r="N207" s="30" t="str">
        <f>IF(SUMIFS(BodyMapData_2!$E:$E,BodyMapData_2!$A:$A,Dashboard_2!$C$3,BodyMapData_2!$B:$B,$M207)=0,"",
SUMIFS(BodyMapData_2!$E:$E,BodyMapData_2!$A:$A,Dashboard_2!$C$3,BodyMapData_2!$B:$B,$M207))</f>
        <v/>
      </c>
      <c r="O207" s="30" t="str">
        <f>IF(MAXIFS(BodyMapData_2!$E:$E,BodyMapData_2!$A:$A,Dashboard_2!$C$3,BodyMapData_2!$B:$B,$M207)=0,"",
MAXIFS(BodyMapData_2!$E:$E,BodyMapData_2!$A:$A,Dashboard_2!$C$3,BodyMapData_2!$B:$B,$M207))</f>
        <v/>
      </c>
    </row>
    <row r="208">
      <c r="N208" s="30" t="str">
        <f>IF(SUMIFS(BodyMapData_2!$E:$E,BodyMapData_2!$A:$A,Dashboard_2!$C$3,BodyMapData_2!$B:$B,$M208)=0,"",
SUMIFS(BodyMapData_2!$E:$E,BodyMapData_2!$A:$A,Dashboard_2!$C$3,BodyMapData_2!$B:$B,$M208))</f>
        <v/>
      </c>
      <c r="O208" s="30" t="str">
        <f>IF(MAXIFS(BodyMapData_2!$E:$E,BodyMapData_2!$A:$A,Dashboard_2!$C$3,BodyMapData_2!$B:$B,$M208)=0,"",
MAXIFS(BodyMapData_2!$E:$E,BodyMapData_2!$A:$A,Dashboard_2!$C$3,BodyMapData_2!$B:$B,$M208))</f>
        <v/>
      </c>
    </row>
    <row r="209">
      <c r="N209" s="30" t="str">
        <f>IF(SUMIFS(BodyMapData_2!$E:$E,BodyMapData_2!$A:$A,Dashboard_2!$C$3,BodyMapData_2!$B:$B,$M209)=0,"",
SUMIFS(BodyMapData_2!$E:$E,BodyMapData_2!$A:$A,Dashboard_2!$C$3,BodyMapData_2!$B:$B,$M209))</f>
        <v/>
      </c>
      <c r="O209" s="30" t="str">
        <f>IF(MAXIFS(BodyMapData_2!$E:$E,BodyMapData_2!$A:$A,Dashboard_2!$C$3,BodyMapData_2!$B:$B,$M209)=0,"",
MAXIFS(BodyMapData_2!$E:$E,BodyMapData_2!$A:$A,Dashboard_2!$C$3,BodyMapData_2!$B:$B,$M209))</f>
        <v/>
      </c>
    </row>
    <row r="210">
      <c r="N210" s="30" t="str">
        <f>IF(SUMIFS(BodyMapData_2!$E:$E,BodyMapData_2!$A:$A,Dashboard_2!$C$3,BodyMapData_2!$B:$B,$M210)=0,"",
SUMIFS(BodyMapData_2!$E:$E,BodyMapData_2!$A:$A,Dashboard_2!$C$3,BodyMapData_2!$B:$B,$M210))</f>
        <v/>
      </c>
      <c r="O210" s="30" t="str">
        <f>IF(MAXIFS(BodyMapData_2!$E:$E,BodyMapData_2!$A:$A,Dashboard_2!$C$3,BodyMapData_2!$B:$B,$M210)=0,"",
MAXIFS(BodyMapData_2!$E:$E,BodyMapData_2!$A:$A,Dashboard_2!$C$3,BodyMapData_2!$B:$B,$M210))</f>
        <v/>
      </c>
    </row>
    <row r="211">
      <c r="N211" s="30" t="str">
        <f>IF(SUMIFS(BodyMapData_2!$E:$E,BodyMapData_2!$A:$A,Dashboard_2!$C$3,BodyMapData_2!$B:$B,$M211)=0,"",
SUMIFS(BodyMapData_2!$E:$E,BodyMapData_2!$A:$A,Dashboard_2!$C$3,BodyMapData_2!$B:$B,$M211))</f>
        <v/>
      </c>
      <c r="O211" s="30" t="str">
        <f>IF(MAXIFS(BodyMapData_2!$E:$E,BodyMapData_2!$A:$A,Dashboard_2!$C$3,BodyMapData_2!$B:$B,$M211)=0,"",
MAXIFS(BodyMapData_2!$E:$E,BodyMapData_2!$A:$A,Dashboard_2!$C$3,BodyMapData_2!$B:$B,$M211))</f>
        <v/>
      </c>
    </row>
    <row r="212">
      <c r="N212" s="30" t="str">
        <f>IF(SUMIFS(BodyMapData_2!$E:$E,BodyMapData_2!$A:$A,Dashboard_2!$C$3,BodyMapData_2!$B:$B,$M212)=0,"",
SUMIFS(BodyMapData_2!$E:$E,BodyMapData_2!$A:$A,Dashboard_2!$C$3,BodyMapData_2!$B:$B,$M212))</f>
        <v/>
      </c>
      <c r="O212" s="30" t="str">
        <f>IF(MAXIFS(BodyMapData_2!$E:$E,BodyMapData_2!$A:$A,Dashboard_2!$C$3,BodyMapData_2!$B:$B,$M212)=0,"",
MAXIFS(BodyMapData_2!$E:$E,BodyMapData_2!$A:$A,Dashboard_2!$C$3,BodyMapData_2!$B:$B,$M212))</f>
        <v/>
      </c>
    </row>
    <row r="213">
      <c r="N213" s="30" t="str">
        <f>IF(SUMIFS(BodyMapData_2!$E:$E,BodyMapData_2!$A:$A,Dashboard_2!$C$3,BodyMapData_2!$B:$B,$M213)=0,"",
SUMIFS(BodyMapData_2!$E:$E,BodyMapData_2!$A:$A,Dashboard_2!$C$3,BodyMapData_2!$B:$B,$M213))</f>
        <v/>
      </c>
      <c r="O213" s="30" t="str">
        <f>IF(MAXIFS(BodyMapData_2!$E:$E,BodyMapData_2!$A:$A,Dashboard_2!$C$3,BodyMapData_2!$B:$B,$M213)=0,"",
MAXIFS(BodyMapData_2!$E:$E,BodyMapData_2!$A:$A,Dashboard_2!$C$3,BodyMapData_2!$B:$B,$M213))</f>
        <v/>
      </c>
    </row>
    <row r="214">
      <c r="N214" s="30" t="str">
        <f>IF(SUMIFS(BodyMapData_2!$E:$E,BodyMapData_2!$A:$A,Dashboard_2!$C$3,BodyMapData_2!$B:$B,$M214)=0,"",
SUMIFS(BodyMapData_2!$E:$E,BodyMapData_2!$A:$A,Dashboard_2!$C$3,BodyMapData_2!$B:$B,$M214))</f>
        <v/>
      </c>
      <c r="O214" s="30" t="str">
        <f>IF(MAXIFS(BodyMapData_2!$E:$E,BodyMapData_2!$A:$A,Dashboard_2!$C$3,BodyMapData_2!$B:$B,$M214)=0,"",
MAXIFS(BodyMapData_2!$E:$E,BodyMapData_2!$A:$A,Dashboard_2!$C$3,BodyMapData_2!$B:$B,$M214))</f>
        <v/>
      </c>
    </row>
    <row r="215">
      <c r="N215" s="30" t="str">
        <f>IF(SUMIFS(BodyMapData_2!$E:$E,BodyMapData_2!$A:$A,Dashboard_2!$C$3,BodyMapData_2!$B:$B,$M215)=0,"",
SUMIFS(BodyMapData_2!$E:$E,BodyMapData_2!$A:$A,Dashboard_2!$C$3,BodyMapData_2!$B:$B,$M215))</f>
        <v/>
      </c>
      <c r="O215" s="30" t="str">
        <f>IF(MAXIFS(BodyMapData_2!$E:$E,BodyMapData_2!$A:$A,Dashboard_2!$C$3,BodyMapData_2!$B:$B,$M215)=0,"",
MAXIFS(BodyMapData_2!$E:$E,BodyMapData_2!$A:$A,Dashboard_2!$C$3,BodyMapData_2!$B:$B,$M215))</f>
        <v/>
      </c>
    </row>
    <row r="216">
      <c r="N216" s="30" t="str">
        <f>IF(SUMIFS(BodyMapData_2!$E:$E,BodyMapData_2!$A:$A,Dashboard_2!$C$3,BodyMapData_2!$B:$B,$M216)=0,"",
SUMIFS(BodyMapData_2!$E:$E,BodyMapData_2!$A:$A,Dashboard_2!$C$3,BodyMapData_2!$B:$B,$M216))</f>
        <v/>
      </c>
      <c r="O216" s="30" t="str">
        <f>IF(MAXIFS(BodyMapData_2!$E:$E,BodyMapData_2!$A:$A,Dashboard_2!$C$3,BodyMapData_2!$B:$B,$M216)=0,"",
MAXIFS(BodyMapData_2!$E:$E,BodyMapData_2!$A:$A,Dashboard_2!$C$3,BodyMapData_2!$B:$B,$M216))</f>
        <v/>
      </c>
    </row>
    <row r="217">
      <c r="N217" s="30" t="str">
        <f>IF(SUMIFS(BodyMapData_2!$E:$E,BodyMapData_2!$A:$A,Dashboard_2!$C$3,BodyMapData_2!$B:$B,$M217)=0,"",
SUMIFS(BodyMapData_2!$E:$E,BodyMapData_2!$A:$A,Dashboard_2!$C$3,BodyMapData_2!$B:$B,$M217))</f>
        <v/>
      </c>
      <c r="O217" s="30" t="str">
        <f>IF(MAXIFS(BodyMapData_2!$E:$E,BodyMapData_2!$A:$A,Dashboard_2!$C$3,BodyMapData_2!$B:$B,$M217)=0,"",
MAXIFS(BodyMapData_2!$E:$E,BodyMapData_2!$A:$A,Dashboard_2!$C$3,BodyMapData_2!$B:$B,$M217))</f>
        <v/>
      </c>
    </row>
    <row r="218">
      <c r="N218" s="30" t="str">
        <f>IF(SUMIFS(BodyMapData_2!$E:$E,BodyMapData_2!$A:$A,Dashboard_2!$C$3,BodyMapData_2!$B:$B,$M218)=0,"",
SUMIFS(BodyMapData_2!$E:$E,BodyMapData_2!$A:$A,Dashboard_2!$C$3,BodyMapData_2!$B:$B,$M218))</f>
        <v/>
      </c>
      <c r="O218" s="30" t="str">
        <f>IF(MAXIFS(BodyMapData_2!$E:$E,BodyMapData_2!$A:$A,Dashboard_2!$C$3,BodyMapData_2!$B:$B,$M218)=0,"",
MAXIFS(BodyMapData_2!$E:$E,BodyMapData_2!$A:$A,Dashboard_2!$C$3,BodyMapData_2!$B:$B,$M218))</f>
        <v/>
      </c>
    </row>
    <row r="219">
      <c r="N219" s="30" t="str">
        <f>IF(SUMIFS(BodyMapData_2!$E:$E,BodyMapData_2!$A:$A,Dashboard_2!$C$3,BodyMapData_2!$B:$B,$M219)=0,"",
SUMIFS(BodyMapData_2!$E:$E,BodyMapData_2!$A:$A,Dashboard_2!$C$3,BodyMapData_2!$B:$B,$M219))</f>
        <v/>
      </c>
      <c r="O219" s="30" t="str">
        <f>IF(MAXIFS(BodyMapData_2!$E:$E,BodyMapData_2!$A:$A,Dashboard_2!$C$3,BodyMapData_2!$B:$B,$M219)=0,"",
MAXIFS(BodyMapData_2!$E:$E,BodyMapData_2!$A:$A,Dashboard_2!$C$3,BodyMapData_2!$B:$B,$M219))</f>
        <v/>
      </c>
    </row>
    <row r="220">
      <c r="N220" s="30" t="str">
        <f>IF(SUMIFS(BodyMapData_2!$E:$E,BodyMapData_2!$A:$A,Dashboard_2!$C$3,BodyMapData_2!$B:$B,$M220)=0,"",
SUMIFS(BodyMapData_2!$E:$E,BodyMapData_2!$A:$A,Dashboard_2!$C$3,BodyMapData_2!$B:$B,$M220))</f>
        <v/>
      </c>
      <c r="O220" s="30" t="str">
        <f>IF(MAXIFS(BodyMapData_2!$E:$E,BodyMapData_2!$A:$A,Dashboard_2!$C$3,BodyMapData_2!$B:$B,$M220)=0,"",
MAXIFS(BodyMapData_2!$E:$E,BodyMapData_2!$A:$A,Dashboard_2!$C$3,BodyMapData_2!$B:$B,$M220))</f>
        <v/>
      </c>
    </row>
    <row r="221">
      <c r="N221" s="30" t="str">
        <f>IF(SUMIFS(BodyMapData_2!$E:$E,BodyMapData_2!$A:$A,Dashboard_2!$C$3,BodyMapData_2!$B:$B,$M221)=0,"",
SUMIFS(BodyMapData_2!$E:$E,BodyMapData_2!$A:$A,Dashboard_2!$C$3,BodyMapData_2!$B:$B,$M221))</f>
        <v/>
      </c>
      <c r="O221" s="30" t="str">
        <f>IF(MAXIFS(BodyMapData_2!$E:$E,BodyMapData_2!$A:$A,Dashboard_2!$C$3,BodyMapData_2!$B:$B,$M221)=0,"",
MAXIFS(BodyMapData_2!$E:$E,BodyMapData_2!$A:$A,Dashboard_2!$C$3,BodyMapData_2!$B:$B,$M221))</f>
        <v/>
      </c>
    </row>
    <row r="222">
      <c r="N222" s="30" t="str">
        <f>IF(SUMIFS(BodyMapData_2!$E:$E,BodyMapData_2!$A:$A,Dashboard_2!$C$3,BodyMapData_2!$B:$B,$M222)=0,"",
SUMIFS(BodyMapData_2!$E:$E,BodyMapData_2!$A:$A,Dashboard_2!$C$3,BodyMapData_2!$B:$B,$M222))</f>
        <v/>
      </c>
      <c r="O222" s="30" t="str">
        <f>IF(MAXIFS(BodyMapData_2!$E:$E,BodyMapData_2!$A:$A,Dashboard_2!$C$3,BodyMapData_2!$B:$B,$M222)=0,"",
MAXIFS(BodyMapData_2!$E:$E,BodyMapData_2!$A:$A,Dashboard_2!$C$3,BodyMapData_2!$B:$B,$M222))</f>
        <v/>
      </c>
    </row>
    <row r="223">
      <c r="N223" s="30" t="str">
        <f>IF(SUMIFS(BodyMapData_2!$E:$E,BodyMapData_2!$A:$A,Dashboard_2!$C$3,BodyMapData_2!$B:$B,$M223)=0,"",
SUMIFS(BodyMapData_2!$E:$E,BodyMapData_2!$A:$A,Dashboard_2!$C$3,BodyMapData_2!$B:$B,$M223))</f>
        <v/>
      </c>
      <c r="O223" s="30" t="str">
        <f>IF(MAXIFS(BodyMapData_2!$E:$E,BodyMapData_2!$A:$A,Dashboard_2!$C$3,BodyMapData_2!$B:$B,$M223)=0,"",
MAXIFS(BodyMapData_2!$E:$E,BodyMapData_2!$A:$A,Dashboard_2!$C$3,BodyMapData_2!$B:$B,$M223))</f>
        <v/>
      </c>
    </row>
    <row r="224">
      <c r="N224" s="30" t="str">
        <f>IF(SUMIFS(BodyMapData_2!$E:$E,BodyMapData_2!$A:$A,Dashboard_2!$C$3,BodyMapData_2!$B:$B,$M224)=0,"",
SUMIFS(BodyMapData_2!$E:$E,BodyMapData_2!$A:$A,Dashboard_2!$C$3,BodyMapData_2!$B:$B,$M224))</f>
        <v/>
      </c>
      <c r="O224" s="30" t="str">
        <f>IF(MAXIFS(BodyMapData_2!$E:$E,BodyMapData_2!$A:$A,Dashboard_2!$C$3,BodyMapData_2!$B:$B,$M224)=0,"",
MAXIFS(BodyMapData_2!$E:$E,BodyMapData_2!$A:$A,Dashboard_2!$C$3,BodyMapData_2!$B:$B,$M224))</f>
        <v/>
      </c>
    </row>
    <row r="225">
      <c r="N225" s="30" t="str">
        <f>IF(SUMIFS(BodyMapData_2!$E:$E,BodyMapData_2!$A:$A,Dashboard_2!$C$3,BodyMapData_2!$B:$B,$M225)=0,"",
SUMIFS(BodyMapData_2!$E:$E,BodyMapData_2!$A:$A,Dashboard_2!$C$3,BodyMapData_2!$B:$B,$M225))</f>
        <v/>
      </c>
      <c r="O225" s="30" t="str">
        <f>IF(MAXIFS(BodyMapData_2!$E:$E,BodyMapData_2!$A:$A,Dashboard_2!$C$3,BodyMapData_2!$B:$B,$M225)=0,"",
MAXIFS(BodyMapData_2!$E:$E,BodyMapData_2!$A:$A,Dashboard_2!$C$3,BodyMapData_2!$B:$B,$M225))</f>
        <v/>
      </c>
    </row>
    <row r="226">
      <c r="N226" s="30" t="str">
        <f>IF(SUMIFS(BodyMapData_2!$E:$E,BodyMapData_2!$A:$A,Dashboard_2!$C$3,BodyMapData_2!$B:$B,$M226)=0,"",
SUMIFS(BodyMapData_2!$E:$E,BodyMapData_2!$A:$A,Dashboard_2!$C$3,BodyMapData_2!$B:$B,$M226))</f>
        <v/>
      </c>
      <c r="O226" s="30" t="str">
        <f>IF(MAXIFS(BodyMapData_2!$E:$E,BodyMapData_2!$A:$A,Dashboard_2!$C$3,BodyMapData_2!$B:$B,$M226)=0,"",
MAXIFS(BodyMapData_2!$E:$E,BodyMapData_2!$A:$A,Dashboard_2!$C$3,BodyMapData_2!$B:$B,$M226))</f>
        <v/>
      </c>
    </row>
    <row r="227">
      <c r="N227" s="30" t="str">
        <f>IF(SUMIFS(BodyMapData_2!$E:$E,BodyMapData_2!$A:$A,Dashboard_2!$C$3,BodyMapData_2!$B:$B,$M227)=0,"",
SUMIFS(BodyMapData_2!$E:$E,BodyMapData_2!$A:$A,Dashboard_2!$C$3,BodyMapData_2!$B:$B,$M227))</f>
        <v/>
      </c>
      <c r="O227" s="30" t="str">
        <f>IF(MAXIFS(BodyMapData_2!$E:$E,BodyMapData_2!$A:$A,Dashboard_2!$C$3,BodyMapData_2!$B:$B,$M227)=0,"",
MAXIFS(BodyMapData_2!$E:$E,BodyMapData_2!$A:$A,Dashboard_2!$C$3,BodyMapData_2!$B:$B,$M227))</f>
        <v/>
      </c>
    </row>
    <row r="228">
      <c r="N228" s="30" t="str">
        <f>IF(SUMIFS(BodyMapData_2!$E:$E,BodyMapData_2!$A:$A,Dashboard_2!$C$3,BodyMapData_2!$B:$B,$M228)=0,"",
SUMIFS(BodyMapData_2!$E:$E,BodyMapData_2!$A:$A,Dashboard_2!$C$3,BodyMapData_2!$B:$B,$M228))</f>
        <v/>
      </c>
      <c r="O228" s="30" t="str">
        <f>IF(MAXIFS(BodyMapData_2!$E:$E,BodyMapData_2!$A:$A,Dashboard_2!$C$3,BodyMapData_2!$B:$B,$M228)=0,"",
MAXIFS(BodyMapData_2!$E:$E,BodyMapData_2!$A:$A,Dashboard_2!$C$3,BodyMapData_2!$B:$B,$M228))</f>
        <v/>
      </c>
    </row>
    <row r="229">
      <c r="N229" s="30" t="str">
        <f>IF(SUMIFS(BodyMapData_2!$E:$E,BodyMapData_2!$A:$A,Dashboard_2!$C$3,BodyMapData_2!$B:$B,$M229)=0,"",
SUMIFS(BodyMapData_2!$E:$E,BodyMapData_2!$A:$A,Dashboard_2!$C$3,BodyMapData_2!$B:$B,$M229))</f>
        <v/>
      </c>
      <c r="O229" s="30" t="str">
        <f>IF(MAXIFS(BodyMapData_2!$E:$E,BodyMapData_2!$A:$A,Dashboard_2!$C$3,BodyMapData_2!$B:$B,$M229)=0,"",
MAXIFS(BodyMapData_2!$E:$E,BodyMapData_2!$A:$A,Dashboard_2!$C$3,BodyMapData_2!$B:$B,$M229))</f>
        <v/>
      </c>
    </row>
    <row r="230">
      <c r="N230" s="30" t="str">
        <f>IF(SUMIFS(BodyMapData_2!$E:$E,BodyMapData_2!$A:$A,Dashboard_2!$C$3,BodyMapData_2!$B:$B,$M230)=0,"",
SUMIFS(BodyMapData_2!$E:$E,BodyMapData_2!$A:$A,Dashboard_2!$C$3,BodyMapData_2!$B:$B,$M230))</f>
        <v/>
      </c>
      <c r="O230" s="30" t="str">
        <f>IF(MAXIFS(BodyMapData_2!$E:$E,BodyMapData_2!$A:$A,Dashboard_2!$C$3,BodyMapData_2!$B:$B,$M230)=0,"",
MAXIFS(BodyMapData_2!$E:$E,BodyMapData_2!$A:$A,Dashboard_2!$C$3,BodyMapData_2!$B:$B,$M230))</f>
        <v/>
      </c>
    </row>
    <row r="231">
      <c r="N231" s="30" t="str">
        <f>IF(SUMIFS(BodyMapData_2!$E:$E,BodyMapData_2!$A:$A,Dashboard_2!$C$3,BodyMapData_2!$B:$B,$M231)=0,"",
SUMIFS(BodyMapData_2!$E:$E,BodyMapData_2!$A:$A,Dashboard_2!$C$3,BodyMapData_2!$B:$B,$M231))</f>
        <v/>
      </c>
      <c r="O231" s="30" t="str">
        <f>IF(MAXIFS(BodyMapData_2!$E:$E,BodyMapData_2!$A:$A,Dashboard_2!$C$3,BodyMapData_2!$B:$B,$M231)=0,"",
MAXIFS(BodyMapData_2!$E:$E,BodyMapData_2!$A:$A,Dashboard_2!$C$3,BodyMapData_2!$B:$B,$M231))</f>
        <v/>
      </c>
    </row>
    <row r="232">
      <c r="N232" s="30" t="str">
        <f>IF(SUMIFS(BodyMapData_2!$E:$E,BodyMapData_2!$A:$A,Dashboard_2!$C$3,BodyMapData_2!$B:$B,$M232)=0,"",
SUMIFS(BodyMapData_2!$E:$E,BodyMapData_2!$A:$A,Dashboard_2!$C$3,BodyMapData_2!$B:$B,$M232))</f>
        <v/>
      </c>
      <c r="O232" s="30" t="str">
        <f>IF(MAXIFS(BodyMapData_2!$E:$E,BodyMapData_2!$A:$A,Dashboard_2!$C$3,BodyMapData_2!$B:$B,$M232)=0,"",
MAXIFS(BodyMapData_2!$E:$E,BodyMapData_2!$A:$A,Dashboard_2!$C$3,BodyMapData_2!$B:$B,$M232))</f>
        <v/>
      </c>
    </row>
    <row r="233">
      <c r="N233" s="30" t="str">
        <f>IF(SUMIFS(BodyMapData_2!$E:$E,BodyMapData_2!$A:$A,Dashboard_2!$C$3,BodyMapData_2!$B:$B,$M233)=0,"",
SUMIFS(BodyMapData_2!$E:$E,BodyMapData_2!$A:$A,Dashboard_2!$C$3,BodyMapData_2!$B:$B,$M233))</f>
        <v/>
      </c>
      <c r="O233" s="30" t="str">
        <f>IF(MAXIFS(BodyMapData_2!$E:$E,BodyMapData_2!$A:$A,Dashboard_2!$C$3,BodyMapData_2!$B:$B,$M233)=0,"",
MAXIFS(BodyMapData_2!$E:$E,BodyMapData_2!$A:$A,Dashboard_2!$C$3,BodyMapData_2!$B:$B,$M233))</f>
        <v/>
      </c>
    </row>
    <row r="234">
      <c r="N234" s="30" t="str">
        <f>IF(SUMIFS(BodyMapData_2!$E:$E,BodyMapData_2!$A:$A,Dashboard_2!$C$3,BodyMapData_2!$B:$B,$M234)=0,"",
SUMIFS(BodyMapData_2!$E:$E,BodyMapData_2!$A:$A,Dashboard_2!$C$3,BodyMapData_2!$B:$B,$M234))</f>
        <v/>
      </c>
      <c r="O234" s="30" t="str">
        <f>IF(MAXIFS(BodyMapData_2!$E:$E,BodyMapData_2!$A:$A,Dashboard_2!$C$3,BodyMapData_2!$B:$B,$M234)=0,"",
MAXIFS(BodyMapData_2!$E:$E,BodyMapData_2!$A:$A,Dashboard_2!$C$3,BodyMapData_2!$B:$B,$M234))</f>
        <v/>
      </c>
    </row>
    <row r="235">
      <c r="N235" s="30" t="str">
        <f>IF(SUMIFS(BodyMapData_2!$E:$E,BodyMapData_2!$A:$A,Dashboard_2!$C$3,BodyMapData_2!$B:$B,$M235)=0,"",
SUMIFS(BodyMapData_2!$E:$E,BodyMapData_2!$A:$A,Dashboard_2!$C$3,BodyMapData_2!$B:$B,$M235))</f>
        <v/>
      </c>
      <c r="O235" s="30" t="str">
        <f>IF(MAXIFS(BodyMapData_2!$E:$E,BodyMapData_2!$A:$A,Dashboard_2!$C$3,BodyMapData_2!$B:$B,$M235)=0,"",
MAXIFS(BodyMapData_2!$E:$E,BodyMapData_2!$A:$A,Dashboard_2!$C$3,BodyMapData_2!$B:$B,$M235))</f>
        <v/>
      </c>
    </row>
    <row r="236">
      <c r="N236" s="30" t="str">
        <f>IF(SUMIFS(BodyMapData_2!$E:$E,BodyMapData_2!$A:$A,Dashboard_2!$C$3,BodyMapData_2!$B:$B,$M236)=0,"",
SUMIFS(BodyMapData_2!$E:$E,BodyMapData_2!$A:$A,Dashboard_2!$C$3,BodyMapData_2!$B:$B,$M236))</f>
        <v/>
      </c>
      <c r="O236" s="30" t="str">
        <f>IF(MAXIFS(BodyMapData_2!$E:$E,BodyMapData_2!$A:$A,Dashboard_2!$C$3,BodyMapData_2!$B:$B,$M236)=0,"",
MAXIFS(BodyMapData_2!$E:$E,BodyMapData_2!$A:$A,Dashboard_2!$C$3,BodyMapData_2!$B:$B,$M236))</f>
        <v/>
      </c>
    </row>
    <row r="237">
      <c r="N237" s="30" t="str">
        <f>IF(SUMIFS(BodyMapData_2!$E:$E,BodyMapData_2!$A:$A,Dashboard_2!$C$3,BodyMapData_2!$B:$B,$M237)=0,"",
SUMIFS(BodyMapData_2!$E:$E,BodyMapData_2!$A:$A,Dashboard_2!$C$3,BodyMapData_2!$B:$B,$M237))</f>
        <v/>
      </c>
      <c r="O237" s="30" t="str">
        <f>IF(MAXIFS(BodyMapData_2!$E:$E,BodyMapData_2!$A:$A,Dashboard_2!$C$3,BodyMapData_2!$B:$B,$M237)=0,"",
MAXIFS(BodyMapData_2!$E:$E,BodyMapData_2!$A:$A,Dashboard_2!$C$3,BodyMapData_2!$B:$B,$M237))</f>
        <v/>
      </c>
    </row>
    <row r="238">
      <c r="N238" s="30" t="str">
        <f>IF(SUMIFS(BodyMapData_2!$E:$E,BodyMapData_2!$A:$A,Dashboard_2!$C$3,BodyMapData_2!$B:$B,$M238)=0,"",
SUMIFS(BodyMapData_2!$E:$E,BodyMapData_2!$A:$A,Dashboard_2!$C$3,BodyMapData_2!$B:$B,$M238))</f>
        <v/>
      </c>
      <c r="O238" s="30" t="str">
        <f>IF(MAXIFS(BodyMapData_2!$E:$E,BodyMapData_2!$A:$A,Dashboard_2!$C$3,BodyMapData_2!$B:$B,$M238)=0,"",
MAXIFS(BodyMapData_2!$E:$E,BodyMapData_2!$A:$A,Dashboard_2!$C$3,BodyMapData_2!$B:$B,$M238))</f>
        <v/>
      </c>
    </row>
    <row r="239">
      <c r="N239" s="30" t="str">
        <f>IF(SUMIFS(BodyMapData_2!$E:$E,BodyMapData_2!$A:$A,Dashboard_2!$C$3,BodyMapData_2!$B:$B,$M239)=0,"",
SUMIFS(BodyMapData_2!$E:$E,BodyMapData_2!$A:$A,Dashboard_2!$C$3,BodyMapData_2!$B:$B,$M239))</f>
        <v/>
      </c>
      <c r="O239" s="30" t="str">
        <f>IF(MAXIFS(BodyMapData_2!$E:$E,BodyMapData_2!$A:$A,Dashboard_2!$C$3,BodyMapData_2!$B:$B,$M239)=0,"",
MAXIFS(BodyMapData_2!$E:$E,BodyMapData_2!$A:$A,Dashboard_2!$C$3,BodyMapData_2!$B:$B,$M239))</f>
        <v/>
      </c>
    </row>
    <row r="240">
      <c r="N240" s="30" t="str">
        <f>IF(SUMIFS(BodyMapData_2!$E:$E,BodyMapData_2!$A:$A,Dashboard_2!$C$3,BodyMapData_2!$B:$B,$M240)=0,"",
SUMIFS(BodyMapData_2!$E:$E,BodyMapData_2!$A:$A,Dashboard_2!$C$3,BodyMapData_2!$B:$B,$M240))</f>
        <v/>
      </c>
      <c r="O240" s="30" t="str">
        <f>IF(MAXIFS(BodyMapData_2!$E:$E,BodyMapData_2!$A:$A,Dashboard_2!$C$3,BodyMapData_2!$B:$B,$M240)=0,"",
MAXIFS(BodyMapData_2!$E:$E,BodyMapData_2!$A:$A,Dashboard_2!$C$3,BodyMapData_2!$B:$B,$M240))</f>
        <v/>
      </c>
    </row>
    <row r="241">
      <c r="N241" s="30" t="str">
        <f>IF(SUMIFS(BodyMapData_2!$E:$E,BodyMapData_2!$A:$A,Dashboard_2!$C$3,BodyMapData_2!$B:$B,$M241)=0,"",
SUMIFS(BodyMapData_2!$E:$E,BodyMapData_2!$A:$A,Dashboard_2!$C$3,BodyMapData_2!$B:$B,$M241))</f>
        <v/>
      </c>
      <c r="O241" s="30" t="str">
        <f>IF(MAXIFS(BodyMapData_2!$E:$E,BodyMapData_2!$A:$A,Dashboard_2!$C$3,BodyMapData_2!$B:$B,$M241)=0,"",
MAXIFS(BodyMapData_2!$E:$E,BodyMapData_2!$A:$A,Dashboard_2!$C$3,BodyMapData_2!$B:$B,$M241))</f>
        <v/>
      </c>
    </row>
    <row r="242">
      <c r="N242" s="30" t="str">
        <f>IF(SUMIFS(BodyMapData_2!$E:$E,BodyMapData_2!$A:$A,Dashboard_2!$C$3,BodyMapData_2!$B:$B,$M242)=0,"",
SUMIFS(BodyMapData_2!$E:$E,BodyMapData_2!$A:$A,Dashboard_2!$C$3,BodyMapData_2!$B:$B,$M242))</f>
        <v/>
      </c>
      <c r="O242" s="30" t="str">
        <f>IF(MAXIFS(BodyMapData_2!$E:$E,BodyMapData_2!$A:$A,Dashboard_2!$C$3,BodyMapData_2!$B:$B,$M242)=0,"",
MAXIFS(BodyMapData_2!$E:$E,BodyMapData_2!$A:$A,Dashboard_2!$C$3,BodyMapData_2!$B:$B,$M242))</f>
        <v/>
      </c>
    </row>
    <row r="243">
      <c r="N243" s="30" t="str">
        <f>IF(SUMIFS(BodyMapData_2!$E:$E,BodyMapData_2!$A:$A,Dashboard_2!$C$3,BodyMapData_2!$B:$B,$M243)=0,"",
SUMIFS(BodyMapData_2!$E:$E,BodyMapData_2!$A:$A,Dashboard_2!$C$3,BodyMapData_2!$B:$B,$M243))</f>
        <v/>
      </c>
      <c r="O243" s="30" t="str">
        <f>IF(MAXIFS(BodyMapData_2!$E:$E,BodyMapData_2!$A:$A,Dashboard_2!$C$3,BodyMapData_2!$B:$B,$M243)=0,"",
MAXIFS(BodyMapData_2!$E:$E,BodyMapData_2!$A:$A,Dashboard_2!$C$3,BodyMapData_2!$B:$B,$M243))</f>
        <v/>
      </c>
    </row>
    <row r="244">
      <c r="N244" s="30" t="str">
        <f>IF(SUMIFS(BodyMapData_2!$E:$E,BodyMapData_2!$A:$A,Dashboard_2!$C$3,BodyMapData_2!$B:$B,$M244)=0,"",
SUMIFS(BodyMapData_2!$E:$E,BodyMapData_2!$A:$A,Dashboard_2!$C$3,BodyMapData_2!$B:$B,$M244))</f>
        <v/>
      </c>
      <c r="O244" s="30" t="str">
        <f>IF(MAXIFS(BodyMapData_2!$E:$E,BodyMapData_2!$A:$A,Dashboard_2!$C$3,BodyMapData_2!$B:$B,$M244)=0,"",
MAXIFS(BodyMapData_2!$E:$E,BodyMapData_2!$A:$A,Dashboard_2!$C$3,BodyMapData_2!$B:$B,$M244))</f>
        <v/>
      </c>
    </row>
    <row r="245">
      <c r="N245" s="30" t="str">
        <f>IF(SUMIFS(BodyMapData_2!$E:$E,BodyMapData_2!$A:$A,Dashboard_2!$C$3,BodyMapData_2!$B:$B,$M245)=0,"",
SUMIFS(BodyMapData_2!$E:$E,BodyMapData_2!$A:$A,Dashboard_2!$C$3,BodyMapData_2!$B:$B,$M245))</f>
        <v/>
      </c>
      <c r="O245" s="30" t="str">
        <f>IF(MAXIFS(BodyMapData_2!$E:$E,BodyMapData_2!$A:$A,Dashboard_2!$C$3,BodyMapData_2!$B:$B,$M245)=0,"",
MAXIFS(BodyMapData_2!$E:$E,BodyMapData_2!$A:$A,Dashboard_2!$C$3,BodyMapData_2!$B:$B,$M245))</f>
        <v/>
      </c>
    </row>
    <row r="246">
      <c r="N246" s="30" t="str">
        <f>IF(SUMIFS(BodyMapData_2!$E:$E,BodyMapData_2!$A:$A,Dashboard_2!$C$3,BodyMapData_2!$B:$B,$M246)=0,"",
SUMIFS(BodyMapData_2!$E:$E,BodyMapData_2!$A:$A,Dashboard_2!$C$3,BodyMapData_2!$B:$B,$M246))</f>
        <v/>
      </c>
      <c r="O246" s="30" t="str">
        <f>IF(MAXIFS(BodyMapData_2!$E:$E,BodyMapData_2!$A:$A,Dashboard_2!$C$3,BodyMapData_2!$B:$B,$M246)=0,"",
MAXIFS(BodyMapData_2!$E:$E,BodyMapData_2!$A:$A,Dashboard_2!$C$3,BodyMapData_2!$B:$B,$M246))</f>
        <v/>
      </c>
    </row>
    <row r="247">
      <c r="N247" s="30" t="str">
        <f>IF(SUMIFS(BodyMapData_2!$E:$E,BodyMapData_2!$A:$A,Dashboard_2!$C$3,BodyMapData_2!$B:$B,$M247)=0,"",
SUMIFS(BodyMapData_2!$E:$E,BodyMapData_2!$A:$A,Dashboard_2!$C$3,BodyMapData_2!$B:$B,$M247))</f>
        <v/>
      </c>
      <c r="O247" s="30" t="str">
        <f>IF(MAXIFS(BodyMapData_2!$E:$E,BodyMapData_2!$A:$A,Dashboard_2!$C$3,BodyMapData_2!$B:$B,$M247)=0,"",
MAXIFS(BodyMapData_2!$E:$E,BodyMapData_2!$A:$A,Dashboard_2!$C$3,BodyMapData_2!$B:$B,$M247))</f>
        <v/>
      </c>
    </row>
    <row r="248">
      <c r="N248" s="30" t="str">
        <f>IF(SUMIFS(BodyMapData_2!$E:$E,BodyMapData_2!$A:$A,Dashboard_2!$C$3,BodyMapData_2!$B:$B,$M248)=0,"",
SUMIFS(BodyMapData_2!$E:$E,BodyMapData_2!$A:$A,Dashboard_2!$C$3,BodyMapData_2!$B:$B,$M248))</f>
        <v/>
      </c>
      <c r="O248" s="30" t="str">
        <f>IF(MAXIFS(BodyMapData_2!$E:$E,BodyMapData_2!$A:$A,Dashboard_2!$C$3,BodyMapData_2!$B:$B,$M248)=0,"",
MAXIFS(BodyMapData_2!$E:$E,BodyMapData_2!$A:$A,Dashboard_2!$C$3,BodyMapData_2!$B:$B,$M248))</f>
        <v/>
      </c>
    </row>
    <row r="249">
      <c r="N249" s="30" t="str">
        <f>IF(SUMIFS(BodyMapData_2!$E:$E,BodyMapData_2!$A:$A,Dashboard_2!$C$3,BodyMapData_2!$B:$B,$M249)=0,"",
SUMIFS(BodyMapData_2!$E:$E,BodyMapData_2!$A:$A,Dashboard_2!$C$3,BodyMapData_2!$B:$B,$M249))</f>
        <v/>
      </c>
      <c r="O249" s="30" t="str">
        <f>IF(MAXIFS(BodyMapData_2!$E:$E,BodyMapData_2!$A:$A,Dashboard_2!$C$3,BodyMapData_2!$B:$B,$M249)=0,"",
MAXIFS(BodyMapData_2!$E:$E,BodyMapData_2!$A:$A,Dashboard_2!$C$3,BodyMapData_2!$B:$B,$M249))</f>
        <v/>
      </c>
    </row>
    <row r="250">
      <c r="N250" s="30" t="str">
        <f>IF(SUMIFS(BodyMapData_2!$E:$E,BodyMapData_2!$A:$A,Dashboard_2!$C$3,BodyMapData_2!$B:$B,$M250)=0,"",
SUMIFS(BodyMapData_2!$E:$E,BodyMapData_2!$A:$A,Dashboard_2!$C$3,BodyMapData_2!$B:$B,$M250))</f>
        <v/>
      </c>
      <c r="O250" s="30" t="str">
        <f>IF(MAXIFS(BodyMapData_2!$E:$E,BodyMapData_2!$A:$A,Dashboard_2!$C$3,BodyMapData_2!$B:$B,$M250)=0,"",
MAXIFS(BodyMapData_2!$E:$E,BodyMapData_2!$A:$A,Dashboard_2!$C$3,BodyMapData_2!$B:$B,$M250))</f>
        <v/>
      </c>
    </row>
    <row r="251">
      <c r="N251" s="30" t="str">
        <f>IF(SUMIFS(BodyMapData_2!$E:$E,BodyMapData_2!$A:$A,Dashboard_2!$C$3,BodyMapData_2!$B:$B,$M251)=0,"",
SUMIFS(BodyMapData_2!$E:$E,BodyMapData_2!$A:$A,Dashboard_2!$C$3,BodyMapData_2!$B:$B,$M251))</f>
        <v/>
      </c>
      <c r="O251" s="30" t="str">
        <f>IF(MAXIFS(BodyMapData_2!$E:$E,BodyMapData_2!$A:$A,Dashboard_2!$C$3,BodyMapData_2!$B:$B,$M251)=0,"",
MAXIFS(BodyMapData_2!$E:$E,BodyMapData_2!$A:$A,Dashboard_2!$C$3,BodyMapData_2!$B:$B,$M251))</f>
        <v/>
      </c>
    </row>
    <row r="252">
      <c r="N252" s="30" t="str">
        <f>IF(SUMIFS(BodyMapData_2!$E:$E,BodyMapData_2!$A:$A,Dashboard_2!$C$3,BodyMapData_2!$B:$B,$M252)=0,"",
SUMIFS(BodyMapData_2!$E:$E,BodyMapData_2!$A:$A,Dashboard_2!$C$3,BodyMapData_2!$B:$B,$M252))</f>
        <v/>
      </c>
      <c r="O252" s="30" t="str">
        <f>IF(MAXIFS(BodyMapData_2!$E:$E,BodyMapData_2!$A:$A,Dashboard_2!$C$3,BodyMapData_2!$B:$B,$M252)=0,"",
MAXIFS(BodyMapData_2!$E:$E,BodyMapData_2!$A:$A,Dashboard_2!$C$3,BodyMapData_2!$B:$B,$M252))</f>
        <v/>
      </c>
    </row>
    <row r="253">
      <c r="N253" s="30" t="str">
        <f>IF(SUMIFS(BodyMapData_2!$E:$E,BodyMapData_2!$A:$A,Dashboard_2!$C$3,BodyMapData_2!$B:$B,$M253)=0,"",
SUMIFS(BodyMapData_2!$E:$E,BodyMapData_2!$A:$A,Dashboard_2!$C$3,BodyMapData_2!$B:$B,$M253))</f>
        <v/>
      </c>
      <c r="O253" s="30" t="str">
        <f>IF(MAXIFS(BodyMapData_2!$E:$E,BodyMapData_2!$A:$A,Dashboard_2!$C$3,BodyMapData_2!$B:$B,$M253)=0,"",
MAXIFS(BodyMapData_2!$E:$E,BodyMapData_2!$A:$A,Dashboard_2!$C$3,BodyMapData_2!$B:$B,$M253))</f>
        <v/>
      </c>
    </row>
    <row r="254">
      <c r="N254" s="30" t="str">
        <f>IF(SUMIFS(BodyMapData_2!$E:$E,BodyMapData_2!$A:$A,Dashboard_2!$C$3,BodyMapData_2!$B:$B,$M254)=0,"",
SUMIFS(BodyMapData_2!$E:$E,BodyMapData_2!$A:$A,Dashboard_2!$C$3,BodyMapData_2!$B:$B,$M254))</f>
        <v/>
      </c>
      <c r="O254" s="30" t="str">
        <f>IF(MAXIFS(BodyMapData_2!$E:$E,BodyMapData_2!$A:$A,Dashboard_2!$C$3,BodyMapData_2!$B:$B,$M254)=0,"",
MAXIFS(BodyMapData_2!$E:$E,BodyMapData_2!$A:$A,Dashboard_2!$C$3,BodyMapData_2!$B:$B,$M254))</f>
        <v/>
      </c>
    </row>
    <row r="255">
      <c r="N255" s="30" t="str">
        <f>IF(SUMIFS(BodyMapData_2!$E:$E,BodyMapData_2!$A:$A,Dashboard_2!$C$3,BodyMapData_2!$B:$B,$M255)=0,"",
SUMIFS(BodyMapData_2!$E:$E,BodyMapData_2!$A:$A,Dashboard_2!$C$3,BodyMapData_2!$B:$B,$M255))</f>
        <v/>
      </c>
      <c r="O255" s="30" t="str">
        <f>IF(MAXIFS(BodyMapData_2!$E:$E,BodyMapData_2!$A:$A,Dashboard_2!$C$3,BodyMapData_2!$B:$B,$M255)=0,"",
MAXIFS(BodyMapData_2!$E:$E,BodyMapData_2!$A:$A,Dashboard_2!$C$3,BodyMapData_2!$B:$B,$M255))</f>
        <v/>
      </c>
    </row>
    <row r="256">
      <c r="N256" s="30" t="str">
        <f>IF(SUMIFS(BodyMapData_2!$E:$E,BodyMapData_2!$A:$A,Dashboard_2!$C$3,BodyMapData_2!$B:$B,$M256)=0,"",
SUMIFS(BodyMapData_2!$E:$E,BodyMapData_2!$A:$A,Dashboard_2!$C$3,BodyMapData_2!$B:$B,$M256))</f>
        <v/>
      </c>
      <c r="O256" s="30" t="str">
        <f>IF(MAXIFS(BodyMapData_2!$E:$E,BodyMapData_2!$A:$A,Dashboard_2!$C$3,BodyMapData_2!$B:$B,$M256)=0,"",
MAXIFS(BodyMapData_2!$E:$E,BodyMapData_2!$A:$A,Dashboard_2!$C$3,BodyMapData_2!$B:$B,$M256))</f>
        <v/>
      </c>
    </row>
    <row r="257">
      <c r="N257" s="30" t="str">
        <f>IF(SUMIFS(BodyMapData_2!$E:$E,BodyMapData_2!$A:$A,Dashboard_2!$C$3,BodyMapData_2!$B:$B,$M257)=0,"",
SUMIFS(BodyMapData_2!$E:$E,BodyMapData_2!$A:$A,Dashboard_2!$C$3,BodyMapData_2!$B:$B,$M257))</f>
        <v/>
      </c>
      <c r="O257" s="30" t="str">
        <f>IF(MAXIFS(BodyMapData_2!$E:$E,BodyMapData_2!$A:$A,Dashboard_2!$C$3,BodyMapData_2!$B:$B,$M257)=0,"",
MAXIFS(BodyMapData_2!$E:$E,BodyMapData_2!$A:$A,Dashboard_2!$C$3,BodyMapData_2!$B:$B,$M257))</f>
        <v/>
      </c>
    </row>
    <row r="258">
      <c r="N258" s="30" t="str">
        <f>IF(SUMIFS(BodyMapData_2!$E:$E,BodyMapData_2!$A:$A,Dashboard_2!$C$3,BodyMapData_2!$B:$B,$M258)=0,"",
SUMIFS(BodyMapData_2!$E:$E,BodyMapData_2!$A:$A,Dashboard_2!$C$3,BodyMapData_2!$B:$B,$M258))</f>
        <v/>
      </c>
      <c r="O258" s="30" t="str">
        <f>IF(MAXIFS(BodyMapData_2!$E:$E,BodyMapData_2!$A:$A,Dashboard_2!$C$3,BodyMapData_2!$B:$B,$M258)=0,"",
MAXIFS(BodyMapData_2!$E:$E,BodyMapData_2!$A:$A,Dashboard_2!$C$3,BodyMapData_2!$B:$B,$M258))</f>
        <v/>
      </c>
    </row>
    <row r="259">
      <c r="N259" s="30" t="str">
        <f>IF(SUMIFS(BodyMapData_2!$E:$E,BodyMapData_2!$A:$A,Dashboard_2!$C$3,BodyMapData_2!$B:$B,$M259)=0,"",
SUMIFS(BodyMapData_2!$E:$E,BodyMapData_2!$A:$A,Dashboard_2!$C$3,BodyMapData_2!$B:$B,$M259))</f>
        <v/>
      </c>
      <c r="O259" s="30" t="str">
        <f>IF(MAXIFS(BodyMapData_2!$E:$E,BodyMapData_2!$A:$A,Dashboard_2!$C$3,BodyMapData_2!$B:$B,$M259)=0,"",
MAXIFS(BodyMapData_2!$E:$E,BodyMapData_2!$A:$A,Dashboard_2!$C$3,BodyMapData_2!$B:$B,$M259))</f>
        <v/>
      </c>
    </row>
    <row r="260">
      <c r="N260" s="30" t="str">
        <f>IF(SUMIFS(BodyMapData_2!$E:$E,BodyMapData_2!$A:$A,Dashboard_2!$C$3,BodyMapData_2!$B:$B,$M260)=0,"",
SUMIFS(BodyMapData_2!$E:$E,BodyMapData_2!$A:$A,Dashboard_2!$C$3,BodyMapData_2!$B:$B,$M260))</f>
        <v/>
      </c>
      <c r="O260" s="30" t="str">
        <f>IF(MAXIFS(BodyMapData_2!$E:$E,BodyMapData_2!$A:$A,Dashboard_2!$C$3,BodyMapData_2!$B:$B,$M260)=0,"",
MAXIFS(BodyMapData_2!$E:$E,BodyMapData_2!$A:$A,Dashboard_2!$C$3,BodyMapData_2!$B:$B,$M260))</f>
        <v/>
      </c>
    </row>
    <row r="261">
      <c r="N261" s="30" t="str">
        <f>IF(SUMIFS(BodyMapData_2!$E:$E,BodyMapData_2!$A:$A,Dashboard_2!$C$3,BodyMapData_2!$B:$B,$M261)=0,"",
SUMIFS(BodyMapData_2!$E:$E,BodyMapData_2!$A:$A,Dashboard_2!$C$3,BodyMapData_2!$B:$B,$M261))</f>
        <v/>
      </c>
      <c r="O261" s="30" t="str">
        <f>IF(MAXIFS(BodyMapData_2!$E:$E,BodyMapData_2!$A:$A,Dashboard_2!$C$3,BodyMapData_2!$B:$B,$M261)=0,"",
MAXIFS(BodyMapData_2!$E:$E,BodyMapData_2!$A:$A,Dashboard_2!$C$3,BodyMapData_2!$B:$B,$M261))</f>
        <v/>
      </c>
    </row>
    <row r="262">
      <c r="N262" s="30" t="str">
        <f>IF(SUMIFS(BodyMapData_2!$E:$E,BodyMapData_2!$A:$A,Dashboard_2!$C$3,BodyMapData_2!$B:$B,$M262)=0,"",
SUMIFS(BodyMapData_2!$E:$E,BodyMapData_2!$A:$A,Dashboard_2!$C$3,BodyMapData_2!$B:$B,$M262))</f>
        <v/>
      </c>
      <c r="O262" s="30" t="str">
        <f>IF(MAXIFS(BodyMapData_2!$E:$E,BodyMapData_2!$A:$A,Dashboard_2!$C$3,BodyMapData_2!$B:$B,$M262)=0,"",
MAXIFS(BodyMapData_2!$E:$E,BodyMapData_2!$A:$A,Dashboard_2!$C$3,BodyMapData_2!$B:$B,$M262))</f>
        <v/>
      </c>
    </row>
    <row r="263">
      <c r="N263" s="30" t="str">
        <f>IF(SUMIFS(BodyMapData_2!$E:$E,BodyMapData_2!$A:$A,Dashboard_2!$C$3,BodyMapData_2!$B:$B,$M263)=0,"",
SUMIFS(BodyMapData_2!$E:$E,BodyMapData_2!$A:$A,Dashboard_2!$C$3,BodyMapData_2!$B:$B,$M263))</f>
        <v/>
      </c>
      <c r="O263" s="30" t="str">
        <f>IF(MAXIFS(BodyMapData_2!$E:$E,BodyMapData_2!$A:$A,Dashboard_2!$C$3,BodyMapData_2!$B:$B,$M263)=0,"",
MAXIFS(BodyMapData_2!$E:$E,BodyMapData_2!$A:$A,Dashboard_2!$C$3,BodyMapData_2!$B:$B,$M263))</f>
        <v/>
      </c>
    </row>
    <row r="264">
      <c r="N264" s="30" t="str">
        <f>IF(SUMIFS(BodyMapData_2!$E:$E,BodyMapData_2!$A:$A,Dashboard_2!$C$3,BodyMapData_2!$B:$B,$M264)=0,"",
SUMIFS(BodyMapData_2!$E:$E,BodyMapData_2!$A:$A,Dashboard_2!$C$3,BodyMapData_2!$B:$B,$M264))</f>
        <v/>
      </c>
      <c r="O264" s="30" t="str">
        <f>IF(MAXIFS(BodyMapData_2!$E:$E,BodyMapData_2!$A:$A,Dashboard_2!$C$3,BodyMapData_2!$B:$B,$M264)=0,"",
MAXIFS(BodyMapData_2!$E:$E,BodyMapData_2!$A:$A,Dashboard_2!$C$3,BodyMapData_2!$B:$B,$M264))</f>
        <v/>
      </c>
    </row>
    <row r="265">
      <c r="N265" s="30" t="str">
        <f>IF(SUMIFS(BodyMapData_2!$E:$E,BodyMapData_2!$A:$A,Dashboard_2!$C$3,BodyMapData_2!$B:$B,$M265)=0,"",
SUMIFS(BodyMapData_2!$E:$E,BodyMapData_2!$A:$A,Dashboard_2!$C$3,BodyMapData_2!$B:$B,$M265))</f>
        <v/>
      </c>
      <c r="O265" s="30" t="str">
        <f>IF(MAXIFS(BodyMapData_2!$E:$E,BodyMapData_2!$A:$A,Dashboard_2!$C$3,BodyMapData_2!$B:$B,$M265)=0,"",
MAXIFS(BodyMapData_2!$E:$E,BodyMapData_2!$A:$A,Dashboard_2!$C$3,BodyMapData_2!$B:$B,$M265))</f>
        <v/>
      </c>
    </row>
    <row r="266">
      <c r="N266" s="30" t="str">
        <f>IF(SUMIFS(BodyMapData_2!$E:$E,BodyMapData_2!$A:$A,Dashboard_2!$C$3,BodyMapData_2!$B:$B,$M266)=0,"",
SUMIFS(BodyMapData_2!$E:$E,BodyMapData_2!$A:$A,Dashboard_2!$C$3,BodyMapData_2!$B:$B,$M266))</f>
        <v/>
      </c>
      <c r="O266" s="30" t="str">
        <f>IF(MAXIFS(BodyMapData_2!$E:$E,BodyMapData_2!$A:$A,Dashboard_2!$C$3,BodyMapData_2!$B:$B,$M266)=0,"",
MAXIFS(BodyMapData_2!$E:$E,BodyMapData_2!$A:$A,Dashboard_2!$C$3,BodyMapData_2!$B:$B,$M266))</f>
        <v/>
      </c>
    </row>
    <row r="267">
      <c r="N267" s="30" t="str">
        <f>IF(SUMIFS(BodyMapData_2!$E:$E,BodyMapData_2!$A:$A,Dashboard_2!$C$3,BodyMapData_2!$B:$B,$M267)=0,"",
SUMIFS(BodyMapData_2!$E:$E,BodyMapData_2!$A:$A,Dashboard_2!$C$3,BodyMapData_2!$B:$B,$M267))</f>
        <v/>
      </c>
      <c r="O267" s="30" t="str">
        <f>IF(MAXIFS(BodyMapData_2!$E:$E,BodyMapData_2!$A:$A,Dashboard_2!$C$3,BodyMapData_2!$B:$B,$M267)=0,"",
MAXIFS(BodyMapData_2!$E:$E,BodyMapData_2!$A:$A,Dashboard_2!$C$3,BodyMapData_2!$B:$B,$M267))</f>
        <v/>
      </c>
    </row>
    <row r="268">
      <c r="N268" s="30" t="str">
        <f>IF(SUMIFS(BodyMapData_2!$E:$E,BodyMapData_2!$A:$A,Dashboard_2!$C$3,BodyMapData_2!$B:$B,$M268)=0,"",
SUMIFS(BodyMapData_2!$E:$E,BodyMapData_2!$A:$A,Dashboard_2!$C$3,BodyMapData_2!$B:$B,$M268))</f>
        <v/>
      </c>
      <c r="O268" s="30" t="str">
        <f>IF(MAXIFS(BodyMapData_2!$E:$E,BodyMapData_2!$A:$A,Dashboard_2!$C$3,BodyMapData_2!$B:$B,$M268)=0,"",
MAXIFS(BodyMapData_2!$E:$E,BodyMapData_2!$A:$A,Dashboard_2!$C$3,BodyMapData_2!$B:$B,$M268))</f>
        <v/>
      </c>
    </row>
    <row r="269">
      <c r="N269" s="30" t="str">
        <f>IF(SUMIFS(BodyMapData_2!$E:$E,BodyMapData_2!$A:$A,Dashboard_2!$C$3,BodyMapData_2!$B:$B,$M269)=0,"",
SUMIFS(BodyMapData_2!$E:$E,BodyMapData_2!$A:$A,Dashboard_2!$C$3,BodyMapData_2!$B:$B,$M269))</f>
        <v/>
      </c>
      <c r="O269" s="30" t="str">
        <f>IF(MAXIFS(BodyMapData_2!$E:$E,BodyMapData_2!$A:$A,Dashboard_2!$C$3,BodyMapData_2!$B:$B,$M269)=0,"",
MAXIFS(BodyMapData_2!$E:$E,BodyMapData_2!$A:$A,Dashboard_2!$C$3,BodyMapData_2!$B:$B,$M269))</f>
        <v/>
      </c>
    </row>
    <row r="270">
      <c r="N270" s="30" t="str">
        <f>IF(SUMIFS(BodyMapData_2!$E:$E,BodyMapData_2!$A:$A,Dashboard_2!$C$3,BodyMapData_2!$B:$B,$M270)=0,"",
SUMIFS(BodyMapData_2!$E:$E,BodyMapData_2!$A:$A,Dashboard_2!$C$3,BodyMapData_2!$B:$B,$M270))</f>
        <v/>
      </c>
      <c r="O270" s="30" t="str">
        <f>IF(MAXIFS(BodyMapData_2!$E:$E,BodyMapData_2!$A:$A,Dashboard_2!$C$3,BodyMapData_2!$B:$B,$M270)=0,"",
MAXIFS(BodyMapData_2!$E:$E,BodyMapData_2!$A:$A,Dashboard_2!$C$3,BodyMapData_2!$B:$B,$M270))</f>
        <v/>
      </c>
    </row>
    <row r="271">
      <c r="N271" s="30" t="str">
        <f>IF(SUMIFS(BodyMapData_2!$E:$E,BodyMapData_2!$A:$A,Dashboard_2!$C$3,BodyMapData_2!$B:$B,$M271)=0,"",
SUMIFS(BodyMapData_2!$E:$E,BodyMapData_2!$A:$A,Dashboard_2!$C$3,BodyMapData_2!$B:$B,$M271))</f>
        <v/>
      </c>
      <c r="O271" s="30" t="str">
        <f>IF(MAXIFS(BodyMapData_2!$E:$E,BodyMapData_2!$A:$A,Dashboard_2!$C$3,BodyMapData_2!$B:$B,$M271)=0,"",
MAXIFS(BodyMapData_2!$E:$E,BodyMapData_2!$A:$A,Dashboard_2!$C$3,BodyMapData_2!$B:$B,$M271))</f>
        <v/>
      </c>
    </row>
    <row r="272">
      <c r="N272" s="30" t="str">
        <f>IF(SUMIFS(BodyMapData_2!$E:$E,BodyMapData_2!$A:$A,Dashboard_2!$C$3,BodyMapData_2!$B:$B,$M272)=0,"",
SUMIFS(BodyMapData_2!$E:$E,BodyMapData_2!$A:$A,Dashboard_2!$C$3,BodyMapData_2!$B:$B,$M272))</f>
        <v/>
      </c>
      <c r="O272" s="30" t="str">
        <f>IF(MAXIFS(BodyMapData_2!$E:$E,BodyMapData_2!$A:$A,Dashboard_2!$C$3,BodyMapData_2!$B:$B,$M272)=0,"",
MAXIFS(BodyMapData_2!$E:$E,BodyMapData_2!$A:$A,Dashboard_2!$C$3,BodyMapData_2!$B:$B,$M272))</f>
        <v/>
      </c>
    </row>
    <row r="273">
      <c r="N273" s="30" t="str">
        <f>IF(SUMIFS(BodyMapData_2!$E:$E,BodyMapData_2!$A:$A,Dashboard_2!$C$3,BodyMapData_2!$B:$B,$M273)=0,"",
SUMIFS(BodyMapData_2!$E:$E,BodyMapData_2!$A:$A,Dashboard_2!$C$3,BodyMapData_2!$B:$B,$M273))</f>
        <v/>
      </c>
      <c r="O273" s="30" t="str">
        <f>IF(MAXIFS(BodyMapData_2!$E:$E,BodyMapData_2!$A:$A,Dashboard_2!$C$3,BodyMapData_2!$B:$B,$M273)=0,"",
MAXIFS(BodyMapData_2!$E:$E,BodyMapData_2!$A:$A,Dashboard_2!$C$3,BodyMapData_2!$B:$B,$M273))</f>
        <v/>
      </c>
    </row>
    <row r="274">
      <c r="N274" s="30" t="str">
        <f>IF(SUMIFS(BodyMapData_2!$E:$E,BodyMapData_2!$A:$A,Dashboard_2!$C$3,BodyMapData_2!$B:$B,$M274)=0,"",
SUMIFS(BodyMapData_2!$E:$E,BodyMapData_2!$A:$A,Dashboard_2!$C$3,BodyMapData_2!$B:$B,$M274))</f>
        <v/>
      </c>
      <c r="O274" s="30" t="str">
        <f>IF(MAXIFS(BodyMapData_2!$E:$E,BodyMapData_2!$A:$A,Dashboard_2!$C$3,BodyMapData_2!$B:$B,$M274)=0,"",
MAXIFS(BodyMapData_2!$E:$E,BodyMapData_2!$A:$A,Dashboard_2!$C$3,BodyMapData_2!$B:$B,$M274))</f>
        <v/>
      </c>
    </row>
    <row r="275">
      <c r="N275" s="30" t="str">
        <f>IF(SUMIFS(BodyMapData_2!$E:$E,BodyMapData_2!$A:$A,Dashboard_2!$C$3,BodyMapData_2!$B:$B,$M275)=0,"",
SUMIFS(BodyMapData_2!$E:$E,BodyMapData_2!$A:$A,Dashboard_2!$C$3,BodyMapData_2!$B:$B,$M275))</f>
        <v/>
      </c>
      <c r="O275" s="30" t="str">
        <f>IF(MAXIFS(BodyMapData_2!$E:$E,BodyMapData_2!$A:$A,Dashboard_2!$C$3,BodyMapData_2!$B:$B,$M275)=0,"",
MAXIFS(BodyMapData_2!$E:$E,BodyMapData_2!$A:$A,Dashboard_2!$C$3,BodyMapData_2!$B:$B,$M275))</f>
        <v/>
      </c>
    </row>
    <row r="276">
      <c r="N276" s="30" t="str">
        <f>IF(SUMIFS(BodyMapData_2!$E:$E,BodyMapData_2!$A:$A,Dashboard_2!$C$3,BodyMapData_2!$B:$B,$M276)=0,"",
SUMIFS(BodyMapData_2!$E:$E,BodyMapData_2!$A:$A,Dashboard_2!$C$3,BodyMapData_2!$B:$B,$M276))</f>
        <v/>
      </c>
      <c r="O276" s="30" t="str">
        <f>IF(MAXIFS(BodyMapData_2!$E:$E,BodyMapData_2!$A:$A,Dashboard_2!$C$3,BodyMapData_2!$B:$B,$M276)=0,"",
MAXIFS(BodyMapData_2!$E:$E,BodyMapData_2!$A:$A,Dashboard_2!$C$3,BodyMapData_2!$B:$B,$M276))</f>
        <v/>
      </c>
    </row>
    <row r="277">
      <c r="N277" s="30" t="str">
        <f>IF(SUMIFS(BodyMapData_2!$E:$E,BodyMapData_2!$A:$A,Dashboard_2!$C$3,BodyMapData_2!$B:$B,$M277)=0,"",
SUMIFS(BodyMapData_2!$E:$E,BodyMapData_2!$A:$A,Dashboard_2!$C$3,BodyMapData_2!$B:$B,$M277))</f>
        <v/>
      </c>
      <c r="O277" s="30" t="str">
        <f>IF(MAXIFS(BodyMapData_2!$E:$E,BodyMapData_2!$A:$A,Dashboard_2!$C$3,BodyMapData_2!$B:$B,$M277)=0,"",
MAXIFS(BodyMapData_2!$E:$E,BodyMapData_2!$A:$A,Dashboard_2!$C$3,BodyMapData_2!$B:$B,$M277))</f>
        <v/>
      </c>
    </row>
    <row r="278">
      <c r="N278" s="30" t="str">
        <f>IF(SUMIFS(BodyMapData_2!$E:$E,BodyMapData_2!$A:$A,Dashboard_2!$C$3,BodyMapData_2!$B:$B,$M278)=0,"",
SUMIFS(BodyMapData_2!$E:$E,BodyMapData_2!$A:$A,Dashboard_2!$C$3,BodyMapData_2!$B:$B,$M278))</f>
        <v/>
      </c>
      <c r="O278" s="30" t="str">
        <f>IF(MAXIFS(BodyMapData_2!$E:$E,BodyMapData_2!$A:$A,Dashboard_2!$C$3,BodyMapData_2!$B:$B,$M278)=0,"",
MAXIFS(BodyMapData_2!$E:$E,BodyMapData_2!$A:$A,Dashboard_2!$C$3,BodyMapData_2!$B:$B,$M278))</f>
        <v/>
      </c>
    </row>
    <row r="279">
      <c r="N279" s="30" t="str">
        <f>IF(SUMIFS(BodyMapData_2!$E:$E,BodyMapData_2!$A:$A,Dashboard_2!$C$3,BodyMapData_2!$B:$B,$M279)=0,"",
SUMIFS(BodyMapData_2!$E:$E,BodyMapData_2!$A:$A,Dashboard_2!$C$3,BodyMapData_2!$B:$B,$M279))</f>
        <v/>
      </c>
      <c r="O279" s="30" t="str">
        <f>IF(MAXIFS(BodyMapData_2!$E:$E,BodyMapData_2!$A:$A,Dashboard_2!$C$3,BodyMapData_2!$B:$B,$M279)=0,"",
MAXIFS(BodyMapData_2!$E:$E,BodyMapData_2!$A:$A,Dashboard_2!$C$3,BodyMapData_2!$B:$B,$M279))</f>
        <v/>
      </c>
    </row>
    <row r="280">
      <c r="N280" s="30" t="str">
        <f>IF(SUMIFS(BodyMapData_2!$E:$E,BodyMapData_2!$A:$A,Dashboard_2!$C$3,BodyMapData_2!$B:$B,$M280)=0,"",
SUMIFS(BodyMapData_2!$E:$E,BodyMapData_2!$A:$A,Dashboard_2!$C$3,BodyMapData_2!$B:$B,$M280))</f>
        <v/>
      </c>
      <c r="O280" s="30" t="str">
        <f>IF(MAXIFS(BodyMapData_2!$E:$E,BodyMapData_2!$A:$A,Dashboard_2!$C$3,BodyMapData_2!$B:$B,$M280)=0,"",
MAXIFS(BodyMapData_2!$E:$E,BodyMapData_2!$A:$A,Dashboard_2!$C$3,BodyMapData_2!$B:$B,$M280))</f>
        <v/>
      </c>
    </row>
    <row r="281">
      <c r="N281" s="30" t="str">
        <f>IF(SUMIFS(BodyMapData_2!$E:$E,BodyMapData_2!$A:$A,Dashboard_2!$C$3,BodyMapData_2!$B:$B,$M281)=0,"",
SUMIFS(BodyMapData_2!$E:$E,BodyMapData_2!$A:$A,Dashboard_2!$C$3,BodyMapData_2!$B:$B,$M281))</f>
        <v/>
      </c>
      <c r="O281" s="30" t="str">
        <f>IF(MAXIFS(BodyMapData_2!$E:$E,BodyMapData_2!$A:$A,Dashboard_2!$C$3,BodyMapData_2!$B:$B,$M281)=0,"",
MAXIFS(BodyMapData_2!$E:$E,BodyMapData_2!$A:$A,Dashboard_2!$C$3,BodyMapData_2!$B:$B,$M281))</f>
        <v/>
      </c>
    </row>
    <row r="282">
      <c r="N282" s="30" t="str">
        <f>IF(SUMIFS(BodyMapData_2!$E:$E,BodyMapData_2!$A:$A,Dashboard_2!$C$3,BodyMapData_2!$B:$B,$M282)=0,"",
SUMIFS(BodyMapData_2!$E:$E,BodyMapData_2!$A:$A,Dashboard_2!$C$3,BodyMapData_2!$B:$B,$M282))</f>
        <v/>
      </c>
      <c r="O282" s="30" t="str">
        <f>IF(MAXIFS(BodyMapData_2!$E:$E,BodyMapData_2!$A:$A,Dashboard_2!$C$3,BodyMapData_2!$B:$B,$M282)=0,"",
MAXIFS(BodyMapData_2!$E:$E,BodyMapData_2!$A:$A,Dashboard_2!$C$3,BodyMapData_2!$B:$B,$M282))</f>
        <v/>
      </c>
    </row>
    <row r="283">
      <c r="N283" s="30" t="str">
        <f>IF(SUMIFS(BodyMapData_2!$E:$E,BodyMapData_2!$A:$A,Dashboard_2!$C$3,BodyMapData_2!$B:$B,$M283)=0,"",
SUMIFS(BodyMapData_2!$E:$E,BodyMapData_2!$A:$A,Dashboard_2!$C$3,BodyMapData_2!$B:$B,$M283))</f>
        <v/>
      </c>
      <c r="O283" s="30" t="str">
        <f>IF(MAXIFS(BodyMapData_2!$E:$E,BodyMapData_2!$A:$A,Dashboard_2!$C$3,BodyMapData_2!$B:$B,$M283)=0,"",
MAXIFS(BodyMapData_2!$E:$E,BodyMapData_2!$A:$A,Dashboard_2!$C$3,BodyMapData_2!$B:$B,$M283))</f>
        <v/>
      </c>
    </row>
    <row r="284">
      <c r="N284" s="30" t="str">
        <f>IF(SUMIFS(BodyMapData_2!$E:$E,BodyMapData_2!$A:$A,Dashboard_2!$C$3,BodyMapData_2!$B:$B,$M284)=0,"",
SUMIFS(BodyMapData_2!$E:$E,BodyMapData_2!$A:$A,Dashboard_2!$C$3,BodyMapData_2!$B:$B,$M284))</f>
        <v/>
      </c>
      <c r="O284" s="30" t="str">
        <f>IF(MAXIFS(BodyMapData_2!$E:$E,BodyMapData_2!$A:$A,Dashboard_2!$C$3,BodyMapData_2!$B:$B,$M284)=0,"",
MAXIFS(BodyMapData_2!$E:$E,BodyMapData_2!$A:$A,Dashboard_2!$C$3,BodyMapData_2!$B:$B,$M284))</f>
        <v/>
      </c>
    </row>
    <row r="285">
      <c r="N285" s="30" t="str">
        <f>IF(SUMIFS(BodyMapData_2!$E:$E,BodyMapData_2!$A:$A,Dashboard_2!$C$3,BodyMapData_2!$B:$B,$M285)=0,"",
SUMIFS(BodyMapData_2!$E:$E,BodyMapData_2!$A:$A,Dashboard_2!$C$3,BodyMapData_2!$B:$B,$M285))</f>
        <v/>
      </c>
      <c r="O285" s="30" t="str">
        <f>IF(MAXIFS(BodyMapData_2!$E:$E,BodyMapData_2!$A:$A,Dashboard_2!$C$3,BodyMapData_2!$B:$B,$M285)=0,"",
MAXIFS(BodyMapData_2!$E:$E,BodyMapData_2!$A:$A,Dashboard_2!$C$3,BodyMapData_2!$B:$B,$M285))</f>
        <v/>
      </c>
    </row>
    <row r="286">
      <c r="N286" s="30" t="str">
        <f>IF(SUMIFS(BodyMapData_2!$E:$E,BodyMapData_2!$A:$A,Dashboard_2!$C$3,BodyMapData_2!$B:$B,$M286)=0,"",
SUMIFS(BodyMapData_2!$E:$E,BodyMapData_2!$A:$A,Dashboard_2!$C$3,BodyMapData_2!$B:$B,$M286))</f>
        <v/>
      </c>
      <c r="O286" s="30" t="str">
        <f>IF(MAXIFS(BodyMapData_2!$E:$E,BodyMapData_2!$A:$A,Dashboard_2!$C$3,BodyMapData_2!$B:$B,$M286)=0,"",
MAXIFS(BodyMapData_2!$E:$E,BodyMapData_2!$A:$A,Dashboard_2!$C$3,BodyMapData_2!$B:$B,$M286))</f>
        <v/>
      </c>
    </row>
    <row r="287">
      <c r="N287" s="30" t="str">
        <f>IF(SUMIFS(BodyMapData_2!$E:$E,BodyMapData_2!$A:$A,Dashboard_2!$C$3,BodyMapData_2!$B:$B,$M287)=0,"",
SUMIFS(BodyMapData_2!$E:$E,BodyMapData_2!$A:$A,Dashboard_2!$C$3,BodyMapData_2!$B:$B,$M287))</f>
        <v/>
      </c>
      <c r="O287" s="30" t="str">
        <f>IF(MAXIFS(BodyMapData_2!$E:$E,BodyMapData_2!$A:$A,Dashboard_2!$C$3,BodyMapData_2!$B:$B,$M287)=0,"",
MAXIFS(BodyMapData_2!$E:$E,BodyMapData_2!$A:$A,Dashboard_2!$C$3,BodyMapData_2!$B:$B,$M287))</f>
        <v/>
      </c>
    </row>
    <row r="288">
      <c r="N288" s="30" t="str">
        <f>IF(SUMIFS(BodyMapData_2!$E:$E,BodyMapData_2!$A:$A,Dashboard_2!$C$3,BodyMapData_2!$B:$B,$M288)=0,"",
SUMIFS(BodyMapData_2!$E:$E,BodyMapData_2!$A:$A,Dashboard_2!$C$3,BodyMapData_2!$B:$B,$M288))</f>
        <v/>
      </c>
      <c r="O288" s="30" t="str">
        <f>IF(MAXIFS(BodyMapData_2!$E:$E,BodyMapData_2!$A:$A,Dashboard_2!$C$3,BodyMapData_2!$B:$B,$M288)=0,"",
MAXIFS(BodyMapData_2!$E:$E,BodyMapData_2!$A:$A,Dashboard_2!$C$3,BodyMapData_2!$B:$B,$M288))</f>
        <v/>
      </c>
    </row>
    <row r="289">
      <c r="N289" s="30" t="str">
        <f>IF(SUMIFS(BodyMapData_2!$E:$E,BodyMapData_2!$A:$A,Dashboard_2!$C$3,BodyMapData_2!$B:$B,$M289)=0,"",
SUMIFS(BodyMapData_2!$E:$E,BodyMapData_2!$A:$A,Dashboard_2!$C$3,BodyMapData_2!$B:$B,$M289))</f>
        <v/>
      </c>
      <c r="O289" s="30" t="str">
        <f>IF(MAXIFS(BodyMapData_2!$E:$E,BodyMapData_2!$A:$A,Dashboard_2!$C$3,BodyMapData_2!$B:$B,$M289)=0,"",
MAXIFS(BodyMapData_2!$E:$E,BodyMapData_2!$A:$A,Dashboard_2!$C$3,BodyMapData_2!$B:$B,$M289))</f>
        <v/>
      </c>
    </row>
    <row r="290">
      <c r="N290" s="30" t="str">
        <f>IF(SUMIFS(BodyMapData_2!$E:$E,BodyMapData_2!$A:$A,Dashboard_2!$C$3,BodyMapData_2!$B:$B,$M290)=0,"",
SUMIFS(BodyMapData_2!$E:$E,BodyMapData_2!$A:$A,Dashboard_2!$C$3,BodyMapData_2!$B:$B,$M290))</f>
        <v/>
      </c>
      <c r="O290" s="30" t="str">
        <f>IF(MAXIFS(BodyMapData_2!$E:$E,BodyMapData_2!$A:$A,Dashboard_2!$C$3,BodyMapData_2!$B:$B,$M290)=0,"",
MAXIFS(BodyMapData_2!$E:$E,BodyMapData_2!$A:$A,Dashboard_2!$C$3,BodyMapData_2!$B:$B,$M290))</f>
        <v/>
      </c>
    </row>
    <row r="291">
      <c r="N291" s="30" t="str">
        <f>IF(SUMIFS(BodyMapData_2!$E:$E,BodyMapData_2!$A:$A,Dashboard_2!$C$3,BodyMapData_2!$B:$B,$M291)=0,"",
SUMIFS(BodyMapData_2!$E:$E,BodyMapData_2!$A:$A,Dashboard_2!$C$3,BodyMapData_2!$B:$B,$M291))</f>
        <v/>
      </c>
      <c r="O291" s="30" t="str">
        <f>IF(MAXIFS(BodyMapData_2!$E:$E,BodyMapData_2!$A:$A,Dashboard_2!$C$3,BodyMapData_2!$B:$B,$M291)=0,"",
MAXIFS(BodyMapData_2!$E:$E,BodyMapData_2!$A:$A,Dashboard_2!$C$3,BodyMapData_2!$B:$B,$M291))</f>
        <v/>
      </c>
    </row>
    <row r="292">
      <c r="N292" s="30" t="str">
        <f>IF(SUMIFS(BodyMapData_2!$E:$E,BodyMapData_2!$A:$A,Dashboard_2!$C$3,BodyMapData_2!$B:$B,$M292)=0,"",
SUMIFS(BodyMapData_2!$E:$E,BodyMapData_2!$A:$A,Dashboard_2!$C$3,BodyMapData_2!$B:$B,$M292))</f>
        <v/>
      </c>
      <c r="O292" s="30" t="str">
        <f>IF(MAXIFS(BodyMapData_2!$E:$E,BodyMapData_2!$A:$A,Dashboard_2!$C$3,BodyMapData_2!$B:$B,$M292)=0,"",
MAXIFS(BodyMapData_2!$E:$E,BodyMapData_2!$A:$A,Dashboard_2!$C$3,BodyMapData_2!$B:$B,$M292))</f>
        <v/>
      </c>
    </row>
    <row r="293">
      <c r="N293" s="30" t="str">
        <f>IF(SUMIFS(BodyMapData_2!$E:$E,BodyMapData_2!$A:$A,Dashboard_2!$C$3,BodyMapData_2!$B:$B,$M293)=0,"",
SUMIFS(BodyMapData_2!$E:$E,BodyMapData_2!$A:$A,Dashboard_2!$C$3,BodyMapData_2!$B:$B,$M293))</f>
        <v/>
      </c>
      <c r="O293" s="30" t="str">
        <f>IF(MAXIFS(BodyMapData_2!$E:$E,BodyMapData_2!$A:$A,Dashboard_2!$C$3,BodyMapData_2!$B:$B,$M293)=0,"",
MAXIFS(BodyMapData_2!$E:$E,BodyMapData_2!$A:$A,Dashboard_2!$C$3,BodyMapData_2!$B:$B,$M293))</f>
        <v/>
      </c>
    </row>
    <row r="294">
      <c r="N294" s="30" t="str">
        <f>IF(SUMIFS(BodyMapData_2!$E:$E,BodyMapData_2!$A:$A,Dashboard_2!$C$3,BodyMapData_2!$B:$B,$M294)=0,"",
SUMIFS(BodyMapData_2!$E:$E,BodyMapData_2!$A:$A,Dashboard_2!$C$3,BodyMapData_2!$B:$B,$M294))</f>
        <v/>
      </c>
      <c r="O294" s="30" t="str">
        <f>IF(MAXIFS(BodyMapData_2!$E:$E,BodyMapData_2!$A:$A,Dashboard_2!$C$3,BodyMapData_2!$B:$B,$M294)=0,"",
MAXIFS(BodyMapData_2!$E:$E,BodyMapData_2!$A:$A,Dashboard_2!$C$3,BodyMapData_2!$B:$B,$M294))</f>
        <v/>
      </c>
    </row>
    <row r="295">
      <c r="N295" s="30" t="str">
        <f>IF(SUMIFS(BodyMapData_2!$E:$E,BodyMapData_2!$A:$A,Dashboard_2!$C$3,BodyMapData_2!$B:$B,$M295)=0,"",
SUMIFS(BodyMapData_2!$E:$E,BodyMapData_2!$A:$A,Dashboard_2!$C$3,BodyMapData_2!$B:$B,$M295))</f>
        <v/>
      </c>
      <c r="O295" s="30" t="str">
        <f>IF(MAXIFS(BodyMapData_2!$E:$E,BodyMapData_2!$A:$A,Dashboard_2!$C$3,BodyMapData_2!$B:$B,$M295)=0,"",
MAXIFS(BodyMapData_2!$E:$E,BodyMapData_2!$A:$A,Dashboard_2!$C$3,BodyMapData_2!$B:$B,$M295))</f>
        <v/>
      </c>
    </row>
    <row r="296">
      <c r="N296" s="30" t="str">
        <f>IF(SUMIFS(BodyMapData_2!$E:$E,BodyMapData_2!$A:$A,Dashboard_2!$C$3,BodyMapData_2!$B:$B,$M296)=0,"",
SUMIFS(BodyMapData_2!$E:$E,BodyMapData_2!$A:$A,Dashboard_2!$C$3,BodyMapData_2!$B:$B,$M296))</f>
        <v/>
      </c>
      <c r="O296" s="30" t="str">
        <f>IF(MAXIFS(BodyMapData_2!$E:$E,BodyMapData_2!$A:$A,Dashboard_2!$C$3,BodyMapData_2!$B:$B,$M296)=0,"",
MAXIFS(BodyMapData_2!$E:$E,BodyMapData_2!$A:$A,Dashboard_2!$C$3,BodyMapData_2!$B:$B,$M296))</f>
        <v/>
      </c>
    </row>
    <row r="297">
      <c r="N297" s="30" t="str">
        <f>IF(SUMIFS(BodyMapData_2!$E:$E,BodyMapData_2!$A:$A,Dashboard_2!$C$3,BodyMapData_2!$B:$B,$M297)=0,"",
SUMIFS(BodyMapData_2!$E:$E,BodyMapData_2!$A:$A,Dashboard_2!$C$3,BodyMapData_2!$B:$B,$M297))</f>
        <v/>
      </c>
      <c r="O297" s="30" t="str">
        <f>IF(MAXIFS(BodyMapData_2!$E:$E,BodyMapData_2!$A:$A,Dashboard_2!$C$3,BodyMapData_2!$B:$B,$M297)=0,"",
MAXIFS(BodyMapData_2!$E:$E,BodyMapData_2!$A:$A,Dashboard_2!$C$3,BodyMapData_2!$B:$B,$M297))</f>
        <v/>
      </c>
    </row>
    <row r="298">
      <c r="N298" s="30" t="str">
        <f>IF(SUMIFS(BodyMapData_2!$E:$E,BodyMapData_2!$A:$A,Dashboard_2!$C$3,BodyMapData_2!$B:$B,$M298)=0,"",
SUMIFS(BodyMapData_2!$E:$E,BodyMapData_2!$A:$A,Dashboard_2!$C$3,BodyMapData_2!$B:$B,$M298))</f>
        <v/>
      </c>
      <c r="O298" s="30" t="str">
        <f>IF(MAXIFS(BodyMapData_2!$E:$E,BodyMapData_2!$A:$A,Dashboard_2!$C$3,BodyMapData_2!$B:$B,$M298)=0,"",
MAXIFS(BodyMapData_2!$E:$E,BodyMapData_2!$A:$A,Dashboard_2!$C$3,BodyMapData_2!$B:$B,$M298))</f>
        <v/>
      </c>
    </row>
    <row r="299">
      <c r="N299" s="30" t="str">
        <f>IF(SUMIFS(BodyMapData_2!$E:$E,BodyMapData_2!$A:$A,Dashboard_2!$C$3,BodyMapData_2!$B:$B,$M299)=0,"",
SUMIFS(BodyMapData_2!$E:$E,BodyMapData_2!$A:$A,Dashboard_2!$C$3,BodyMapData_2!$B:$B,$M299))</f>
        <v/>
      </c>
      <c r="O299" s="30" t="str">
        <f>IF(MAXIFS(BodyMapData_2!$E:$E,BodyMapData_2!$A:$A,Dashboard_2!$C$3,BodyMapData_2!$B:$B,$M299)=0,"",
MAXIFS(BodyMapData_2!$E:$E,BodyMapData_2!$A:$A,Dashboard_2!$C$3,BodyMapData_2!$B:$B,$M299))</f>
        <v/>
      </c>
    </row>
    <row r="300">
      <c r="N300" s="30" t="str">
        <f>IF(SUMIFS(BodyMapData_2!$E:$E,BodyMapData_2!$A:$A,Dashboard_2!$C$3,BodyMapData_2!$B:$B,$M300)=0,"",
SUMIFS(BodyMapData_2!$E:$E,BodyMapData_2!$A:$A,Dashboard_2!$C$3,BodyMapData_2!$B:$B,$M300))</f>
        <v/>
      </c>
      <c r="O300" s="30" t="str">
        <f>IF(MAXIFS(BodyMapData_2!$E:$E,BodyMapData_2!$A:$A,Dashboard_2!$C$3,BodyMapData_2!$B:$B,$M300)=0,"",
MAXIFS(BodyMapData_2!$E:$E,BodyMapData_2!$A:$A,Dashboard_2!$C$3,BodyMapData_2!$B:$B,$M300))</f>
        <v/>
      </c>
    </row>
    <row r="301">
      <c r="N301" s="30" t="str">
        <f>IF(SUMIFS(BodyMapData_2!$E:$E,BodyMapData_2!$A:$A,Dashboard_2!$C$3,BodyMapData_2!$B:$B,$M301)=0,"",
SUMIFS(BodyMapData_2!$E:$E,BodyMapData_2!$A:$A,Dashboard_2!$C$3,BodyMapData_2!$B:$B,$M301))</f>
        <v/>
      </c>
      <c r="O301" s="30" t="str">
        <f>IF(MAXIFS(BodyMapData_2!$E:$E,BodyMapData_2!$A:$A,Dashboard_2!$C$3,BodyMapData_2!$B:$B,$M301)=0,"",
MAXIFS(BodyMapData_2!$E:$E,BodyMapData_2!$A:$A,Dashboard_2!$C$3,BodyMapData_2!$B:$B,$M301))</f>
        <v/>
      </c>
    </row>
    <row r="302">
      <c r="N302" s="30" t="str">
        <f>IF(SUMIFS(BodyMapData_2!$E:$E,BodyMapData_2!$A:$A,Dashboard_2!$C$3,BodyMapData_2!$B:$B,$M302)=0,"",
SUMIFS(BodyMapData_2!$E:$E,BodyMapData_2!$A:$A,Dashboard_2!$C$3,BodyMapData_2!$B:$B,$M302))</f>
        <v/>
      </c>
      <c r="O302" s="30" t="str">
        <f>IF(MAXIFS(BodyMapData_2!$E:$E,BodyMapData_2!$A:$A,Dashboard_2!$C$3,BodyMapData_2!$B:$B,$M302)=0,"",
MAXIFS(BodyMapData_2!$E:$E,BodyMapData_2!$A:$A,Dashboard_2!$C$3,BodyMapData_2!$B:$B,$M302))</f>
        <v/>
      </c>
    </row>
    <row r="303">
      <c r="N303" s="30" t="str">
        <f>IF(SUMIFS(BodyMapData_2!$E:$E,BodyMapData_2!$A:$A,Dashboard_2!$C$3,BodyMapData_2!$B:$B,$M303)=0,"",
SUMIFS(BodyMapData_2!$E:$E,BodyMapData_2!$A:$A,Dashboard_2!$C$3,BodyMapData_2!$B:$B,$M303))</f>
        <v/>
      </c>
      <c r="O303" s="30" t="str">
        <f>IF(MAXIFS(BodyMapData_2!$E:$E,BodyMapData_2!$A:$A,Dashboard_2!$C$3,BodyMapData_2!$B:$B,$M303)=0,"",
MAXIFS(BodyMapData_2!$E:$E,BodyMapData_2!$A:$A,Dashboard_2!$C$3,BodyMapData_2!$B:$B,$M303))</f>
        <v/>
      </c>
    </row>
    <row r="304">
      <c r="N304" s="30" t="str">
        <f>IF(SUMIFS(BodyMapData_2!$E:$E,BodyMapData_2!$A:$A,Dashboard_2!$C$3,BodyMapData_2!$B:$B,$M304)=0,"",
SUMIFS(BodyMapData_2!$E:$E,BodyMapData_2!$A:$A,Dashboard_2!$C$3,BodyMapData_2!$B:$B,$M304))</f>
        <v/>
      </c>
      <c r="O304" s="30" t="str">
        <f>IF(MAXIFS(BodyMapData_2!$E:$E,BodyMapData_2!$A:$A,Dashboard_2!$C$3,BodyMapData_2!$B:$B,$M304)=0,"",
MAXIFS(BodyMapData_2!$E:$E,BodyMapData_2!$A:$A,Dashboard_2!$C$3,BodyMapData_2!$B:$B,$M304))</f>
        <v/>
      </c>
    </row>
    <row r="305">
      <c r="N305" s="30" t="str">
        <f>IF(SUMIFS(BodyMapData_2!$E:$E,BodyMapData_2!$A:$A,Dashboard_2!$C$3,BodyMapData_2!$B:$B,$M305)=0,"",
SUMIFS(BodyMapData_2!$E:$E,BodyMapData_2!$A:$A,Dashboard_2!$C$3,BodyMapData_2!$B:$B,$M305))</f>
        <v/>
      </c>
      <c r="O305" s="30" t="str">
        <f>IF(MAXIFS(BodyMapData_2!$E:$E,BodyMapData_2!$A:$A,Dashboard_2!$C$3,BodyMapData_2!$B:$B,$M305)=0,"",
MAXIFS(BodyMapData_2!$E:$E,BodyMapData_2!$A:$A,Dashboard_2!$C$3,BodyMapData_2!$B:$B,$M305))</f>
        <v/>
      </c>
    </row>
    <row r="306">
      <c r="N306" s="30" t="str">
        <f>IF(SUMIFS(BodyMapData_2!$E:$E,BodyMapData_2!$A:$A,Dashboard_2!$C$3,BodyMapData_2!$B:$B,$M306)=0,"",
SUMIFS(BodyMapData_2!$E:$E,BodyMapData_2!$A:$A,Dashboard_2!$C$3,BodyMapData_2!$B:$B,$M306))</f>
        <v/>
      </c>
      <c r="O306" s="30" t="str">
        <f>IF(MAXIFS(BodyMapData_2!$E:$E,BodyMapData_2!$A:$A,Dashboard_2!$C$3,BodyMapData_2!$B:$B,$M306)=0,"",
MAXIFS(BodyMapData_2!$E:$E,BodyMapData_2!$A:$A,Dashboard_2!$C$3,BodyMapData_2!$B:$B,$M306))</f>
        <v/>
      </c>
    </row>
    <row r="307">
      <c r="N307" s="30" t="str">
        <f>IF(SUMIFS(BodyMapData_2!$E:$E,BodyMapData_2!$A:$A,Dashboard_2!$C$3,BodyMapData_2!$B:$B,$M307)=0,"",
SUMIFS(BodyMapData_2!$E:$E,BodyMapData_2!$A:$A,Dashboard_2!$C$3,BodyMapData_2!$B:$B,$M307))</f>
        <v/>
      </c>
      <c r="O307" s="30" t="str">
        <f>IF(MAXIFS(BodyMapData_2!$E:$E,BodyMapData_2!$A:$A,Dashboard_2!$C$3,BodyMapData_2!$B:$B,$M307)=0,"",
MAXIFS(BodyMapData_2!$E:$E,BodyMapData_2!$A:$A,Dashboard_2!$C$3,BodyMapData_2!$B:$B,$M307))</f>
        <v/>
      </c>
    </row>
    <row r="308">
      <c r="N308" s="30" t="str">
        <f>IF(SUMIFS(BodyMapData_2!$E:$E,BodyMapData_2!$A:$A,Dashboard_2!$C$3,BodyMapData_2!$B:$B,$M308)=0,"",
SUMIFS(BodyMapData_2!$E:$E,BodyMapData_2!$A:$A,Dashboard_2!$C$3,BodyMapData_2!$B:$B,$M308))</f>
        <v/>
      </c>
      <c r="O308" s="30" t="str">
        <f>IF(MAXIFS(BodyMapData_2!$E:$E,BodyMapData_2!$A:$A,Dashboard_2!$C$3,BodyMapData_2!$B:$B,$M308)=0,"",
MAXIFS(BodyMapData_2!$E:$E,BodyMapData_2!$A:$A,Dashboard_2!$C$3,BodyMapData_2!$B:$B,$M308))</f>
        <v/>
      </c>
    </row>
    <row r="309">
      <c r="N309" s="30" t="str">
        <f>IF(SUMIFS(BodyMapData_2!$E:$E,BodyMapData_2!$A:$A,Dashboard_2!$C$3,BodyMapData_2!$B:$B,$M309)=0,"",
SUMIFS(BodyMapData_2!$E:$E,BodyMapData_2!$A:$A,Dashboard_2!$C$3,BodyMapData_2!$B:$B,$M309))</f>
        <v/>
      </c>
      <c r="O309" s="30" t="str">
        <f>IF(MAXIFS(BodyMapData_2!$E:$E,BodyMapData_2!$A:$A,Dashboard_2!$C$3,BodyMapData_2!$B:$B,$M309)=0,"",
MAXIFS(BodyMapData_2!$E:$E,BodyMapData_2!$A:$A,Dashboard_2!$C$3,BodyMapData_2!$B:$B,$M309))</f>
        <v/>
      </c>
    </row>
    <row r="310">
      <c r="N310" s="30" t="str">
        <f>IF(SUMIFS(BodyMapData_2!$E:$E,BodyMapData_2!$A:$A,Dashboard_2!$C$3,BodyMapData_2!$B:$B,$M310)=0,"",
SUMIFS(BodyMapData_2!$E:$E,BodyMapData_2!$A:$A,Dashboard_2!$C$3,BodyMapData_2!$B:$B,$M310))</f>
        <v/>
      </c>
      <c r="O310" s="30" t="str">
        <f>IF(MAXIFS(BodyMapData_2!$E:$E,BodyMapData_2!$A:$A,Dashboard_2!$C$3,BodyMapData_2!$B:$B,$M310)=0,"",
MAXIFS(BodyMapData_2!$E:$E,BodyMapData_2!$A:$A,Dashboard_2!$C$3,BodyMapData_2!$B:$B,$M310))</f>
        <v/>
      </c>
    </row>
    <row r="311">
      <c r="N311" s="30" t="str">
        <f>IF(SUMIFS(BodyMapData_2!$E:$E,BodyMapData_2!$A:$A,Dashboard_2!$C$3,BodyMapData_2!$B:$B,$M311)=0,"",
SUMIFS(BodyMapData_2!$E:$E,BodyMapData_2!$A:$A,Dashboard_2!$C$3,BodyMapData_2!$B:$B,$M311))</f>
        <v/>
      </c>
      <c r="O311" s="30" t="str">
        <f>IF(MAXIFS(BodyMapData_2!$E:$E,BodyMapData_2!$A:$A,Dashboard_2!$C$3,BodyMapData_2!$B:$B,$M311)=0,"",
MAXIFS(BodyMapData_2!$E:$E,BodyMapData_2!$A:$A,Dashboard_2!$C$3,BodyMapData_2!$B:$B,$M311))</f>
        <v/>
      </c>
    </row>
    <row r="312">
      <c r="N312" s="30" t="str">
        <f>IF(SUMIFS(BodyMapData_2!$E:$E,BodyMapData_2!$A:$A,Dashboard_2!$C$3,BodyMapData_2!$B:$B,$M312)=0,"",
SUMIFS(BodyMapData_2!$E:$E,BodyMapData_2!$A:$A,Dashboard_2!$C$3,BodyMapData_2!$B:$B,$M312))</f>
        <v/>
      </c>
      <c r="O312" s="30" t="str">
        <f>IF(MAXIFS(BodyMapData_2!$E:$E,BodyMapData_2!$A:$A,Dashboard_2!$C$3,BodyMapData_2!$B:$B,$M312)=0,"",
MAXIFS(BodyMapData_2!$E:$E,BodyMapData_2!$A:$A,Dashboard_2!$C$3,BodyMapData_2!$B:$B,$M312))</f>
        <v/>
      </c>
    </row>
    <row r="313">
      <c r="N313" s="30" t="str">
        <f>IF(SUMIFS(BodyMapData_2!$E:$E,BodyMapData_2!$A:$A,Dashboard_2!$C$3,BodyMapData_2!$B:$B,$M313)=0,"",
SUMIFS(BodyMapData_2!$E:$E,BodyMapData_2!$A:$A,Dashboard_2!$C$3,BodyMapData_2!$B:$B,$M313))</f>
        <v/>
      </c>
      <c r="O313" s="30" t="str">
        <f>IF(MAXIFS(BodyMapData_2!$E:$E,BodyMapData_2!$A:$A,Dashboard_2!$C$3,BodyMapData_2!$B:$B,$M313)=0,"",
MAXIFS(BodyMapData_2!$E:$E,BodyMapData_2!$A:$A,Dashboard_2!$C$3,BodyMapData_2!$B:$B,$M313))</f>
        <v/>
      </c>
    </row>
    <row r="314">
      <c r="N314" s="30" t="str">
        <f>IF(SUMIFS(BodyMapData_2!$E:$E,BodyMapData_2!$A:$A,Dashboard_2!$C$3,BodyMapData_2!$B:$B,$M314)=0,"",
SUMIFS(BodyMapData_2!$E:$E,BodyMapData_2!$A:$A,Dashboard_2!$C$3,BodyMapData_2!$B:$B,$M314))</f>
        <v/>
      </c>
      <c r="O314" s="30" t="str">
        <f>IF(MAXIFS(BodyMapData_2!$E:$E,BodyMapData_2!$A:$A,Dashboard_2!$C$3,BodyMapData_2!$B:$B,$M314)=0,"",
MAXIFS(BodyMapData_2!$E:$E,BodyMapData_2!$A:$A,Dashboard_2!$C$3,BodyMapData_2!$B:$B,$M314))</f>
        <v/>
      </c>
    </row>
    <row r="315">
      <c r="N315" s="30" t="str">
        <f>IF(SUMIFS(BodyMapData_2!$E:$E,BodyMapData_2!$A:$A,Dashboard_2!$C$3,BodyMapData_2!$B:$B,$M315)=0,"",
SUMIFS(BodyMapData_2!$E:$E,BodyMapData_2!$A:$A,Dashboard_2!$C$3,BodyMapData_2!$B:$B,$M315))</f>
        <v/>
      </c>
      <c r="O315" s="30" t="str">
        <f>IF(MAXIFS(BodyMapData_2!$E:$E,BodyMapData_2!$A:$A,Dashboard_2!$C$3,BodyMapData_2!$B:$B,$M315)=0,"",
MAXIFS(BodyMapData_2!$E:$E,BodyMapData_2!$A:$A,Dashboard_2!$C$3,BodyMapData_2!$B:$B,$M315))</f>
        <v/>
      </c>
    </row>
    <row r="316">
      <c r="N316" s="30" t="str">
        <f>IF(SUMIFS(BodyMapData_2!$E:$E,BodyMapData_2!$A:$A,Dashboard_2!$C$3,BodyMapData_2!$B:$B,$M316)=0,"",
SUMIFS(BodyMapData_2!$E:$E,BodyMapData_2!$A:$A,Dashboard_2!$C$3,BodyMapData_2!$B:$B,$M316))</f>
        <v/>
      </c>
      <c r="O316" s="30" t="str">
        <f>IF(MAXIFS(BodyMapData_2!$E:$E,BodyMapData_2!$A:$A,Dashboard_2!$C$3,BodyMapData_2!$B:$B,$M316)=0,"",
MAXIFS(BodyMapData_2!$E:$E,BodyMapData_2!$A:$A,Dashboard_2!$C$3,BodyMapData_2!$B:$B,$M316))</f>
        <v/>
      </c>
    </row>
    <row r="317">
      <c r="N317" s="30" t="str">
        <f>IF(SUMIFS(BodyMapData_2!$E:$E,BodyMapData_2!$A:$A,Dashboard_2!$C$3,BodyMapData_2!$B:$B,$M317)=0,"",
SUMIFS(BodyMapData_2!$E:$E,BodyMapData_2!$A:$A,Dashboard_2!$C$3,BodyMapData_2!$B:$B,$M317))</f>
        <v/>
      </c>
      <c r="O317" s="30" t="str">
        <f>IF(MAXIFS(BodyMapData_2!$E:$E,BodyMapData_2!$A:$A,Dashboard_2!$C$3,BodyMapData_2!$B:$B,$M317)=0,"",
MAXIFS(BodyMapData_2!$E:$E,BodyMapData_2!$A:$A,Dashboard_2!$C$3,BodyMapData_2!$B:$B,$M317))</f>
        <v/>
      </c>
    </row>
    <row r="318">
      <c r="N318" s="30" t="str">
        <f>IF(SUMIFS(BodyMapData_2!$E:$E,BodyMapData_2!$A:$A,Dashboard_2!$C$3,BodyMapData_2!$B:$B,$M318)=0,"",
SUMIFS(BodyMapData_2!$E:$E,BodyMapData_2!$A:$A,Dashboard_2!$C$3,BodyMapData_2!$B:$B,$M318))</f>
        <v/>
      </c>
      <c r="O318" s="30" t="str">
        <f>IF(MAXIFS(BodyMapData_2!$E:$E,BodyMapData_2!$A:$A,Dashboard_2!$C$3,BodyMapData_2!$B:$B,$M318)=0,"",
MAXIFS(BodyMapData_2!$E:$E,BodyMapData_2!$A:$A,Dashboard_2!$C$3,BodyMapData_2!$B:$B,$M318))</f>
        <v/>
      </c>
    </row>
    <row r="319">
      <c r="N319" s="30" t="str">
        <f>IF(SUMIFS(BodyMapData_2!$E:$E,BodyMapData_2!$A:$A,Dashboard_2!$C$3,BodyMapData_2!$B:$B,$M319)=0,"",
SUMIFS(BodyMapData_2!$E:$E,BodyMapData_2!$A:$A,Dashboard_2!$C$3,BodyMapData_2!$B:$B,$M319))</f>
        <v/>
      </c>
      <c r="O319" s="30" t="str">
        <f>IF(MAXIFS(BodyMapData_2!$E:$E,BodyMapData_2!$A:$A,Dashboard_2!$C$3,BodyMapData_2!$B:$B,$M319)=0,"",
MAXIFS(BodyMapData_2!$E:$E,BodyMapData_2!$A:$A,Dashboard_2!$C$3,BodyMapData_2!$B:$B,$M319))</f>
        <v/>
      </c>
    </row>
    <row r="320">
      <c r="N320" s="30" t="str">
        <f>IF(SUMIFS(BodyMapData_2!$E:$E,BodyMapData_2!$A:$A,Dashboard_2!$C$3,BodyMapData_2!$B:$B,$M320)=0,"",
SUMIFS(BodyMapData_2!$E:$E,BodyMapData_2!$A:$A,Dashboard_2!$C$3,BodyMapData_2!$B:$B,$M320))</f>
        <v/>
      </c>
      <c r="O320" s="30" t="str">
        <f>IF(MAXIFS(BodyMapData_2!$E:$E,BodyMapData_2!$A:$A,Dashboard_2!$C$3,BodyMapData_2!$B:$B,$M320)=0,"",
MAXIFS(BodyMapData_2!$E:$E,BodyMapData_2!$A:$A,Dashboard_2!$C$3,BodyMapData_2!$B:$B,$M320))</f>
        <v/>
      </c>
    </row>
    <row r="321">
      <c r="N321" s="30" t="str">
        <f>IF(SUMIFS(BodyMapData_2!$E:$E,BodyMapData_2!$A:$A,Dashboard_2!$C$3,BodyMapData_2!$B:$B,$M321)=0,"",
SUMIFS(BodyMapData_2!$E:$E,BodyMapData_2!$A:$A,Dashboard_2!$C$3,BodyMapData_2!$B:$B,$M321))</f>
        <v/>
      </c>
      <c r="O321" s="30" t="str">
        <f>IF(MAXIFS(BodyMapData_2!$E:$E,BodyMapData_2!$A:$A,Dashboard_2!$C$3,BodyMapData_2!$B:$B,$M321)=0,"",
MAXIFS(BodyMapData_2!$E:$E,BodyMapData_2!$A:$A,Dashboard_2!$C$3,BodyMapData_2!$B:$B,$M321))</f>
        <v/>
      </c>
    </row>
    <row r="322">
      <c r="N322" s="30" t="str">
        <f>IF(SUMIFS(BodyMapData_2!$E:$E,BodyMapData_2!$A:$A,Dashboard_2!$C$3,BodyMapData_2!$B:$B,$M322)=0,"",
SUMIFS(BodyMapData_2!$E:$E,BodyMapData_2!$A:$A,Dashboard_2!$C$3,BodyMapData_2!$B:$B,$M322))</f>
        <v/>
      </c>
      <c r="O322" s="30" t="str">
        <f>IF(MAXIFS(BodyMapData_2!$E:$E,BodyMapData_2!$A:$A,Dashboard_2!$C$3,BodyMapData_2!$B:$B,$M322)=0,"",
MAXIFS(BodyMapData_2!$E:$E,BodyMapData_2!$A:$A,Dashboard_2!$C$3,BodyMapData_2!$B:$B,$M322))</f>
        <v/>
      </c>
    </row>
    <row r="323">
      <c r="N323" s="30" t="str">
        <f>IF(SUMIFS(BodyMapData_2!$E:$E,BodyMapData_2!$A:$A,Dashboard_2!$C$3,BodyMapData_2!$B:$B,$M323)=0,"",
SUMIFS(BodyMapData_2!$E:$E,BodyMapData_2!$A:$A,Dashboard_2!$C$3,BodyMapData_2!$B:$B,$M323))</f>
        <v/>
      </c>
      <c r="O323" s="30" t="str">
        <f>IF(MAXIFS(BodyMapData_2!$E:$E,BodyMapData_2!$A:$A,Dashboard_2!$C$3,BodyMapData_2!$B:$B,$M323)=0,"",
MAXIFS(BodyMapData_2!$E:$E,BodyMapData_2!$A:$A,Dashboard_2!$C$3,BodyMapData_2!$B:$B,$M323))</f>
        <v/>
      </c>
    </row>
    <row r="324">
      <c r="N324" s="30" t="str">
        <f>IF(SUMIFS(BodyMapData_2!$E:$E,BodyMapData_2!$A:$A,Dashboard_2!$C$3,BodyMapData_2!$B:$B,$M324)=0,"",
SUMIFS(BodyMapData_2!$E:$E,BodyMapData_2!$A:$A,Dashboard_2!$C$3,BodyMapData_2!$B:$B,$M324))</f>
        <v/>
      </c>
      <c r="O324" s="30" t="str">
        <f>IF(MAXIFS(BodyMapData_2!$E:$E,BodyMapData_2!$A:$A,Dashboard_2!$C$3,BodyMapData_2!$B:$B,$M324)=0,"",
MAXIFS(BodyMapData_2!$E:$E,BodyMapData_2!$A:$A,Dashboard_2!$C$3,BodyMapData_2!$B:$B,$M324))</f>
        <v/>
      </c>
    </row>
    <row r="325">
      <c r="N325" s="30" t="str">
        <f>IF(SUMIFS(BodyMapData_2!$E:$E,BodyMapData_2!$A:$A,Dashboard_2!$C$3,BodyMapData_2!$B:$B,$M325)=0,"",
SUMIFS(BodyMapData_2!$E:$E,BodyMapData_2!$A:$A,Dashboard_2!$C$3,BodyMapData_2!$B:$B,$M325))</f>
        <v/>
      </c>
      <c r="O325" s="30" t="str">
        <f>IF(MAXIFS(BodyMapData_2!$E:$E,BodyMapData_2!$A:$A,Dashboard_2!$C$3,BodyMapData_2!$B:$B,$M325)=0,"",
MAXIFS(BodyMapData_2!$E:$E,BodyMapData_2!$A:$A,Dashboard_2!$C$3,BodyMapData_2!$B:$B,$M325))</f>
        <v/>
      </c>
    </row>
    <row r="326">
      <c r="N326" s="30" t="str">
        <f>IF(SUMIFS(BodyMapData_2!$E:$E,BodyMapData_2!$A:$A,Dashboard_2!$C$3,BodyMapData_2!$B:$B,$M326)=0,"",
SUMIFS(BodyMapData_2!$E:$E,BodyMapData_2!$A:$A,Dashboard_2!$C$3,BodyMapData_2!$B:$B,$M326))</f>
        <v/>
      </c>
      <c r="O326" s="30" t="str">
        <f>IF(MAXIFS(BodyMapData_2!$E:$E,BodyMapData_2!$A:$A,Dashboard_2!$C$3,BodyMapData_2!$B:$B,$M326)=0,"",
MAXIFS(BodyMapData_2!$E:$E,BodyMapData_2!$A:$A,Dashboard_2!$C$3,BodyMapData_2!$B:$B,$M326))</f>
        <v/>
      </c>
    </row>
    <row r="327">
      <c r="N327" s="30" t="str">
        <f>IF(SUMIFS(BodyMapData_2!$E:$E,BodyMapData_2!$A:$A,Dashboard_2!$C$3,BodyMapData_2!$B:$B,$M327)=0,"",
SUMIFS(BodyMapData_2!$E:$E,BodyMapData_2!$A:$A,Dashboard_2!$C$3,BodyMapData_2!$B:$B,$M327))</f>
        <v/>
      </c>
      <c r="O327" s="30" t="str">
        <f>IF(MAXIFS(BodyMapData_2!$E:$E,BodyMapData_2!$A:$A,Dashboard_2!$C$3,BodyMapData_2!$B:$B,$M327)=0,"",
MAXIFS(BodyMapData_2!$E:$E,BodyMapData_2!$A:$A,Dashboard_2!$C$3,BodyMapData_2!$B:$B,$M327))</f>
        <v/>
      </c>
    </row>
    <row r="328">
      <c r="N328" s="30" t="str">
        <f>IF(SUMIFS(BodyMapData_2!$E:$E,BodyMapData_2!$A:$A,Dashboard_2!$C$3,BodyMapData_2!$B:$B,$M328)=0,"",
SUMIFS(BodyMapData_2!$E:$E,BodyMapData_2!$A:$A,Dashboard_2!$C$3,BodyMapData_2!$B:$B,$M328))</f>
        <v/>
      </c>
      <c r="O328" s="30" t="str">
        <f>IF(MAXIFS(BodyMapData_2!$E:$E,BodyMapData_2!$A:$A,Dashboard_2!$C$3,BodyMapData_2!$B:$B,$M328)=0,"",
MAXIFS(BodyMapData_2!$E:$E,BodyMapData_2!$A:$A,Dashboard_2!$C$3,BodyMapData_2!$B:$B,$M328))</f>
        <v/>
      </c>
    </row>
    <row r="329">
      <c r="N329" s="30" t="str">
        <f>IF(SUMIFS(BodyMapData_2!$E:$E,BodyMapData_2!$A:$A,Dashboard_2!$C$3,BodyMapData_2!$B:$B,$M329)=0,"",
SUMIFS(BodyMapData_2!$E:$E,BodyMapData_2!$A:$A,Dashboard_2!$C$3,BodyMapData_2!$B:$B,$M329))</f>
        <v/>
      </c>
      <c r="O329" s="30" t="str">
        <f>IF(MAXIFS(BodyMapData_2!$E:$E,BodyMapData_2!$A:$A,Dashboard_2!$C$3,BodyMapData_2!$B:$B,$M329)=0,"",
MAXIFS(BodyMapData_2!$E:$E,BodyMapData_2!$A:$A,Dashboard_2!$C$3,BodyMapData_2!$B:$B,$M329))</f>
        <v/>
      </c>
    </row>
    <row r="330">
      <c r="N330" s="30" t="str">
        <f>IF(SUMIFS(BodyMapData_2!$E:$E,BodyMapData_2!$A:$A,Dashboard_2!$C$3,BodyMapData_2!$B:$B,$M330)=0,"",
SUMIFS(BodyMapData_2!$E:$E,BodyMapData_2!$A:$A,Dashboard_2!$C$3,BodyMapData_2!$B:$B,$M330))</f>
        <v/>
      </c>
      <c r="O330" s="30" t="str">
        <f>IF(MAXIFS(BodyMapData_2!$E:$E,BodyMapData_2!$A:$A,Dashboard_2!$C$3,BodyMapData_2!$B:$B,$M330)=0,"",
MAXIFS(BodyMapData_2!$E:$E,BodyMapData_2!$A:$A,Dashboard_2!$C$3,BodyMapData_2!$B:$B,$M330))</f>
        <v/>
      </c>
    </row>
    <row r="331">
      <c r="N331" s="30" t="str">
        <f>IF(SUMIFS(BodyMapData_2!$E:$E,BodyMapData_2!$A:$A,Dashboard_2!$C$3,BodyMapData_2!$B:$B,$M331)=0,"",
SUMIFS(BodyMapData_2!$E:$E,BodyMapData_2!$A:$A,Dashboard_2!$C$3,BodyMapData_2!$B:$B,$M331))</f>
        <v/>
      </c>
      <c r="O331" s="30" t="str">
        <f>IF(MAXIFS(BodyMapData_2!$E:$E,BodyMapData_2!$A:$A,Dashboard_2!$C$3,BodyMapData_2!$B:$B,$M331)=0,"",
MAXIFS(BodyMapData_2!$E:$E,BodyMapData_2!$A:$A,Dashboard_2!$C$3,BodyMapData_2!$B:$B,$M331))</f>
        <v/>
      </c>
    </row>
    <row r="332">
      <c r="N332" s="30" t="str">
        <f>IF(SUMIFS(BodyMapData_2!$E:$E,BodyMapData_2!$A:$A,Dashboard_2!$C$3,BodyMapData_2!$B:$B,$M332)=0,"",
SUMIFS(BodyMapData_2!$E:$E,BodyMapData_2!$A:$A,Dashboard_2!$C$3,BodyMapData_2!$B:$B,$M332))</f>
        <v/>
      </c>
      <c r="O332" s="30" t="str">
        <f>IF(MAXIFS(BodyMapData_2!$E:$E,BodyMapData_2!$A:$A,Dashboard_2!$C$3,BodyMapData_2!$B:$B,$M332)=0,"",
MAXIFS(BodyMapData_2!$E:$E,BodyMapData_2!$A:$A,Dashboard_2!$C$3,BodyMapData_2!$B:$B,$M332))</f>
        <v/>
      </c>
    </row>
    <row r="333">
      <c r="N333" s="30" t="str">
        <f>IF(SUMIFS(BodyMapData_2!$E:$E,BodyMapData_2!$A:$A,Dashboard_2!$C$3,BodyMapData_2!$B:$B,$M333)=0,"",
SUMIFS(BodyMapData_2!$E:$E,BodyMapData_2!$A:$A,Dashboard_2!$C$3,BodyMapData_2!$B:$B,$M333))</f>
        <v/>
      </c>
      <c r="O333" s="30" t="str">
        <f>IF(MAXIFS(BodyMapData_2!$E:$E,BodyMapData_2!$A:$A,Dashboard_2!$C$3,BodyMapData_2!$B:$B,$M333)=0,"",
MAXIFS(BodyMapData_2!$E:$E,BodyMapData_2!$A:$A,Dashboard_2!$C$3,BodyMapData_2!$B:$B,$M333))</f>
        <v/>
      </c>
    </row>
    <row r="334">
      <c r="N334" s="30" t="str">
        <f>IF(SUMIFS(BodyMapData_2!$E:$E,BodyMapData_2!$A:$A,Dashboard_2!$C$3,BodyMapData_2!$B:$B,$M334)=0,"",
SUMIFS(BodyMapData_2!$E:$E,BodyMapData_2!$A:$A,Dashboard_2!$C$3,BodyMapData_2!$B:$B,$M334))</f>
        <v/>
      </c>
      <c r="O334" s="30" t="str">
        <f>IF(MAXIFS(BodyMapData_2!$E:$E,BodyMapData_2!$A:$A,Dashboard_2!$C$3,BodyMapData_2!$B:$B,$M334)=0,"",
MAXIFS(BodyMapData_2!$E:$E,BodyMapData_2!$A:$A,Dashboard_2!$C$3,BodyMapData_2!$B:$B,$M334))</f>
        <v/>
      </c>
    </row>
    <row r="335">
      <c r="N335" s="30" t="str">
        <f>IF(SUMIFS(BodyMapData_2!$E:$E,BodyMapData_2!$A:$A,Dashboard_2!$C$3,BodyMapData_2!$B:$B,$M335)=0,"",
SUMIFS(BodyMapData_2!$E:$E,BodyMapData_2!$A:$A,Dashboard_2!$C$3,BodyMapData_2!$B:$B,$M335))</f>
        <v/>
      </c>
      <c r="O335" s="30" t="str">
        <f>IF(MAXIFS(BodyMapData_2!$E:$E,BodyMapData_2!$A:$A,Dashboard_2!$C$3,BodyMapData_2!$B:$B,$M335)=0,"",
MAXIFS(BodyMapData_2!$E:$E,BodyMapData_2!$A:$A,Dashboard_2!$C$3,BodyMapData_2!$B:$B,$M335))</f>
        <v/>
      </c>
    </row>
    <row r="336">
      <c r="N336" s="30" t="str">
        <f>IF(SUMIFS(BodyMapData_2!$E:$E,BodyMapData_2!$A:$A,Dashboard_2!$C$3,BodyMapData_2!$B:$B,$M336)=0,"",
SUMIFS(BodyMapData_2!$E:$E,BodyMapData_2!$A:$A,Dashboard_2!$C$3,BodyMapData_2!$B:$B,$M336))</f>
        <v/>
      </c>
      <c r="O336" s="30" t="str">
        <f>IF(MAXIFS(BodyMapData_2!$E:$E,BodyMapData_2!$A:$A,Dashboard_2!$C$3,BodyMapData_2!$B:$B,$M336)=0,"",
MAXIFS(BodyMapData_2!$E:$E,BodyMapData_2!$A:$A,Dashboard_2!$C$3,BodyMapData_2!$B:$B,$M336))</f>
        <v/>
      </c>
    </row>
    <row r="337">
      <c r="N337" s="30" t="str">
        <f>IF(SUMIFS(BodyMapData_2!$E:$E,BodyMapData_2!$A:$A,Dashboard_2!$C$3,BodyMapData_2!$B:$B,$M337)=0,"",
SUMIFS(BodyMapData_2!$E:$E,BodyMapData_2!$A:$A,Dashboard_2!$C$3,BodyMapData_2!$B:$B,$M337))</f>
        <v/>
      </c>
      <c r="O337" s="30" t="str">
        <f>IF(MAXIFS(BodyMapData_2!$E:$E,BodyMapData_2!$A:$A,Dashboard_2!$C$3,BodyMapData_2!$B:$B,$M337)=0,"",
MAXIFS(BodyMapData_2!$E:$E,BodyMapData_2!$A:$A,Dashboard_2!$C$3,BodyMapData_2!$B:$B,$M337))</f>
        <v/>
      </c>
    </row>
    <row r="338">
      <c r="N338" s="30" t="str">
        <f>IF(SUMIFS(BodyMapData_2!$E:$E,BodyMapData_2!$A:$A,Dashboard_2!$C$3,BodyMapData_2!$B:$B,$M338)=0,"",
SUMIFS(BodyMapData_2!$E:$E,BodyMapData_2!$A:$A,Dashboard_2!$C$3,BodyMapData_2!$B:$B,$M338))</f>
        <v/>
      </c>
      <c r="O338" s="30" t="str">
        <f>IF(MAXIFS(BodyMapData_2!$E:$E,BodyMapData_2!$A:$A,Dashboard_2!$C$3,BodyMapData_2!$B:$B,$M338)=0,"",
MAXIFS(BodyMapData_2!$E:$E,BodyMapData_2!$A:$A,Dashboard_2!$C$3,BodyMapData_2!$B:$B,$M338))</f>
        <v/>
      </c>
    </row>
    <row r="339">
      <c r="N339" s="30" t="str">
        <f>IF(SUMIFS(BodyMapData_2!$E:$E,BodyMapData_2!$A:$A,Dashboard_2!$C$3,BodyMapData_2!$B:$B,$M339)=0,"",
SUMIFS(BodyMapData_2!$E:$E,BodyMapData_2!$A:$A,Dashboard_2!$C$3,BodyMapData_2!$B:$B,$M339))</f>
        <v/>
      </c>
      <c r="O339" s="30" t="str">
        <f>IF(MAXIFS(BodyMapData_2!$E:$E,BodyMapData_2!$A:$A,Dashboard_2!$C$3,BodyMapData_2!$B:$B,$M339)=0,"",
MAXIFS(BodyMapData_2!$E:$E,BodyMapData_2!$A:$A,Dashboard_2!$C$3,BodyMapData_2!$B:$B,$M339))</f>
        <v/>
      </c>
    </row>
    <row r="340">
      <c r="N340" s="30" t="str">
        <f>IF(SUMIFS(BodyMapData_2!$E:$E,BodyMapData_2!$A:$A,Dashboard_2!$C$3,BodyMapData_2!$B:$B,$M340)=0,"",
SUMIFS(BodyMapData_2!$E:$E,BodyMapData_2!$A:$A,Dashboard_2!$C$3,BodyMapData_2!$B:$B,$M340))</f>
        <v/>
      </c>
      <c r="O340" s="30" t="str">
        <f>IF(MAXIFS(BodyMapData_2!$E:$E,BodyMapData_2!$A:$A,Dashboard_2!$C$3,BodyMapData_2!$B:$B,$M340)=0,"",
MAXIFS(BodyMapData_2!$E:$E,BodyMapData_2!$A:$A,Dashboard_2!$C$3,BodyMapData_2!$B:$B,$M340))</f>
        <v/>
      </c>
    </row>
    <row r="341">
      <c r="N341" s="30" t="str">
        <f>IF(SUMIFS(BodyMapData_2!$E:$E,BodyMapData_2!$A:$A,Dashboard_2!$C$3,BodyMapData_2!$B:$B,$M341)=0,"",
SUMIFS(BodyMapData_2!$E:$E,BodyMapData_2!$A:$A,Dashboard_2!$C$3,BodyMapData_2!$B:$B,$M341))</f>
        <v/>
      </c>
      <c r="O341" s="30" t="str">
        <f>IF(MAXIFS(BodyMapData_2!$E:$E,BodyMapData_2!$A:$A,Dashboard_2!$C$3,BodyMapData_2!$B:$B,$M341)=0,"",
MAXIFS(BodyMapData_2!$E:$E,BodyMapData_2!$A:$A,Dashboard_2!$C$3,BodyMapData_2!$B:$B,$M341))</f>
        <v/>
      </c>
    </row>
    <row r="342">
      <c r="N342" s="30" t="str">
        <f>IF(SUMIFS(BodyMapData_2!$E:$E,BodyMapData_2!$A:$A,Dashboard_2!$C$3,BodyMapData_2!$B:$B,$M342)=0,"",
SUMIFS(BodyMapData_2!$E:$E,BodyMapData_2!$A:$A,Dashboard_2!$C$3,BodyMapData_2!$B:$B,$M342))</f>
        <v/>
      </c>
      <c r="O342" s="30" t="str">
        <f>IF(MAXIFS(BodyMapData_2!$E:$E,BodyMapData_2!$A:$A,Dashboard_2!$C$3,BodyMapData_2!$B:$B,$M342)=0,"",
MAXIFS(BodyMapData_2!$E:$E,BodyMapData_2!$A:$A,Dashboard_2!$C$3,BodyMapData_2!$B:$B,$M342))</f>
        <v/>
      </c>
    </row>
    <row r="343">
      <c r="N343" s="30" t="str">
        <f>IF(SUMIFS(BodyMapData_2!$E:$E,BodyMapData_2!$A:$A,Dashboard_2!$C$3,BodyMapData_2!$B:$B,$M343)=0,"",
SUMIFS(BodyMapData_2!$E:$E,BodyMapData_2!$A:$A,Dashboard_2!$C$3,BodyMapData_2!$B:$B,$M343))</f>
        <v/>
      </c>
      <c r="O343" s="30" t="str">
        <f>IF(MAXIFS(BodyMapData_2!$E:$E,BodyMapData_2!$A:$A,Dashboard_2!$C$3,BodyMapData_2!$B:$B,$M343)=0,"",
MAXIFS(BodyMapData_2!$E:$E,BodyMapData_2!$A:$A,Dashboard_2!$C$3,BodyMapData_2!$B:$B,$M343))</f>
        <v/>
      </c>
    </row>
    <row r="344">
      <c r="N344" s="30" t="str">
        <f>IF(SUMIFS(BodyMapData_2!$E:$E,BodyMapData_2!$A:$A,Dashboard_2!$C$3,BodyMapData_2!$B:$B,$M344)=0,"",
SUMIFS(BodyMapData_2!$E:$E,BodyMapData_2!$A:$A,Dashboard_2!$C$3,BodyMapData_2!$B:$B,$M344))</f>
        <v/>
      </c>
      <c r="O344" s="30" t="str">
        <f>IF(MAXIFS(BodyMapData_2!$E:$E,BodyMapData_2!$A:$A,Dashboard_2!$C$3,BodyMapData_2!$B:$B,$M344)=0,"",
MAXIFS(BodyMapData_2!$E:$E,BodyMapData_2!$A:$A,Dashboard_2!$C$3,BodyMapData_2!$B:$B,$M344))</f>
        <v/>
      </c>
    </row>
    <row r="345">
      <c r="N345" s="30" t="str">
        <f>IF(SUMIFS(BodyMapData_2!$E:$E,BodyMapData_2!$A:$A,Dashboard_2!$C$3,BodyMapData_2!$B:$B,$M345)=0,"",
SUMIFS(BodyMapData_2!$E:$E,BodyMapData_2!$A:$A,Dashboard_2!$C$3,BodyMapData_2!$B:$B,$M345))</f>
        <v/>
      </c>
      <c r="O345" s="30" t="str">
        <f>IF(MAXIFS(BodyMapData_2!$E:$E,BodyMapData_2!$A:$A,Dashboard_2!$C$3,BodyMapData_2!$B:$B,$M345)=0,"",
MAXIFS(BodyMapData_2!$E:$E,BodyMapData_2!$A:$A,Dashboard_2!$C$3,BodyMapData_2!$B:$B,$M345))</f>
        <v/>
      </c>
    </row>
    <row r="346">
      <c r="N346" s="30" t="str">
        <f>IF(SUMIFS(BodyMapData_2!$E:$E,BodyMapData_2!$A:$A,Dashboard_2!$C$3,BodyMapData_2!$B:$B,$M346)=0,"",
SUMIFS(BodyMapData_2!$E:$E,BodyMapData_2!$A:$A,Dashboard_2!$C$3,BodyMapData_2!$B:$B,$M346))</f>
        <v/>
      </c>
      <c r="O346" s="30" t="str">
        <f>IF(MAXIFS(BodyMapData_2!$E:$E,BodyMapData_2!$A:$A,Dashboard_2!$C$3,BodyMapData_2!$B:$B,$M346)=0,"",
MAXIFS(BodyMapData_2!$E:$E,BodyMapData_2!$A:$A,Dashboard_2!$C$3,BodyMapData_2!$B:$B,$M346))</f>
        <v/>
      </c>
    </row>
    <row r="347">
      <c r="N347" s="30" t="str">
        <f>IF(SUMIFS(BodyMapData_2!$E:$E,BodyMapData_2!$A:$A,Dashboard_2!$C$3,BodyMapData_2!$B:$B,$M347)=0,"",
SUMIFS(BodyMapData_2!$E:$E,BodyMapData_2!$A:$A,Dashboard_2!$C$3,BodyMapData_2!$B:$B,$M347))</f>
        <v/>
      </c>
      <c r="O347" s="30" t="str">
        <f>IF(MAXIFS(BodyMapData_2!$E:$E,BodyMapData_2!$A:$A,Dashboard_2!$C$3,BodyMapData_2!$B:$B,$M347)=0,"",
MAXIFS(BodyMapData_2!$E:$E,BodyMapData_2!$A:$A,Dashboard_2!$C$3,BodyMapData_2!$B:$B,$M347))</f>
        <v/>
      </c>
    </row>
    <row r="348">
      <c r="N348" s="30" t="str">
        <f>IF(SUMIFS(BodyMapData_2!$E:$E,BodyMapData_2!$A:$A,Dashboard_2!$C$3,BodyMapData_2!$B:$B,$M348)=0,"",
SUMIFS(BodyMapData_2!$E:$E,BodyMapData_2!$A:$A,Dashboard_2!$C$3,BodyMapData_2!$B:$B,$M348))</f>
        <v/>
      </c>
      <c r="O348" s="30" t="str">
        <f>IF(MAXIFS(BodyMapData_2!$E:$E,BodyMapData_2!$A:$A,Dashboard_2!$C$3,BodyMapData_2!$B:$B,$M348)=0,"",
MAXIFS(BodyMapData_2!$E:$E,BodyMapData_2!$A:$A,Dashboard_2!$C$3,BodyMapData_2!$B:$B,$M348))</f>
        <v/>
      </c>
    </row>
    <row r="349">
      <c r="N349" s="30" t="str">
        <f>IF(SUMIFS(BodyMapData_2!$E:$E,BodyMapData_2!$A:$A,Dashboard_2!$C$3,BodyMapData_2!$B:$B,$M349)=0,"",
SUMIFS(BodyMapData_2!$E:$E,BodyMapData_2!$A:$A,Dashboard_2!$C$3,BodyMapData_2!$B:$B,$M349))</f>
        <v/>
      </c>
      <c r="O349" s="30" t="str">
        <f>IF(MAXIFS(BodyMapData_2!$E:$E,BodyMapData_2!$A:$A,Dashboard_2!$C$3,BodyMapData_2!$B:$B,$M349)=0,"",
MAXIFS(BodyMapData_2!$E:$E,BodyMapData_2!$A:$A,Dashboard_2!$C$3,BodyMapData_2!$B:$B,$M349))</f>
        <v/>
      </c>
    </row>
    <row r="350">
      <c r="N350" s="30" t="str">
        <f>IF(SUMIFS(BodyMapData_2!$E:$E,BodyMapData_2!$A:$A,Dashboard_2!$C$3,BodyMapData_2!$B:$B,$M350)=0,"",
SUMIFS(BodyMapData_2!$E:$E,BodyMapData_2!$A:$A,Dashboard_2!$C$3,BodyMapData_2!$B:$B,$M350))</f>
        <v/>
      </c>
      <c r="O350" s="30" t="str">
        <f>IF(MAXIFS(BodyMapData_2!$E:$E,BodyMapData_2!$A:$A,Dashboard_2!$C$3,BodyMapData_2!$B:$B,$M350)=0,"",
MAXIFS(BodyMapData_2!$E:$E,BodyMapData_2!$A:$A,Dashboard_2!$C$3,BodyMapData_2!$B:$B,$M350))</f>
        <v/>
      </c>
    </row>
    <row r="351">
      <c r="N351" s="30" t="str">
        <f>IF(SUMIFS(BodyMapData_2!$E:$E,BodyMapData_2!$A:$A,Dashboard_2!$C$3,BodyMapData_2!$B:$B,$M351)=0,"",
SUMIFS(BodyMapData_2!$E:$E,BodyMapData_2!$A:$A,Dashboard_2!$C$3,BodyMapData_2!$B:$B,$M351))</f>
        <v/>
      </c>
      <c r="O351" s="30" t="str">
        <f>IF(MAXIFS(BodyMapData_2!$E:$E,BodyMapData_2!$A:$A,Dashboard_2!$C$3,BodyMapData_2!$B:$B,$M351)=0,"",
MAXIFS(BodyMapData_2!$E:$E,BodyMapData_2!$A:$A,Dashboard_2!$C$3,BodyMapData_2!$B:$B,$M351))</f>
        <v/>
      </c>
    </row>
    <row r="352">
      <c r="N352" s="30" t="str">
        <f>IF(SUMIFS(BodyMapData_2!$E:$E,BodyMapData_2!$A:$A,Dashboard_2!$C$3,BodyMapData_2!$B:$B,$M352)=0,"",
SUMIFS(BodyMapData_2!$E:$E,BodyMapData_2!$A:$A,Dashboard_2!$C$3,BodyMapData_2!$B:$B,$M352))</f>
        <v/>
      </c>
      <c r="O352" s="30" t="str">
        <f>IF(MAXIFS(BodyMapData_2!$E:$E,BodyMapData_2!$A:$A,Dashboard_2!$C$3,BodyMapData_2!$B:$B,$M352)=0,"",
MAXIFS(BodyMapData_2!$E:$E,BodyMapData_2!$A:$A,Dashboard_2!$C$3,BodyMapData_2!$B:$B,$M352))</f>
        <v/>
      </c>
    </row>
    <row r="353">
      <c r="N353" s="30" t="str">
        <f>IF(SUMIFS(BodyMapData_2!$E:$E,BodyMapData_2!$A:$A,Dashboard_2!$C$3,BodyMapData_2!$B:$B,$M353)=0,"",
SUMIFS(BodyMapData_2!$E:$E,BodyMapData_2!$A:$A,Dashboard_2!$C$3,BodyMapData_2!$B:$B,$M353))</f>
        <v/>
      </c>
      <c r="O353" s="30" t="str">
        <f>IF(MAXIFS(BodyMapData_2!$E:$E,BodyMapData_2!$A:$A,Dashboard_2!$C$3,BodyMapData_2!$B:$B,$M353)=0,"",
MAXIFS(BodyMapData_2!$E:$E,BodyMapData_2!$A:$A,Dashboard_2!$C$3,BodyMapData_2!$B:$B,$M353))</f>
        <v/>
      </c>
    </row>
    <row r="354">
      <c r="N354" s="30" t="str">
        <f>IF(SUMIFS(BodyMapData_2!$E:$E,BodyMapData_2!$A:$A,Dashboard_2!$C$3,BodyMapData_2!$B:$B,$M354)=0,"",
SUMIFS(BodyMapData_2!$E:$E,BodyMapData_2!$A:$A,Dashboard_2!$C$3,BodyMapData_2!$B:$B,$M354))</f>
        <v/>
      </c>
      <c r="O354" s="30" t="str">
        <f>IF(MAXIFS(BodyMapData_2!$E:$E,BodyMapData_2!$A:$A,Dashboard_2!$C$3,BodyMapData_2!$B:$B,$M354)=0,"",
MAXIFS(BodyMapData_2!$E:$E,BodyMapData_2!$A:$A,Dashboard_2!$C$3,BodyMapData_2!$B:$B,$M354))</f>
        <v/>
      </c>
    </row>
    <row r="355">
      <c r="N355" s="30" t="str">
        <f>IF(SUMIFS(BodyMapData_2!$E:$E,BodyMapData_2!$A:$A,Dashboard_2!$C$3,BodyMapData_2!$B:$B,$M355)=0,"",
SUMIFS(BodyMapData_2!$E:$E,BodyMapData_2!$A:$A,Dashboard_2!$C$3,BodyMapData_2!$B:$B,$M355))</f>
        <v/>
      </c>
      <c r="O355" s="30" t="str">
        <f>IF(MAXIFS(BodyMapData_2!$E:$E,BodyMapData_2!$A:$A,Dashboard_2!$C$3,BodyMapData_2!$B:$B,$M355)=0,"",
MAXIFS(BodyMapData_2!$E:$E,BodyMapData_2!$A:$A,Dashboard_2!$C$3,BodyMapData_2!$B:$B,$M355))</f>
        <v/>
      </c>
    </row>
    <row r="356">
      <c r="N356" s="30" t="str">
        <f>IF(SUMIFS(BodyMapData_2!$E:$E,BodyMapData_2!$A:$A,Dashboard_2!$C$3,BodyMapData_2!$B:$B,$M356)=0,"",
SUMIFS(BodyMapData_2!$E:$E,BodyMapData_2!$A:$A,Dashboard_2!$C$3,BodyMapData_2!$B:$B,$M356))</f>
        <v/>
      </c>
      <c r="O356" s="30" t="str">
        <f>IF(MAXIFS(BodyMapData_2!$E:$E,BodyMapData_2!$A:$A,Dashboard_2!$C$3,BodyMapData_2!$B:$B,$M356)=0,"",
MAXIFS(BodyMapData_2!$E:$E,BodyMapData_2!$A:$A,Dashboard_2!$C$3,BodyMapData_2!$B:$B,$M356))</f>
        <v/>
      </c>
    </row>
    <row r="357">
      <c r="N357" s="30" t="str">
        <f>IF(SUMIFS(BodyMapData_2!$E:$E,BodyMapData_2!$A:$A,Dashboard_2!$C$3,BodyMapData_2!$B:$B,$M357)=0,"",
SUMIFS(BodyMapData_2!$E:$E,BodyMapData_2!$A:$A,Dashboard_2!$C$3,BodyMapData_2!$B:$B,$M357))</f>
        <v/>
      </c>
      <c r="O357" s="30" t="str">
        <f>IF(MAXIFS(BodyMapData_2!$E:$E,BodyMapData_2!$A:$A,Dashboard_2!$C$3,BodyMapData_2!$B:$B,$M357)=0,"",
MAXIFS(BodyMapData_2!$E:$E,BodyMapData_2!$A:$A,Dashboard_2!$C$3,BodyMapData_2!$B:$B,$M357))</f>
        <v/>
      </c>
    </row>
    <row r="358">
      <c r="N358" s="30" t="str">
        <f>IF(SUMIFS(BodyMapData_2!$E:$E,BodyMapData_2!$A:$A,Dashboard_2!$C$3,BodyMapData_2!$B:$B,$M358)=0,"",
SUMIFS(BodyMapData_2!$E:$E,BodyMapData_2!$A:$A,Dashboard_2!$C$3,BodyMapData_2!$B:$B,$M358))</f>
        <v/>
      </c>
      <c r="O358" s="30" t="str">
        <f>IF(MAXIFS(BodyMapData_2!$E:$E,BodyMapData_2!$A:$A,Dashboard_2!$C$3,BodyMapData_2!$B:$B,$M358)=0,"",
MAXIFS(BodyMapData_2!$E:$E,BodyMapData_2!$A:$A,Dashboard_2!$C$3,BodyMapData_2!$B:$B,$M358))</f>
        <v/>
      </c>
    </row>
    <row r="359">
      <c r="N359" s="30" t="str">
        <f>IF(SUMIFS(BodyMapData_2!$E:$E,BodyMapData_2!$A:$A,Dashboard_2!$C$3,BodyMapData_2!$B:$B,$M359)=0,"",
SUMIFS(BodyMapData_2!$E:$E,BodyMapData_2!$A:$A,Dashboard_2!$C$3,BodyMapData_2!$B:$B,$M359))</f>
        <v/>
      </c>
      <c r="O359" s="30" t="str">
        <f>IF(MAXIFS(BodyMapData_2!$E:$E,BodyMapData_2!$A:$A,Dashboard_2!$C$3,BodyMapData_2!$B:$B,$M359)=0,"",
MAXIFS(BodyMapData_2!$E:$E,BodyMapData_2!$A:$A,Dashboard_2!$C$3,BodyMapData_2!$B:$B,$M359))</f>
        <v/>
      </c>
    </row>
    <row r="360">
      <c r="N360" s="30" t="str">
        <f>IF(SUMIFS(BodyMapData_2!$E:$E,BodyMapData_2!$A:$A,Dashboard_2!$C$3,BodyMapData_2!$B:$B,$M360)=0,"",
SUMIFS(BodyMapData_2!$E:$E,BodyMapData_2!$A:$A,Dashboard_2!$C$3,BodyMapData_2!$B:$B,$M360))</f>
        <v/>
      </c>
      <c r="O360" s="30" t="str">
        <f>IF(MAXIFS(BodyMapData_2!$E:$E,BodyMapData_2!$A:$A,Dashboard_2!$C$3,BodyMapData_2!$B:$B,$M360)=0,"",
MAXIFS(BodyMapData_2!$E:$E,BodyMapData_2!$A:$A,Dashboard_2!$C$3,BodyMapData_2!$B:$B,$M360))</f>
        <v/>
      </c>
    </row>
    <row r="361">
      <c r="N361" s="30" t="str">
        <f>IF(SUMIFS(BodyMapData_2!$E:$E,BodyMapData_2!$A:$A,Dashboard_2!$C$3,BodyMapData_2!$B:$B,$M361)=0,"",
SUMIFS(BodyMapData_2!$E:$E,BodyMapData_2!$A:$A,Dashboard_2!$C$3,BodyMapData_2!$B:$B,$M361))</f>
        <v/>
      </c>
      <c r="O361" s="30" t="str">
        <f>IF(MAXIFS(BodyMapData_2!$E:$E,BodyMapData_2!$A:$A,Dashboard_2!$C$3,BodyMapData_2!$B:$B,$M361)=0,"",
MAXIFS(BodyMapData_2!$E:$E,BodyMapData_2!$A:$A,Dashboard_2!$C$3,BodyMapData_2!$B:$B,$M361))</f>
        <v/>
      </c>
    </row>
    <row r="362">
      <c r="N362" s="30" t="str">
        <f>IF(SUMIFS(BodyMapData_2!$E:$E,BodyMapData_2!$A:$A,Dashboard_2!$C$3,BodyMapData_2!$B:$B,$M362)=0,"",
SUMIFS(BodyMapData_2!$E:$E,BodyMapData_2!$A:$A,Dashboard_2!$C$3,BodyMapData_2!$B:$B,$M362))</f>
        <v/>
      </c>
      <c r="O362" s="30" t="str">
        <f>IF(MAXIFS(BodyMapData_2!$E:$E,BodyMapData_2!$A:$A,Dashboard_2!$C$3,BodyMapData_2!$B:$B,$M362)=0,"",
MAXIFS(BodyMapData_2!$E:$E,BodyMapData_2!$A:$A,Dashboard_2!$C$3,BodyMapData_2!$B:$B,$M362))</f>
        <v/>
      </c>
    </row>
    <row r="363">
      <c r="O363" s="30" t="str">
        <f>IF(MAXIFS(BodyMapData_2!$E:$E,BodyMapData_2!$A:$A,Dashboard_2!$C$3,BodyMapData_2!$B:$B,$M363)=0,"",
MAXIFS(BodyMapData_2!$E:$E,BodyMapData_2!$A:$A,Dashboard_2!$C$3,BodyMapData_2!$B:$B,$M363))</f>
        <v/>
      </c>
    </row>
    <row r="364">
      <c r="O364" s="30" t="str">
        <f>IF(MAXIFS(BodyMapData_2!$E:$E,BodyMapData_2!$A:$A,Dashboard_2!$C$3,BodyMapData_2!$B:$B,$M364)=0,"",
MAXIFS(BodyMapData_2!$E:$E,BodyMapData_2!$A:$A,Dashboard_2!$C$3,BodyMapData_2!$B:$B,$M364))</f>
        <v/>
      </c>
    </row>
    <row r="365">
      <c r="O365" s="30" t="str">
        <f>IF(MAXIFS(BodyMapData_2!$E:$E,BodyMapData_2!$A:$A,Dashboard_2!$C$3,BodyMapData_2!$B:$B,$M365)=0,"",
MAXIFS(BodyMapData_2!$E:$E,BodyMapData_2!$A:$A,Dashboard_2!$C$3,BodyMapData_2!$B:$B,$M365))</f>
        <v/>
      </c>
    </row>
    <row r="366">
      <c r="O366" s="30" t="str">
        <f>IF(MAXIFS(BodyMapData_2!$E:$E,BodyMapData_2!$A:$A,Dashboard_2!$C$3,BodyMapData_2!$B:$B,$M366)=0,"",
MAXIFS(BodyMapData_2!$E:$E,BodyMapData_2!$A:$A,Dashboard_2!$C$3,BodyMapData_2!$B:$B,$M366))</f>
        <v/>
      </c>
    </row>
    <row r="367">
      <c r="O367" s="30" t="str">
        <f>IF(MAXIFS(BodyMapData_2!$E:$E,BodyMapData_2!$A:$A,Dashboard_2!$C$3,BodyMapData_2!$B:$B,$M367)=0,"",
MAXIFS(BodyMapData_2!$E:$E,BodyMapData_2!$A:$A,Dashboard_2!$C$3,BodyMapData_2!$B:$B,$M367))</f>
        <v/>
      </c>
    </row>
    <row r="368">
      <c r="O368" s="30" t="str">
        <f>IF(MAXIFS(BodyMapData_2!$E:$E,BodyMapData_2!$A:$A,Dashboard_2!$C$3,BodyMapData_2!$B:$B,$M368)=0,"",
MAXIFS(BodyMapData_2!$E:$E,BodyMapData_2!$A:$A,Dashboard_2!$C$3,BodyMapData_2!$B:$B,$M368))</f>
        <v/>
      </c>
    </row>
    <row r="369">
      <c r="O369" s="30" t="str">
        <f>IF(MAXIFS(BodyMapData_2!$E:$E,BodyMapData_2!$A:$A,Dashboard_2!$C$3,BodyMapData_2!$B:$B,$M369)=0,"",
MAXIFS(BodyMapData_2!$E:$E,BodyMapData_2!$A:$A,Dashboard_2!$C$3,BodyMapData_2!$B:$B,$M369))</f>
        <v/>
      </c>
    </row>
    <row r="370">
      <c r="O370" s="30" t="str">
        <f>IF(MAXIFS(BodyMapData_2!$E:$E,BodyMapData_2!$A:$A,Dashboard_2!$C$3,BodyMapData_2!$B:$B,$M370)=0,"",
MAXIFS(BodyMapData_2!$E:$E,BodyMapData_2!$A:$A,Dashboard_2!$C$3,BodyMapData_2!$B:$B,$M370))</f>
        <v/>
      </c>
    </row>
    <row r="371">
      <c r="O371" s="30" t="str">
        <f>IF(MAXIFS(BodyMapData_2!$E:$E,BodyMapData_2!$A:$A,Dashboard_2!$C$3,BodyMapData_2!$B:$B,$M371)=0,"",
MAXIFS(BodyMapData_2!$E:$E,BodyMapData_2!$A:$A,Dashboard_2!$C$3,BodyMapData_2!$B:$B,$M371))</f>
        <v/>
      </c>
    </row>
    <row r="372">
      <c r="O372" s="30" t="str">
        <f>IF(MAXIFS(BodyMapData_2!$E:$E,BodyMapData_2!$A:$A,Dashboard_2!$C$3,BodyMapData_2!$B:$B,$M372)=0,"",
MAXIFS(BodyMapData_2!$E:$E,BodyMapData_2!$A:$A,Dashboard_2!$C$3,BodyMapData_2!$B:$B,$M372))</f>
        <v/>
      </c>
    </row>
    <row r="373">
      <c r="O373" s="30" t="str">
        <f>IF(MAXIFS(BodyMapData_2!$E:$E,BodyMapData_2!$A:$A,Dashboard_2!$C$3,BodyMapData_2!$B:$B,$M373)=0,"",
MAXIFS(BodyMapData_2!$E:$E,BodyMapData_2!$A:$A,Dashboard_2!$C$3,BodyMapData_2!$B:$B,$M373))</f>
        <v/>
      </c>
    </row>
    <row r="374">
      <c r="O374" s="30" t="str">
        <f>IF(MAXIFS(BodyMapData_2!$E:$E,BodyMapData_2!$A:$A,Dashboard_2!$C$3,BodyMapData_2!$B:$B,$M374)=0,"",
MAXIFS(BodyMapData_2!$E:$E,BodyMapData_2!$A:$A,Dashboard_2!$C$3,BodyMapData_2!$B:$B,$M374))</f>
        <v/>
      </c>
    </row>
    <row r="375">
      <c r="O375" s="30" t="str">
        <f>IF(MAXIFS(BodyMapData_2!$E:$E,BodyMapData_2!$A:$A,Dashboard_2!$C$3,BodyMapData_2!$B:$B,$M375)=0,"",
MAXIFS(BodyMapData_2!$E:$E,BodyMapData_2!$A:$A,Dashboard_2!$C$3,BodyMapData_2!$B:$B,$M375))</f>
        <v/>
      </c>
    </row>
    <row r="376">
      <c r="O376" s="30" t="str">
        <f>IF(MAXIFS(BodyMapData_2!$E:$E,BodyMapData_2!$A:$A,Dashboard_2!$C$3,BodyMapData_2!$B:$B,$M376)=0,"",
MAXIFS(BodyMapData_2!$E:$E,BodyMapData_2!$A:$A,Dashboard_2!$C$3,BodyMapData_2!$B:$B,$M376))</f>
        <v/>
      </c>
    </row>
    <row r="377">
      <c r="O377" s="30" t="str">
        <f>IF(MAXIFS(BodyMapData_2!$E:$E,BodyMapData_2!$A:$A,Dashboard_2!$C$3,BodyMapData_2!$B:$B,$M377)=0,"",
MAXIFS(BodyMapData_2!$E:$E,BodyMapData_2!$A:$A,Dashboard_2!$C$3,BodyMapData_2!$B:$B,$M377))</f>
        <v/>
      </c>
    </row>
    <row r="378">
      <c r="O378" s="30" t="str">
        <f>IF(MAXIFS(BodyMapData_2!$E:$E,BodyMapData_2!$A:$A,Dashboard_2!$C$3,BodyMapData_2!$B:$B,$M378)=0,"",
MAXIFS(BodyMapData_2!$E:$E,BodyMapData_2!$A:$A,Dashboard_2!$C$3,BodyMapData_2!$B:$B,$M378))</f>
        <v/>
      </c>
    </row>
    <row r="379">
      <c r="O379" s="30" t="str">
        <f>IF(MAXIFS(BodyMapData_2!$E:$E,BodyMapData_2!$A:$A,Dashboard_2!$C$3,BodyMapData_2!$B:$B,$M379)=0,"",
MAXIFS(BodyMapData_2!$E:$E,BodyMapData_2!$A:$A,Dashboard_2!$C$3,BodyMapData_2!$B:$B,$M379))</f>
        <v/>
      </c>
    </row>
    <row r="380">
      <c r="O380" s="30" t="str">
        <f>IF(MAXIFS(BodyMapData_2!$E:$E,BodyMapData_2!$A:$A,Dashboard_2!$C$3,BodyMapData_2!$B:$B,$M380)=0,"",
MAXIFS(BodyMapData_2!$E:$E,BodyMapData_2!$A:$A,Dashboard_2!$C$3,BodyMapData_2!$B:$B,$M380))</f>
        <v/>
      </c>
    </row>
    <row r="381">
      <c r="O381" s="30" t="str">
        <f>IF(MAXIFS(BodyMapData_2!$E:$E,BodyMapData_2!$A:$A,Dashboard_2!$C$3,BodyMapData_2!$B:$B,$M381)=0,"",
MAXIFS(BodyMapData_2!$E:$E,BodyMapData_2!$A:$A,Dashboard_2!$C$3,BodyMapData_2!$B:$B,$M381))</f>
        <v/>
      </c>
    </row>
    <row r="382">
      <c r="O382" s="30" t="str">
        <f>IF(MAXIFS(BodyMapData_2!$E:$E,BodyMapData_2!$A:$A,Dashboard_2!$C$3,BodyMapData_2!$B:$B,$M382)=0,"",
MAXIFS(BodyMapData_2!$E:$E,BodyMapData_2!$A:$A,Dashboard_2!$C$3,BodyMapData_2!$B:$B,$M382))</f>
        <v/>
      </c>
    </row>
    <row r="383">
      <c r="O383" s="30" t="str">
        <f>IF(MAXIFS(BodyMapData_2!$E:$E,BodyMapData_2!$A:$A,Dashboard_2!$C$3,BodyMapData_2!$B:$B,$M383)=0,"",
MAXIFS(BodyMapData_2!$E:$E,BodyMapData_2!$A:$A,Dashboard_2!$C$3,BodyMapData_2!$B:$B,$M383))</f>
        <v/>
      </c>
    </row>
    <row r="384">
      <c r="O384" s="30" t="str">
        <f>IF(MAXIFS(BodyMapData_2!$E:$E,BodyMapData_2!$A:$A,Dashboard_2!$C$3,BodyMapData_2!$B:$B,$M384)=0,"",
MAXIFS(BodyMapData_2!$E:$E,BodyMapData_2!$A:$A,Dashboard_2!$C$3,BodyMapData_2!$B:$B,$M384))</f>
        <v/>
      </c>
    </row>
    <row r="385">
      <c r="O385" s="30" t="str">
        <f>IF(MAXIFS(BodyMapData_2!$E:$E,BodyMapData_2!$A:$A,Dashboard_2!$C$3,BodyMapData_2!$B:$B,$M385)=0,"",
MAXIFS(BodyMapData_2!$E:$E,BodyMapData_2!$A:$A,Dashboard_2!$C$3,BodyMapData_2!$B:$B,$M385))</f>
        <v/>
      </c>
    </row>
    <row r="386">
      <c r="O386" s="30" t="str">
        <f>IF(MAXIFS(BodyMapData_2!$E:$E,BodyMapData_2!$A:$A,Dashboard_2!$C$3,BodyMapData_2!$B:$B,$M386)=0,"",
MAXIFS(BodyMapData_2!$E:$E,BodyMapData_2!$A:$A,Dashboard_2!$C$3,BodyMapData_2!$B:$B,$M386))</f>
        <v/>
      </c>
    </row>
  </sheetData>
  <mergeCells count="1">
    <mergeCell ref="A2:D1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26" t="s">
        <v>71</v>
      </c>
      <c r="B3" s="26" t="s">
        <v>54</v>
      </c>
    </row>
    <row r="4">
      <c r="A4" s="26" t="s">
        <v>72</v>
      </c>
      <c r="B4" s="27">
        <v>43922.0</v>
      </c>
      <c r="E4" s="29"/>
    </row>
    <row r="6">
      <c r="A6" s="32" t="str">
        <f>IFERROR(__xludf.DUMMYFUNCTION("FILTER(XYs_1!F:F,XYs_1!I:I&gt;0)"),"Part")</f>
        <v>Part</v>
      </c>
      <c r="B6" s="32" t="str">
        <f>IFERROR(__xludf.DUMMYFUNCTION("FILTER(XYs_1!I:I,XYs_1!I:I&gt;0)"),"Athlete Value")</f>
        <v>Athlete Value</v>
      </c>
    </row>
    <row r="7">
      <c r="A7" s="33" t="str">
        <f>IFERROR(__xludf.DUMMYFUNCTION("""COMPUTED_VALUE"""),"Head")</f>
        <v>Head</v>
      </c>
      <c r="B7" s="33">
        <f>IFERROR(__xludf.DUMMYFUNCTION("""COMPUTED_VALUE"""),1.0)</f>
        <v>1</v>
      </c>
    </row>
    <row r="8">
      <c r="A8" s="33" t="str">
        <f>IFERROR(__xludf.DUMMYFUNCTION("""COMPUTED_VALUE"""),"R_ArmLower")</f>
        <v>R_ArmLower</v>
      </c>
      <c r="B8" s="33">
        <f>IFERROR(__xludf.DUMMYFUNCTION("""COMPUTED_VALUE"""),4.0)</f>
        <v>4</v>
      </c>
    </row>
    <row r="9">
      <c r="A9" s="33" t="str">
        <f>IFERROR(__xludf.DUMMYFUNCTION("""COMPUTED_VALUE"""),"R_Calf")</f>
        <v>R_Calf</v>
      </c>
      <c r="B9" s="33">
        <f>IFERROR(__xludf.DUMMYFUNCTION("""COMPUTED_VALUE"""),3.0)</f>
        <v>3</v>
      </c>
    </row>
  </sheetData>
  <mergeCells count="1">
    <mergeCell ref="E4:H21"/>
  </mergeCells>
  <dataValidations>
    <dataValidation type="list" allowBlank="1" sqref="B3">
      <formula1>BodyMapData_1!$A$2:$A$1000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.38"/>
  </cols>
  <sheetData>
    <row r="1" ht="37.5" customHeight="1">
      <c r="A1" s="34" t="s">
        <v>73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7.5" customHeight="1">
      <c r="A2" s="6"/>
      <c r="B2" s="6"/>
      <c r="C2" s="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 t="s">
        <v>74</v>
      </c>
      <c r="B3" s="36"/>
      <c r="C3" s="37" t="s">
        <v>54</v>
      </c>
      <c r="D3" s="38"/>
      <c r="E3" s="2"/>
      <c r="F3" s="39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75</v>
      </c>
      <c r="B4" s="36"/>
      <c r="C4" s="40">
        <v>43922.0</v>
      </c>
      <c r="D4" s="38"/>
      <c r="E4" s="3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/>
      <c r="B5" s="6"/>
      <c r="C5" s="6"/>
      <c r="D5" s="2"/>
      <c r="E5" s="3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8.75" customHeight="1">
      <c r="A6" s="41" t="str">
        <f>IFERROR(__xludf.DUMMYFUNCTION("FILTER(XYs_2!F:F,XYs_2!I:I&lt;&gt;"""")"),"Part")</f>
        <v>Part</v>
      </c>
      <c r="B6" s="41" t="str">
        <f>IFERROR(__xludf.DUMMYFUNCTION("FILTER(XYs_2!I:I,XYs_2!I:I&lt;&gt;"""")"),"Athlete Value")</f>
        <v>Athlete Value</v>
      </c>
      <c r="C6" s="42" t="s">
        <v>76</v>
      </c>
      <c r="D6" s="43"/>
      <c r="E6" s="6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 ht="18.75" customHeight="1">
      <c r="A7" s="44" t="str">
        <f>IFERROR(__xludf.DUMMYFUNCTION("""COMPUTED_VALUE"""),"Head")</f>
        <v>Head</v>
      </c>
      <c r="B7" s="44">
        <f>IFERROR(__xludf.DUMMYFUNCTION("""COMPUTED_VALUE"""),1.0)</f>
        <v>1</v>
      </c>
      <c r="C7" s="45">
        <f>IFERROR(AVERAGEIFS(BodyMapData_2!$E:$E,BodyMapData_2!$A:$A,$C$3,BodyMapData_2!$C:$C,$A7),"")</f>
        <v>2</v>
      </c>
      <c r="D7" s="2"/>
      <c r="E7" s="3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8.75" customHeight="1">
      <c r="A8" s="44" t="str">
        <f>IFERROR(__xludf.DUMMYFUNCTION("""COMPUTED_VALUE"""),"R_Knee")</f>
        <v>R_Knee</v>
      </c>
      <c r="B8" s="44">
        <f>IFERROR(__xludf.DUMMYFUNCTION("""COMPUTED_VALUE"""),5.0)</f>
        <v>5</v>
      </c>
      <c r="C8" s="45">
        <f>IFERROR(AVERAGEIFS(BodyMapData_2!$E:$E,BodyMapData_2!$A:$A,$C$3,BodyMapData_2!$C:$C,$A8),"")</f>
        <v>6</v>
      </c>
      <c r="D8" s="2"/>
      <c r="E8" s="3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8.75" customHeight="1">
      <c r="A9" s="44" t="str">
        <f>IFERROR(__xludf.DUMMYFUNCTION("""COMPUTED_VALUE"""),"R_Foot")</f>
        <v>R_Foot</v>
      </c>
      <c r="B9" s="44">
        <f>IFERROR(__xludf.DUMMYFUNCTION("""COMPUTED_VALUE"""),1.0)</f>
        <v>1</v>
      </c>
      <c r="C9" s="45">
        <f>IFERROR(AVERAGEIFS(BodyMapData_2!$E:$E,BodyMapData_2!$A:$A,$C$3,BodyMapData_2!$C:$C,$A9),"")</f>
        <v>1.333333333</v>
      </c>
      <c r="D9" s="2"/>
      <c r="E9" s="3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8.75" customHeight="1">
      <c r="A10" s="44"/>
      <c r="B10" s="44"/>
      <c r="C10" s="45" t="str">
        <f>IFERROR(AVERAGEIFS(BodyMapData_2!$E:$E,BodyMapData_2!$A:$A,$C$3,BodyMapData_2!$C:$C,$A10),"")</f>
        <v/>
      </c>
      <c r="D10" s="2"/>
      <c r="E10" s="3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"/>
      <c r="B11" s="6"/>
      <c r="C11" s="45" t="str">
        <f>IFERROR(AVERAGEIFS(BodyMapData_2!$E:$E,BodyMapData_2!$A:$A,$C$3,BodyMapData_2!$C:$C,$A11),"")</f>
        <v/>
      </c>
      <c r="D11" s="2"/>
      <c r="E11" s="3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6"/>
      <c r="B12" s="6"/>
      <c r="C12" s="45" t="str">
        <f>IFERROR(AVERAGEIFS(BodyMapData_2!$E:$E,BodyMapData_2!$A:$A,$C$3,BodyMapData_2!$C:$C,$A12),"")</f>
        <v/>
      </c>
      <c r="D12" s="2"/>
      <c r="E12" s="3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"/>
      <c r="B13" s="6"/>
      <c r="C13" s="45" t="str">
        <f>IFERROR(AVERAGEIFS(BodyMapData_2!$E:$E,BodyMapData_2!$A:$A,$C$3,BodyMapData_2!$C:$C,$A13),"")</f>
        <v/>
      </c>
      <c r="D13" s="2"/>
      <c r="E13" s="3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"/>
      <c r="B14" s="6"/>
      <c r="C14" s="45" t="str">
        <f>IFERROR(AVERAGEIFS(BodyMapData_2!$E:$E,BodyMapData_2!$A:$A,$C$3,BodyMapData_2!$C:$C,$A14),"")</f>
        <v/>
      </c>
      <c r="D14" s="2"/>
      <c r="E14" s="3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"/>
      <c r="B15" s="6"/>
      <c r="C15" s="45" t="str">
        <f>IFERROR(AVERAGEIFS(BodyMapData_2!$E:$E,BodyMapData_2!$A:$A,$C$3,BodyMapData_2!$C:$C,$A15),"")</f>
        <v/>
      </c>
      <c r="D15" s="2"/>
      <c r="E15" s="3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"/>
      <c r="B16" s="6"/>
      <c r="C16" s="45" t="str">
        <f>IFERROR(AVERAGEIFS(BodyMapData_2!$E:$E,BodyMapData_2!$A:$A,$C$3,BodyMapData_2!$C:$C,$A16),"")</f>
        <v/>
      </c>
      <c r="D16" s="2"/>
      <c r="E16" s="3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"/>
      <c r="B17" s="6"/>
      <c r="C17" s="45" t="str">
        <f>IFERROR(AVERAGEIFS(BodyMapData_2!$E:$E,BodyMapData_2!$A:$A,$C$3,BodyMapData_2!$C:$C,$A17),"")</f>
        <v/>
      </c>
      <c r="D17" s="2"/>
      <c r="E17" s="3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"/>
      <c r="B18" s="6"/>
      <c r="C18" s="45" t="str">
        <f>IFERROR(AVERAGEIFS(BodyMapData_2!$E:$E,BodyMapData_2!$A:$A,$C$3,BodyMapData_2!$C:$C,$A18),"")</f>
        <v/>
      </c>
      <c r="D18" s="2"/>
      <c r="E18" s="3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6"/>
      <c r="B19" s="6"/>
      <c r="C19" s="45" t="str">
        <f>IFERROR(AVERAGEIFS(BodyMapData_2!$E:$E,BodyMapData_2!$A:$A,$C$3,BodyMapData_2!$C:$C,$A19),"")</f>
        <v/>
      </c>
      <c r="D19" s="2"/>
      <c r="E19" s="3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6"/>
      <c r="B20" s="6"/>
      <c r="C20" s="45" t="str">
        <f>IFERROR(AVERAGEIFS(BodyMapData_2!$E:$E,BodyMapData_2!$A:$A,$C$3,BodyMapData_2!$C:$C,$A20),"")</f>
        <v/>
      </c>
      <c r="D20" s="2"/>
      <c r="E20" s="3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6"/>
      <c r="B21" s="6"/>
      <c r="C21" s="6"/>
      <c r="D21" s="2"/>
      <c r="E21" s="3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6"/>
      <c r="B22" s="6"/>
      <c r="C22" s="6"/>
      <c r="D22" s="2"/>
      <c r="E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6"/>
      <c r="B23" s="6"/>
      <c r="C23" s="6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6"/>
      <c r="B24" s="6"/>
      <c r="C24" s="6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6"/>
      <c r="B25" s="6"/>
      <c r="C25" s="6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6"/>
      <c r="B26" s="6"/>
      <c r="C26" s="6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6"/>
      <c r="B27" s="6"/>
      <c r="C27" s="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6"/>
      <c r="B28" s="6"/>
      <c r="C28" s="6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6"/>
      <c r="B29" s="6"/>
      <c r="C29" s="6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6"/>
      <c r="B30" s="6"/>
      <c r="C30" s="6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6"/>
      <c r="B31" s="6"/>
      <c r="C31" s="6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6"/>
      <c r="B32" s="6"/>
      <c r="C32" s="6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6"/>
      <c r="B33" s="6"/>
      <c r="C33" s="6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6"/>
      <c r="B34" s="6"/>
      <c r="C34" s="6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6"/>
      <c r="B35" s="6"/>
      <c r="C35" s="6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6"/>
      <c r="B36" s="6"/>
      <c r="C36" s="6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6"/>
      <c r="B37" s="6"/>
      <c r="C37" s="6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6"/>
      <c r="B38" s="6"/>
      <c r="C38" s="6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6"/>
      <c r="B39" s="6"/>
      <c r="C39" s="6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6"/>
      <c r="B40" s="6"/>
      <c r="C40" s="6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6"/>
      <c r="B41" s="6"/>
      <c r="C41" s="6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6"/>
      <c r="B42" s="6"/>
      <c r="C42" s="6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6"/>
      <c r="B43" s="6"/>
      <c r="C43" s="6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6"/>
      <c r="B44" s="6"/>
      <c r="C44" s="6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6"/>
      <c r="B45" s="6"/>
      <c r="C45" s="6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6"/>
      <c r="B46" s="6"/>
      <c r="C46" s="6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6"/>
      <c r="B47" s="6"/>
      <c r="C47" s="6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6"/>
      <c r="B48" s="6"/>
      <c r="C48" s="6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6"/>
      <c r="B49" s="6"/>
      <c r="C49" s="6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6"/>
      <c r="B50" s="6"/>
      <c r="C50" s="6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6"/>
      <c r="B51" s="6"/>
      <c r="C51" s="6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6"/>
      <c r="B52" s="6"/>
      <c r="C52" s="6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6"/>
      <c r="B53" s="6"/>
      <c r="C53" s="6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6"/>
      <c r="B54" s="6"/>
      <c r="C54" s="6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6"/>
      <c r="B55" s="6"/>
      <c r="C55" s="6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6"/>
      <c r="B56" s="6"/>
      <c r="C56" s="6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6"/>
      <c r="B57" s="6"/>
      <c r="C57" s="6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6"/>
      <c r="B58" s="6"/>
      <c r="C58" s="6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6"/>
      <c r="B59" s="6"/>
      <c r="C59" s="6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6"/>
      <c r="B60" s="6"/>
      <c r="C60" s="6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6"/>
      <c r="B61" s="6"/>
      <c r="C61" s="6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6"/>
      <c r="B62" s="6"/>
      <c r="C62" s="6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6"/>
      <c r="B63" s="6"/>
      <c r="C63" s="6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6"/>
      <c r="B64" s="6"/>
      <c r="C64" s="6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6"/>
      <c r="B65" s="6"/>
      <c r="C65" s="6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6"/>
      <c r="B66" s="6"/>
      <c r="C66" s="6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6"/>
      <c r="B67" s="6"/>
      <c r="C67" s="6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6"/>
      <c r="B68" s="6"/>
      <c r="C68" s="6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6"/>
      <c r="B69" s="6"/>
      <c r="C69" s="6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6"/>
      <c r="B70" s="6"/>
      <c r="C70" s="6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6"/>
      <c r="B71" s="6"/>
      <c r="C71" s="6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6"/>
      <c r="B72" s="6"/>
      <c r="C72" s="6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6"/>
      <c r="B73" s="6"/>
      <c r="C73" s="6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6"/>
      <c r="B74" s="6"/>
      <c r="C74" s="6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6"/>
      <c r="B75" s="6"/>
      <c r="C75" s="6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6"/>
      <c r="B76" s="6"/>
      <c r="C76" s="6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6"/>
      <c r="B77" s="6"/>
      <c r="C77" s="6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6"/>
      <c r="B78" s="6"/>
      <c r="C78" s="6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6"/>
      <c r="B79" s="6"/>
      <c r="C79" s="6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6"/>
      <c r="B80" s="6"/>
      <c r="C80" s="6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6"/>
      <c r="B81" s="6"/>
      <c r="C81" s="6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6"/>
      <c r="B82" s="6"/>
      <c r="C82" s="6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6"/>
      <c r="B83" s="6"/>
      <c r="C83" s="6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6"/>
      <c r="B84" s="6"/>
      <c r="C84" s="6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6"/>
      <c r="B85" s="6"/>
      <c r="C85" s="6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6"/>
      <c r="B86" s="6"/>
      <c r="C86" s="6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6"/>
      <c r="B87" s="6"/>
      <c r="C87" s="6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6"/>
      <c r="B88" s="6"/>
      <c r="C88" s="6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6"/>
      <c r="B89" s="6"/>
      <c r="C89" s="6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6"/>
      <c r="B90" s="6"/>
      <c r="C90" s="6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6"/>
      <c r="B91" s="6"/>
      <c r="C91" s="6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6"/>
      <c r="B92" s="6"/>
      <c r="C92" s="6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6"/>
      <c r="B93" s="6"/>
      <c r="C93" s="6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6"/>
      <c r="B94" s="6"/>
      <c r="C94" s="6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6"/>
      <c r="B95" s="6"/>
      <c r="C95" s="6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6"/>
      <c r="B96" s="6"/>
      <c r="C96" s="6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6"/>
      <c r="B97" s="6"/>
      <c r="C97" s="6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6"/>
      <c r="B98" s="6"/>
      <c r="C98" s="6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6"/>
      <c r="B99" s="6"/>
      <c r="C99" s="6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6"/>
      <c r="B100" s="6"/>
      <c r="C100" s="6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6"/>
      <c r="B101" s="6"/>
      <c r="C101" s="6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6"/>
      <c r="B102" s="6"/>
      <c r="C102" s="6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6"/>
      <c r="B103" s="6"/>
      <c r="C103" s="6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6"/>
      <c r="B104" s="6"/>
      <c r="C104" s="6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6"/>
      <c r="B105" s="6"/>
      <c r="C105" s="6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6"/>
      <c r="B106" s="6"/>
      <c r="C106" s="6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6"/>
      <c r="B107" s="6"/>
      <c r="C107" s="6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6"/>
      <c r="B108" s="6"/>
      <c r="C108" s="6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6"/>
      <c r="B109" s="6"/>
      <c r="C109" s="6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6"/>
      <c r="B110" s="6"/>
      <c r="C110" s="6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6"/>
      <c r="B111" s="6"/>
      <c r="C111" s="6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6"/>
      <c r="B112" s="6"/>
      <c r="C112" s="6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6"/>
      <c r="B113" s="6"/>
      <c r="C113" s="6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6"/>
      <c r="B114" s="6"/>
      <c r="C114" s="6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6"/>
      <c r="B115" s="6"/>
      <c r="C115" s="6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6"/>
      <c r="B116" s="6"/>
      <c r="C116" s="6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6"/>
      <c r="B117" s="6"/>
      <c r="C117" s="6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6"/>
      <c r="B118" s="6"/>
      <c r="C118" s="6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6"/>
      <c r="B119" s="6"/>
      <c r="C119" s="6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6"/>
      <c r="B120" s="6"/>
      <c r="C120" s="6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6"/>
      <c r="B121" s="6"/>
      <c r="C121" s="6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6"/>
      <c r="B122" s="6"/>
      <c r="C122" s="6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6"/>
      <c r="B123" s="6"/>
      <c r="C123" s="6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6"/>
      <c r="B124" s="6"/>
      <c r="C124" s="6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6"/>
      <c r="B125" s="6"/>
      <c r="C125" s="6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6"/>
      <c r="B126" s="6"/>
      <c r="C126" s="6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6"/>
      <c r="B127" s="6"/>
      <c r="C127" s="6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6"/>
      <c r="B128" s="6"/>
      <c r="C128" s="6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6"/>
      <c r="B129" s="6"/>
      <c r="C129" s="6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6"/>
      <c r="B130" s="6"/>
      <c r="C130" s="6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6"/>
      <c r="B131" s="6"/>
      <c r="C131" s="6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6"/>
      <c r="B132" s="6"/>
      <c r="C132" s="6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6"/>
      <c r="B133" s="6"/>
      <c r="C133" s="6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6"/>
      <c r="B134" s="6"/>
      <c r="C134" s="6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6"/>
      <c r="B135" s="6"/>
      <c r="C135" s="6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6"/>
      <c r="B136" s="6"/>
      <c r="C136" s="6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6"/>
      <c r="B137" s="6"/>
      <c r="C137" s="6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6"/>
      <c r="B138" s="6"/>
      <c r="C138" s="6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6"/>
      <c r="B139" s="6"/>
      <c r="C139" s="6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6"/>
      <c r="B140" s="6"/>
      <c r="C140" s="6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6"/>
      <c r="B141" s="6"/>
      <c r="C141" s="6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6"/>
      <c r="B142" s="6"/>
      <c r="C142" s="6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6"/>
      <c r="B143" s="6"/>
      <c r="C143" s="6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6"/>
      <c r="B144" s="6"/>
      <c r="C144" s="6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6"/>
      <c r="B145" s="6"/>
      <c r="C145" s="6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6"/>
      <c r="B146" s="6"/>
      <c r="C146" s="6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6"/>
      <c r="B147" s="6"/>
      <c r="C147" s="6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6"/>
      <c r="B148" s="6"/>
      <c r="C148" s="6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6"/>
      <c r="B149" s="6"/>
      <c r="C149" s="6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6"/>
      <c r="B150" s="6"/>
      <c r="C150" s="6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6"/>
      <c r="B151" s="6"/>
      <c r="C151" s="6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6"/>
      <c r="B152" s="6"/>
      <c r="C152" s="6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6"/>
      <c r="B153" s="6"/>
      <c r="C153" s="6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6"/>
      <c r="B154" s="6"/>
      <c r="C154" s="6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6"/>
      <c r="B155" s="6"/>
      <c r="C155" s="6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6"/>
      <c r="B156" s="6"/>
      <c r="C156" s="6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6"/>
      <c r="B157" s="6"/>
      <c r="C157" s="6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6"/>
      <c r="B158" s="6"/>
      <c r="C158" s="6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6"/>
      <c r="B159" s="6"/>
      <c r="C159" s="6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6"/>
      <c r="B160" s="6"/>
      <c r="C160" s="6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6"/>
      <c r="B161" s="6"/>
      <c r="C161" s="6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6"/>
      <c r="B162" s="6"/>
      <c r="C162" s="6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6"/>
      <c r="B163" s="6"/>
      <c r="C163" s="6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6"/>
      <c r="B164" s="6"/>
      <c r="C164" s="6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6"/>
      <c r="B165" s="6"/>
      <c r="C165" s="6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6"/>
      <c r="B166" s="6"/>
      <c r="C166" s="6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6"/>
      <c r="B167" s="6"/>
      <c r="C167" s="6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6"/>
      <c r="B168" s="6"/>
      <c r="C168" s="6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6"/>
      <c r="B169" s="6"/>
      <c r="C169" s="6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6"/>
      <c r="B170" s="6"/>
      <c r="C170" s="6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6"/>
      <c r="B171" s="6"/>
      <c r="C171" s="6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6"/>
      <c r="B172" s="6"/>
      <c r="C172" s="6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6"/>
      <c r="B173" s="6"/>
      <c r="C173" s="6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6"/>
      <c r="B174" s="6"/>
      <c r="C174" s="6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6"/>
      <c r="B175" s="6"/>
      <c r="C175" s="6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6"/>
      <c r="B176" s="6"/>
      <c r="C176" s="6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6"/>
      <c r="B177" s="6"/>
      <c r="C177" s="6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6"/>
      <c r="B178" s="6"/>
      <c r="C178" s="6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6"/>
      <c r="B179" s="6"/>
      <c r="C179" s="6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6"/>
      <c r="B180" s="6"/>
      <c r="C180" s="6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6"/>
      <c r="B181" s="6"/>
      <c r="C181" s="6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6"/>
      <c r="B182" s="6"/>
      <c r="C182" s="6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6"/>
      <c r="B183" s="6"/>
      <c r="C183" s="6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6"/>
      <c r="B184" s="6"/>
      <c r="C184" s="6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6"/>
      <c r="B185" s="6"/>
      <c r="C185" s="6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6"/>
      <c r="B186" s="6"/>
      <c r="C186" s="6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6"/>
      <c r="B187" s="6"/>
      <c r="C187" s="6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6"/>
      <c r="B188" s="6"/>
      <c r="C188" s="6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6"/>
      <c r="B189" s="6"/>
      <c r="C189" s="6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6"/>
      <c r="B190" s="6"/>
      <c r="C190" s="6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6"/>
      <c r="B191" s="6"/>
      <c r="C191" s="6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6"/>
      <c r="B192" s="6"/>
      <c r="C192" s="6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6"/>
      <c r="B193" s="6"/>
      <c r="C193" s="6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6"/>
      <c r="B194" s="6"/>
      <c r="C194" s="6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6"/>
      <c r="B195" s="6"/>
      <c r="C195" s="6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6"/>
      <c r="B196" s="6"/>
      <c r="C196" s="6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6"/>
      <c r="B197" s="6"/>
      <c r="C197" s="6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6"/>
      <c r="B198" s="6"/>
      <c r="C198" s="6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6"/>
      <c r="B199" s="6"/>
      <c r="C199" s="6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6"/>
      <c r="B200" s="6"/>
      <c r="C200" s="6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6"/>
      <c r="B201" s="6"/>
      <c r="C201" s="6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6"/>
      <c r="B202" s="6"/>
      <c r="C202" s="6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6"/>
      <c r="B203" s="6"/>
      <c r="C203" s="6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6"/>
      <c r="B204" s="6"/>
      <c r="C204" s="6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6"/>
      <c r="B205" s="6"/>
      <c r="C205" s="6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6"/>
      <c r="B206" s="6"/>
      <c r="C206" s="6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6"/>
      <c r="B207" s="6"/>
      <c r="C207" s="6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6"/>
      <c r="B208" s="6"/>
      <c r="C208" s="6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6"/>
      <c r="B209" s="6"/>
      <c r="C209" s="6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6"/>
      <c r="B210" s="6"/>
      <c r="C210" s="6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6"/>
      <c r="B211" s="6"/>
      <c r="C211" s="6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6"/>
      <c r="B212" s="6"/>
      <c r="C212" s="6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6"/>
      <c r="B213" s="6"/>
      <c r="C213" s="6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6"/>
      <c r="B214" s="6"/>
      <c r="C214" s="6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6"/>
      <c r="B215" s="6"/>
      <c r="C215" s="6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6"/>
      <c r="B216" s="6"/>
      <c r="C216" s="6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6"/>
      <c r="B217" s="6"/>
      <c r="C217" s="6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6"/>
      <c r="B218" s="6"/>
      <c r="C218" s="6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6"/>
      <c r="B219" s="6"/>
      <c r="C219" s="6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6"/>
      <c r="B220" s="6"/>
      <c r="C220" s="6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6"/>
      <c r="B221" s="6"/>
      <c r="C221" s="6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6"/>
      <c r="B222" s="6"/>
      <c r="C222" s="6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6"/>
      <c r="B223" s="6"/>
      <c r="C223" s="6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6"/>
      <c r="B224" s="6"/>
      <c r="C224" s="6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6"/>
      <c r="B225" s="6"/>
      <c r="C225" s="6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6"/>
      <c r="B226" s="6"/>
      <c r="C226" s="6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6"/>
      <c r="B227" s="6"/>
      <c r="C227" s="6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6"/>
      <c r="B228" s="6"/>
      <c r="C228" s="6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6"/>
      <c r="B229" s="6"/>
      <c r="C229" s="6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6"/>
      <c r="B230" s="6"/>
      <c r="C230" s="6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6"/>
      <c r="B231" s="6"/>
      <c r="C231" s="6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6"/>
      <c r="B232" s="6"/>
      <c r="C232" s="6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6"/>
      <c r="B233" s="6"/>
      <c r="C233" s="6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6"/>
      <c r="B234" s="6"/>
      <c r="C234" s="6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6"/>
      <c r="B235" s="6"/>
      <c r="C235" s="6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6"/>
      <c r="B236" s="6"/>
      <c r="C236" s="6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6"/>
      <c r="B237" s="6"/>
      <c r="C237" s="6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6"/>
      <c r="B238" s="6"/>
      <c r="C238" s="6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6"/>
      <c r="B239" s="6"/>
      <c r="C239" s="6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6"/>
      <c r="B240" s="6"/>
      <c r="C240" s="6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6"/>
      <c r="B241" s="6"/>
      <c r="C241" s="6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6"/>
      <c r="B242" s="6"/>
      <c r="C242" s="6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6"/>
      <c r="B243" s="6"/>
      <c r="C243" s="6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6"/>
      <c r="B244" s="6"/>
      <c r="C244" s="6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6"/>
      <c r="B245" s="6"/>
      <c r="C245" s="6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6"/>
      <c r="B246" s="6"/>
      <c r="C246" s="6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6"/>
      <c r="B247" s="6"/>
      <c r="C247" s="6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6"/>
      <c r="B248" s="6"/>
      <c r="C248" s="6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6"/>
      <c r="B249" s="6"/>
      <c r="C249" s="6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6"/>
      <c r="B250" s="6"/>
      <c r="C250" s="6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6"/>
      <c r="B251" s="6"/>
      <c r="C251" s="6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6"/>
      <c r="B252" s="6"/>
      <c r="C252" s="6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6"/>
      <c r="B253" s="6"/>
      <c r="C253" s="6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6"/>
      <c r="B254" s="6"/>
      <c r="C254" s="6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6"/>
      <c r="B255" s="6"/>
      <c r="C255" s="6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6"/>
      <c r="B256" s="6"/>
      <c r="C256" s="6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6"/>
      <c r="B257" s="6"/>
      <c r="C257" s="6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6"/>
      <c r="B258" s="6"/>
      <c r="C258" s="6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6"/>
      <c r="B259" s="6"/>
      <c r="C259" s="6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6"/>
      <c r="B260" s="6"/>
      <c r="C260" s="6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6"/>
      <c r="B261" s="6"/>
      <c r="C261" s="6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6"/>
      <c r="B262" s="6"/>
      <c r="C262" s="6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6"/>
      <c r="B263" s="6"/>
      <c r="C263" s="6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6"/>
      <c r="B264" s="6"/>
      <c r="C264" s="6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6"/>
      <c r="B265" s="6"/>
      <c r="C265" s="6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6"/>
      <c r="B266" s="6"/>
      <c r="C266" s="6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6"/>
      <c r="B267" s="6"/>
      <c r="C267" s="6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6"/>
      <c r="B268" s="6"/>
      <c r="C268" s="6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6"/>
      <c r="B269" s="6"/>
      <c r="C269" s="6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6"/>
      <c r="B270" s="6"/>
      <c r="C270" s="6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6"/>
      <c r="B271" s="6"/>
      <c r="C271" s="6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6"/>
      <c r="B272" s="6"/>
      <c r="C272" s="6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6"/>
      <c r="B273" s="6"/>
      <c r="C273" s="6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6"/>
      <c r="B274" s="6"/>
      <c r="C274" s="6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6"/>
      <c r="B275" s="6"/>
      <c r="C275" s="6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6"/>
      <c r="B276" s="6"/>
      <c r="C276" s="6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6"/>
      <c r="B277" s="6"/>
      <c r="C277" s="6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6"/>
      <c r="B278" s="6"/>
      <c r="C278" s="6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6"/>
      <c r="B279" s="6"/>
      <c r="C279" s="6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6"/>
      <c r="B280" s="6"/>
      <c r="C280" s="6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6"/>
      <c r="B281" s="6"/>
      <c r="C281" s="6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6"/>
      <c r="B282" s="6"/>
      <c r="C282" s="6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6"/>
      <c r="B283" s="6"/>
      <c r="C283" s="6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6"/>
      <c r="B284" s="6"/>
      <c r="C284" s="6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6"/>
      <c r="B285" s="6"/>
      <c r="C285" s="6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6"/>
      <c r="B286" s="6"/>
      <c r="C286" s="6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6"/>
      <c r="B287" s="6"/>
      <c r="C287" s="6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6"/>
      <c r="B288" s="6"/>
      <c r="C288" s="6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6"/>
      <c r="B289" s="6"/>
      <c r="C289" s="6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6"/>
      <c r="B290" s="6"/>
      <c r="C290" s="6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6"/>
      <c r="B291" s="6"/>
      <c r="C291" s="6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6"/>
      <c r="B292" s="6"/>
      <c r="C292" s="6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6"/>
      <c r="B293" s="6"/>
      <c r="C293" s="6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6"/>
      <c r="B294" s="6"/>
      <c r="C294" s="6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6"/>
      <c r="B295" s="6"/>
      <c r="C295" s="6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6"/>
      <c r="B296" s="6"/>
      <c r="C296" s="6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6"/>
      <c r="B297" s="6"/>
      <c r="C297" s="6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6"/>
      <c r="B298" s="6"/>
      <c r="C298" s="6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6"/>
      <c r="B299" s="6"/>
      <c r="C299" s="6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6"/>
      <c r="B300" s="6"/>
      <c r="C300" s="6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6"/>
      <c r="B301" s="6"/>
      <c r="C301" s="6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6"/>
      <c r="B302" s="6"/>
      <c r="C302" s="6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6"/>
      <c r="B303" s="6"/>
      <c r="C303" s="6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6"/>
      <c r="B304" s="6"/>
      <c r="C304" s="6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6"/>
      <c r="B305" s="6"/>
      <c r="C305" s="6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6"/>
      <c r="B306" s="6"/>
      <c r="C306" s="6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6"/>
      <c r="B307" s="6"/>
      <c r="C307" s="6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6"/>
      <c r="B308" s="6"/>
      <c r="C308" s="6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6"/>
      <c r="B309" s="6"/>
      <c r="C309" s="6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6"/>
      <c r="B310" s="6"/>
      <c r="C310" s="6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6"/>
      <c r="B311" s="6"/>
      <c r="C311" s="6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6"/>
      <c r="B312" s="6"/>
      <c r="C312" s="6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6"/>
      <c r="B313" s="6"/>
      <c r="C313" s="6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6"/>
      <c r="B314" s="6"/>
      <c r="C314" s="6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6"/>
      <c r="B315" s="6"/>
      <c r="C315" s="6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6"/>
      <c r="B316" s="6"/>
      <c r="C316" s="6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6"/>
      <c r="B317" s="6"/>
      <c r="C317" s="6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6"/>
      <c r="B318" s="6"/>
      <c r="C318" s="6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6"/>
      <c r="B319" s="6"/>
      <c r="C319" s="6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6"/>
      <c r="B320" s="6"/>
      <c r="C320" s="6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6"/>
      <c r="B321" s="6"/>
      <c r="C321" s="6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6"/>
      <c r="B322" s="6"/>
      <c r="C322" s="6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6"/>
      <c r="B323" s="6"/>
      <c r="C323" s="6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6"/>
      <c r="B324" s="6"/>
      <c r="C324" s="6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6"/>
      <c r="B325" s="6"/>
      <c r="C325" s="6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6"/>
      <c r="B326" s="6"/>
      <c r="C326" s="6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6"/>
      <c r="B327" s="6"/>
      <c r="C327" s="6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6"/>
      <c r="B328" s="6"/>
      <c r="C328" s="6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6"/>
      <c r="B329" s="6"/>
      <c r="C329" s="6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6"/>
      <c r="B330" s="6"/>
      <c r="C330" s="6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6"/>
      <c r="B331" s="6"/>
      <c r="C331" s="6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6"/>
      <c r="B332" s="6"/>
      <c r="C332" s="6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6"/>
      <c r="B333" s="6"/>
      <c r="C333" s="6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6"/>
      <c r="B334" s="6"/>
      <c r="C334" s="6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6"/>
      <c r="B335" s="6"/>
      <c r="C335" s="6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6"/>
      <c r="B336" s="6"/>
      <c r="C336" s="6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6"/>
      <c r="B337" s="6"/>
      <c r="C337" s="6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6"/>
      <c r="B338" s="6"/>
      <c r="C338" s="6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6"/>
      <c r="B339" s="6"/>
      <c r="C339" s="6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6"/>
      <c r="B340" s="6"/>
      <c r="C340" s="6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6"/>
      <c r="B341" s="6"/>
      <c r="C341" s="6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6"/>
      <c r="B342" s="6"/>
      <c r="C342" s="6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6"/>
      <c r="B343" s="6"/>
      <c r="C343" s="6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6"/>
      <c r="B344" s="6"/>
      <c r="C344" s="6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6"/>
      <c r="B345" s="6"/>
      <c r="C345" s="6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6"/>
      <c r="B346" s="6"/>
      <c r="C346" s="6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6"/>
      <c r="B347" s="6"/>
      <c r="C347" s="6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6"/>
      <c r="B348" s="6"/>
      <c r="C348" s="6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6"/>
      <c r="B349" s="6"/>
      <c r="C349" s="6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6"/>
      <c r="B350" s="6"/>
      <c r="C350" s="6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6"/>
      <c r="B351" s="6"/>
      <c r="C351" s="6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6"/>
      <c r="B352" s="6"/>
      <c r="C352" s="6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6"/>
      <c r="B353" s="6"/>
      <c r="C353" s="6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6"/>
      <c r="B354" s="6"/>
      <c r="C354" s="6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6"/>
      <c r="B355" s="6"/>
      <c r="C355" s="6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6"/>
      <c r="B356" s="6"/>
      <c r="C356" s="6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6"/>
      <c r="B357" s="6"/>
      <c r="C357" s="6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6"/>
      <c r="B358" s="6"/>
      <c r="C358" s="6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6"/>
      <c r="B359" s="6"/>
      <c r="C359" s="6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6"/>
      <c r="B360" s="6"/>
      <c r="C360" s="6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6"/>
      <c r="B361" s="6"/>
      <c r="C361" s="6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6"/>
      <c r="B362" s="6"/>
      <c r="C362" s="6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6"/>
      <c r="B363" s="6"/>
      <c r="C363" s="6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6"/>
      <c r="B364" s="6"/>
      <c r="C364" s="6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6"/>
      <c r="B365" s="6"/>
      <c r="C365" s="6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6"/>
      <c r="B366" s="6"/>
      <c r="C366" s="6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6"/>
      <c r="B367" s="6"/>
      <c r="C367" s="6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6"/>
      <c r="B368" s="6"/>
      <c r="C368" s="6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6"/>
      <c r="B369" s="6"/>
      <c r="C369" s="6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6"/>
      <c r="B370" s="6"/>
      <c r="C370" s="6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6"/>
      <c r="B371" s="6"/>
      <c r="C371" s="6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6"/>
      <c r="B372" s="6"/>
      <c r="C372" s="6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6"/>
      <c r="B373" s="6"/>
      <c r="C373" s="6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6"/>
      <c r="B374" s="6"/>
      <c r="C374" s="6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6"/>
      <c r="B375" s="6"/>
      <c r="C375" s="6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6"/>
      <c r="B376" s="6"/>
      <c r="C376" s="6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6"/>
      <c r="B377" s="6"/>
      <c r="C377" s="6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6"/>
      <c r="B378" s="6"/>
      <c r="C378" s="6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6"/>
      <c r="B379" s="6"/>
      <c r="C379" s="6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6"/>
      <c r="B380" s="6"/>
      <c r="C380" s="6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6"/>
      <c r="B381" s="6"/>
      <c r="C381" s="6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6"/>
      <c r="B382" s="6"/>
      <c r="C382" s="6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6"/>
      <c r="B383" s="6"/>
      <c r="C383" s="6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6"/>
      <c r="B384" s="6"/>
      <c r="C384" s="6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6"/>
      <c r="B385" s="6"/>
      <c r="C385" s="6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6"/>
      <c r="B386" s="6"/>
      <c r="C386" s="6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6"/>
      <c r="B387" s="6"/>
      <c r="C387" s="6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6"/>
      <c r="B388" s="6"/>
      <c r="C388" s="6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6"/>
      <c r="B389" s="6"/>
      <c r="C389" s="6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6"/>
      <c r="B390" s="6"/>
      <c r="C390" s="6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6"/>
      <c r="B391" s="6"/>
      <c r="C391" s="6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6"/>
      <c r="B392" s="6"/>
      <c r="C392" s="6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6"/>
      <c r="B393" s="6"/>
      <c r="C393" s="6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6"/>
      <c r="B394" s="6"/>
      <c r="C394" s="6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6"/>
      <c r="B395" s="6"/>
      <c r="C395" s="6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6"/>
      <c r="B396" s="6"/>
      <c r="C396" s="6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6"/>
      <c r="B397" s="6"/>
      <c r="C397" s="6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6"/>
      <c r="B398" s="6"/>
      <c r="C398" s="6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6"/>
      <c r="B399" s="6"/>
      <c r="C399" s="6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6"/>
      <c r="B400" s="6"/>
      <c r="C400" s="6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6"/>
      <c r="B401" s="6"/>
      <c r="C401" s="6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6"/>
      <c r="B402" s="6"/>
      <c r="C402" s="6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6"/>
      <c r="B403" s="6"/>
      <c r="C403" s="6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6"/>
      <c r="B404" s="6"/>
      <c r="C404" s="6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6"/>
      <c r="B405" s="6"/>
      <c r="C405" s="6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6"/>
      <c r="B406" s="6"/>
      <c r="C406" s="6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6"/>
      <c r="B407" s="6"/>
      <c r="C407" s="6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6"/>
      <c r="B408" s="6"/>
      <c r="C408" s="6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6"/>
      <c r="B409" s="6"/>
      <c r="C409" s="6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6"/>
      <c r="B410" s="6"/>
      <c r="C410" s="6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6"/>
      <c r="B411" s="6"/>
      <c r="C411" s="6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6"/>
      <c r="B412" s="6"/>
      <c r="C412" s="6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6"/>
      <c r="B413" s="6"/>
      <c r="C413" s="6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6"/>
      <c r="B414" s="6"/>
      <c r="C414" s="6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6"/>
      <c r="B415" s="6"/>
      <c r="C415" s="6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6"/>
      <c r="B416" s="6"/>
      <c r="C416" s="6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6"/>
      <c r="B417" s="6"/>
      <c r="C417" s="6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6"/>
      <c r="B418" s="6"/>
      <c r="C418" s="6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6"/>
      <c r="B419" s="6"/>
      <c r="C419" s="6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6"/>
      <c r="B420" s="6"/>
      <c r="C420" s="6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6"/>
      <c r="B421" s="6"/>
      <c r="C421" s="6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6"/>
      <c r="B422" s="6"/>
      <c r="C422" s="6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6"/>
      <c r="B423" s="6"/>
      <c r="C423" s="6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6"/>
      <c r="B424" s="6"/>
      <c r="C424" s="6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6"/>
      <c r="B425" s="6"/>
      <c r="C425" s="6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6"/>
      <c r="B426" s="6"/>
      <c r="C426" s="6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6"/>
      <c r="B427" s="6"/>
      <c r="C427" s="6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6"/>
      <c r="B428" s="6"/>
      <c r="C428" s="6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6"/>
      <c r="B429" s="6"/>
      <c r="C429" s="6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6"/>
      <c r="B430" s="6"/>
      <c r="C430" s="6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6"/>
      <c r="B431" s="6"/>
      <c r="C431" s="6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6"/>
      <c r="B432" s="6"/>
      <c r="C432" s="6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6"/>
      <c r="B433" s="6"/>
      <c r="C433" s="6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6"/>
      <c r="B434" s="6"/>
      <c r="C434" s="6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6"/>
      <c r="B435" s="6"/>
      <c r="C435" s="6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6"/>
      <c r="B436" s="6"/>
      <c r="C436" s="6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6"/>
      <c r="B437" s="6"/>
      <c r="C437" s="6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6"/>
      <c r="B438" s="6"/>
      <c r="C438" s="6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6"/>
      <c r="B439" s="6"/>
      <c r="C439" s="6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6"/>
      <c r="B440" s="6"/>
      <c r="C440" s="6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6"/>
      <c r="B441" s="6"/>
      <c r="C441" s="6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6"/>
      <c r="B442" s="6"/>
      <c r="C442" s="6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6"/>
      <c r="B443" s="6"/>
      <c r="C443" s="6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6"/>
      <c r="B444" s="6"/>
      <c r="C444" s="6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6"/>
      <c r="B445" s="6"/>
      <c r="C445" s="6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6"/>
      <c r="B446" s="6"/>
      <c r="C446" s="6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6"/>
      <c r="B447" s="6"/>
      <c r="C447" s="6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6"/>
      <c r="B448" s="6"/>
      <c r="C448" s="6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6"/>
      <c r="B449" s="6"/>
      <c r="C449" s="6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6"/>
      <c r="B450" s="6"/>
      <c r="C450" s="6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6"/>
      <c r="B451" s="6"/>
      <c r="C451" s="6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6"/>
      <c r="B452" s="6"/>
      <c r="C452" s="6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6"/>
      <c r="B453" s="6"/>
      <c r="C453" s="6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6"/>
      <c r="B454" s="6"/>
      <c r="C454" s="6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6"/>
      <c r="B455" s="6"/>
      <c r="C455" s="6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6"/>
      <c r="B456" s="6"/>
      <c r="C456" s="6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6"/>
      <c r="B457" s="6"/>
      <c r="C457" s="6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6"/>
      <c r="B458" s="6"/>
      <c r="C458" s="6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6"/>
      <c r="B459" s="6"/>
      <c r="C459" s="6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6"/>
      <c r="B460" s="6"/>
      <c r="C460" s="6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6"/>
      <c r="B461" s="6"/>
      <c r="C461" s="6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6"/>
      <c r="B462" s="6"/>
      <c r="C462" s="6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6"/>
      <c r="B463" s="6"/>
      <c r="C463" s="6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6"/>
      <c r="B464" s="6"/>
      <c r="C464" s="6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6"/>
      <c r="B465" s="6"/>
      <c r="C465" s="6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6"/>
      <c r="B466" s="6"/>
      <c r="C466" s="6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6"/>
      <c r="B467" s="6"/>
      <c r="C467" s="6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6"/>
      <c r="B468" s="6"/>
      <c r="C468" s="6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6"/>
      <c r="B469" s="6"/>
      <c r="C469" s="6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6"/>
      <c r="B470" s="6"/>
      <c r="C470" s="6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6"/>
      <c r="B471" s="6"/>
      <c r="C471" s="6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6"/>
      <c r="B472" s="6"/>
      <c r="C472" s="6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6"/>
      <c r="B473" s="6"/>
      <c r="C473" s="6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6"/>
      <c r="B474" s="6"/>
      <c r="C474" s="6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6"/>
      <c r="B475" s="6"/>
      <c r="C475" s="6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6"/>
      <c r="B476" s="6"/>
      <c r="C476" s="6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6"/>
      <c r="B477" s="6"/>
      <c r="C477" s="6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6"/>
      <c r="B478" s="6"/>
      <c r="C478" s="6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6"/>
      <c r="B479" s="6"/>
      <c r="C479" s="6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6"/>
      <c r="B480" s="6"/>
      <c r="C480" s="6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6"/>
      <c r="B481" s="6"/>
      <c r="C481" s="6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6"/>
      <c r="B482" s="6"/>
      <c r="C482" s="6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6"/>
      <c r="B483" s="6"/>
      <c r="C483" s="6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6"/>
      <c r="B484" s="6"/>
      <c r="C484" s="6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6"/>
      <c r="B485" s="6"/>
      <c r="C485" s="6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6"/>
      <c r="B486" s="6"/>
      <c r="C486" s="6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6"/>
      <c r="B487" s="6"/>
      <c r="C487" s="6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6"/>
      <c r="B488" s="6"/>
      <c r="C488" s="6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6"/>
      <c r="B489" s="6"/>
      <c r="C489" s="6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6"/>
      <c r="B490" s="6"/>
      <c r="C490" s="6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6"/>
      <c r="B491" s="6"/>
      <c r="C491" s="6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6"/>
      <c r="B492" s="6"/>
      <c r="C492" s="6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6"/>
      <c r="B493" s="6"/>
      <c r="C493" s="6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6"/>
      <c r="B494" s="6"/>
      <c r="C494" s="6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6"/>
      <c r="B495" s="6"/>
      <c r="C495" s="6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6"/>
      <c r="B496" s="6"/>
      <c r="C496" s="6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6"/>
      <c r="B497" s="6"/>
      <c r="C497" s="6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6"/>
      <c r="B498" s="6"/>
      <c r="C498" s="6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6"/>
      <c r="B499" s="6"/>
      <c r="C499" s="6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6"/>
      <c r="B500" s="6"/>
      <c r="C500" s="6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6"/>
      <c r="B501" s="6"/>
      <c r="C501" s="6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6"/>
      <c r="B502" s="6"/>
      <c r="C502" s="6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6"/>
      <c r="B503" s="6"/>
      <c r="C503" s="6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6"/>
      <c r="B504" s="6"/>
      <c r="C504" s="6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6"/>
      <c r="B505" s="6"/>
      <c r="C505" s="6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6"/>
      <c r="B506" s="6"/>
      <c r="C506" s="6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6"/>
      <c r="B507" s="6"/>
      <c r="C507" s="6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6"/>
      <c r="B508" s="6"/>
      <c r="C508" s="6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6"/>
      <c r="B509" s="6"/>
      <c r="C509" s="6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6"/>
      <c r="B510" s="6"/>
      <c r="C510" s="6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6"/>
      <c r="B511" s="6"/>
      <c r="C511" s="6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6"/>
      <c r="B512" s="6"/>
      <c r="C512" s="6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6"/>
      <c r="B513" s="6"/>
      <c r="C513" s="6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6"/>
      <c r="B514" s="6"/>
      <c r="C514" s="6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6"/>
      <c r="B515" s="6"/>
      <c r="C515" s="6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6"/>
      <c r="B516" s="6"/>
      <c r="C516" s="6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6"/>
      <c r="B517" s="6"/>
      <c r="C517" s="6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6"/>
      <c r="B518" s="6"/>
      <c r="C518" s="6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6"/>
      <c r="B519" s="6"/>
      <c r="C519" s="6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6"/>
      <c r="B520" s="6"/>
      <c r="C520" s="6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6"/>
      <c r="B521" s="6"/>
      <c r="C521" s="6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6"/>
      <c r="B522" s="6"/>
      <c r="C522" s="6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6"/>
      <c r="B523" s="6"/>
      <c r="C523" s="6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6"/>
      <c r="B524" s="6"/>
      <c r="C524" s="6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6"/>
      <c r="B525" s="6"/>
      <c r="C525" s="6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6"/>
      <c r="B526" s="6"/>
      <c r="C526" s="6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6"/>
      <c r="B527" s="6"/>
      <c r="C527" s="6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6"/>
      <c r="B528" s="6"/>
      <c r="C528" s="6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6"/>
      <c r="B529" s="6"/>
      <c r="C529" s="6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6"/>
      <c r="B530" s="6"/>
      <c r="C530" s="6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6"/>
      <c r="B531" s="6"/>
      <c r="C531" s="6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6"/>
      <c r="B532" s="6"/>
      <c r="C532" s="6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6"/>
      <c r="B533" s="6"/>
      <c r="C533" s="6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6"/>
      <c r="B534" s="6"/>
      <c r="C534" s="6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6"/>
      <c r="B535" s="6"/>
      <c r="C535" s="6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6"/>
      <c r="B536" s="6"/>
      <c r="C536" s="6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6"/>
      <c r="B537" s="6"/>
      <c r="C537" s="6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6"/>
      <c r="B538" s="6"/>
      <c r="C538" s="6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6"/>
      <c r="B539" s="6"/>
      <c r="C539" s="6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6"/>
      <c r="B540" s="6"/>
      <c r="C540" s="6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6"/>
      <c r="B541" s="6"/>
      <c r="C541" s="6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6"/>
      <c r="B542" s="6"/>
      <c r="C542" s="6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6"/>
      <c r="B543" s="6"/>
      <c r="C543" s="6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6"/>
      <c r="B544" s="6"/>
      <c r="C544" s="6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6"/>
      <c r="B545" s="6"/>
      <c r="C545" s="6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6"/>
      <c r="B546" s="6"/>
      <c r="C546" s="6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6"/>
      <c r="B547" s="6"/>
      <c r="C547" s="6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6"/>
      <c r="B548" s="6"/>
      <c r="C548" s="6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6"/>
      <c r="B549" s="6"/>
      <c r="C549" s="6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6"/>
      <c r="B550" s="6"/>
      <c r="C550" s="6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6"/>
      <c r="B551" s="6"/>
      <c r="C551" s="6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6"/>
      <c r="B552" s="6"/>
      <c r="C552" s="6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6"/>
      <c r="B553" s="6"/>
      <c r="C553" s="6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6"/>
      <c r="B554" s="6"/>
      <c r="C554" s="6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6"/>
      <c r="B555" s="6"/>
      <c r="C555" s="6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6"/>
      <c r="B556" s="6"/>
      <c r="C556" s="6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6"/>
      <c r="B557" s="6"/>
      <c r="C557" s="6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6"/>
      <c r="B558" s="6"/>
      <c r="C558" s="6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6"/>
      <c r="B559" s="6"/>
      <c r="C559" s="6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6"/>
      <c r="B560" s="6"/>
      <c r="C560" s="6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6"/>
      <c r="B561" s="6"/>
      <c r="C561" s="6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6"/>
      <c r="B562" s="6"/>
      <c r="C562" s="6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6"/>
      <c r="B563" s="6"/>
      <c r="C563" s="6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6"/>
      <c r="B564" s="6"/>
      <c r="C564" s="6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6"/>
      <c r="B565" s="6"/>
      <c r="C565" s="6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6"/>
      <c r="B566" s="6"/>
      <c r="C566" s="6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6"/>
      <c r="B567" s="6"/>
      <c r="C567" s="6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6"/>
      <c r="B568" s="6"/>
      <c r="C568" s="6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6"/>
      <c r="B569" s="6"/>
      <c r="C569" s="6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6"/>
      <c r="B570" s="6"/>
      <c r="C570" s="6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6"/>
      <c r="B571" s="6"/>
      <c r="C571" s="6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6"/>
      <c r="B572" s="6"/>
      <c r="C572" s="6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6"/>
      <c r="B573" s="6"/>
      <c r="C573" s="6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6"/>
      <c r="B574" s="6"/>
      <c r="C574" s="6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6"/>
      <c r="B575" s="6"/>
      <c r="C575" s="6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6"/>
      <c r="B576" s="6"/>
      <c r="C576" s="6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6"/>
      <c r="B577" s="6"/>
      <c r="C577" s="6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6"/>
      <c r="B578" s="6"/>
      <c r="C578" s="6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6"/>
      <c r="B579" s="6"/>
      <c r="C579" s="6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6"/>
      <c r="B580" s="6"/>
      <c r="C580" s="6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6"/>
      <c r="B581" s="6"/>
      <c r="C581" s="6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6"/>
      <c r="B582" s="6"/>
      <c r="C582" s="6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6"/>
      <c r="B583" s="6"/>
      <c r="C583" s="6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6"/>
      <c r="B584" s="6"/>
      <c r="C584" s="6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6"/>
      <c r="B585" s="6"/>
      <c r="C585" s="6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6"/>
      <c r="B586" s="6"/>
      <c r="C586" s="6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6"/>
      <c r="B587" s="6"/>
      <c r="C587" s="6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6"/>
      <c r="B588" s="6"/>
      <c r="C588" s="6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6"/>
      <c r="B589" s="6"/>
      <c r="C589" s="6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6"/>
      <c r="B590" s="6"/>
      <c r="C590" s="6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6"/>
      <c r="B591" s="6"/>
      <c r="C591" s="6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6"/>
      <c r="B592" s="6"/>
      <c r="C592" s="6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6"/>
      <c r="B593" s="6"/>
      <c r="C593" s="6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6"/>
      <c r="B594" s="6"/>
      <c r="C594" s="6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6"/>
      <c r="B595" s="6"/>
      <c r="C595" s="6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6"/>
      <c r="B596" s="6"/>
      <c r="C596" s="6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6"/>
      <c r="B597" s="6"/>
      <c r="C597" s="6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6"/>
      <c r="B598" s="6"/>
      <c r="C598" s="6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6"/>
      <c r="B599" s="6"/>
      <c r="C599" s="6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6"/>
      <c r="B600" s="6"/>
      <c r="C600" s="6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6"/>
      <c r="B601" s="6"/>
      <c r="C601" s="6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6"/>
      <c r="B602" s="6"/>
      <c r="C602" s="6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6"/>
      <c r="B603" s="6"/>
      <c r="C603" s="6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6"/>
      <c r="B604" s="6"/>
      <c r="C604" s="6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6"/>
      <c r="B605" s="6"/>
      <c r="C605" s="6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6"/>
      <c r="B606" s="6"/>
      <c r="C606" s="6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6"/>
      <c r="B607" s="6"/>
      <c r="C607" s="6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6"/>
      <c r="B608" s="6"/>
      <c r="C608" s="6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6"/>
      <c r="B609" s="6"/>
      <c r="C609" s="6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6"/>
      <c r="B610" s="6"/>
      <c r="C610" s="6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6"/>
      <c r="B611" s="6"/>
      <c r="C611" s="6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6"/>
      <c r="B612" s="6"/>
      <c r="C612" s="6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6"/>
      <c r="B613" s="6"/>
      <c r="C613" s="6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6"/>
      <c r="B614" s="6"/>
      <c r="C614" s="6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6"/>
      <c r="B615" s="6"/>
      <c r="C615" s="6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6"/>
      <c r="B616" s="6"/>
      <c r="C616" s="6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6"/>
      <c r="B617" s="6"/>
      <c r="C617" s="6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6"/>
      <c r="B618" s="6"/>
      <c r="C618" s="6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6"/>
      <c r="B619" s="6"/>
      <c r="C619" s="6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6"/>
      <c r="B620" s="6"/>
      <c r="C620" s="6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6"/>
      <c r="B621" s="6"/>
      <c r="C621" s="6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6"/>
      <c r="B622" s="6"/>
      <c r="C622" s="6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6"/>
      <c r="B623" s="6"/>
      <c r="C623" s="6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6"/>
      <c r="B624" s="6"/>
      <c r="C624" s="6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6"/>
      <c r="B625" s="6"/>
      <c r="C625" s="6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6"/>
      <c r="B626" s="6"/>
      <c r="C626" s="6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6"/>
      <c r="B627" s="6"/>
      <c r="C627" s="6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6"/>
      <c r="B628" s="6"/>
      <c r="C628" s="6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6"/>
      <c r="B629" s="6"/>
      <c r="C629" s="6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6"/>
      <c r="B630" s="6"/>
      <c r="C630" s="6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6"/>
      <c r="B631" s="6"/>
      <c r="C631" s="6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6"/>
      <c r="B632" s="6"/>
      <c r="C632" s="6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6"/>
      <c r="B633" s="6"/>
      <c r="C633" s="6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6"/>
      <c r="B634" s="6"/>
      <c r="C634" s="6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6"/>
      <c r="B635" s="6"/>
      <c r="C635" s="6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6"/>
      <c r="B636" s="6"/>
      <c r="C636" s="6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6"/>
      <c r="B637" s="6"/>
      <c r="C637" s="6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6"/>
      <c r="B638" s="6"/>
      <c r="C638" s="6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6"/>
      <c r="B639" s="6"/>
      <c r="C639" s="6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6"/>
      <c r="B640" s="6"/>
      <c r="C640" s="6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6"/>
      <c r="B641" s="6"/>
      <c r="C641" s="6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6"/>
      <c r="B642" s="6"/>
      <c r="C642" s="6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6"/>
      <c r="B643" s="6"/>
      <c r="C643" s="6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6"/>
      <c r="B644" s="6"/>
      <c r="C644" s="6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6"/>
      <c r="B645" s="6"/>
      <c r="C645" s="6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6"/>
      <c r="B646" s="6"/>
      <c r="C646" s="6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6"/>
      <c r="B647" s="6"/>
      <c r="C647" s="6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6"/>
      <c r="B648" s="6"/>
      <c r="C648" s="6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6"/>
      <c r="B649" s="6"/>
      <c r="C649" s="6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6"/>
      <c r="B650" s="6"/>
      <c r="C650" s="6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6"/>
      <c r="B651" s="6"/>
      <c r="C651" s="6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6"/>
      <c r="B652" s="6"/>
      <c r="C652" s="6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6"/>
      <c r="B653" s="6"/>
      <c r="C653" s="6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6"/>
      <c r="B654" s="6"/>
      <c r="C654" s="6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6"/>
      <c r="B655" s="6"/>
      <c r="C655" s="6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6"/>
      <c r="B656" s="6"/>
      <c r="C656" s="6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6"/>
      <c r="B657" s="6"/>
      <c r="C657" s="6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6"/>
      <c r="B658" s="6"/>
      <c r="C658" s="6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6"/>
      <c r="B659" s="6"/>
      <c r="C659" s="6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6"/>
      <c r="B660" s="6"/>
      <c r="C660" s="6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6"/>
      <c r="B661" s="6"/>
      <c r="C661" s="6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6"/>
      <c r="B662" s="6"/>
      <c r="C662" s="6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6"/>
      <c r="B663" s="6"/>
      <c r="C663" s="6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6"/>
      <c r="B664" s="6"/>
      <c r="C664" s="6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6"/>
      <c r="B665" s="6"/>
      <c r="C665" s="6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6"/>
      <c r="B666" s="6"/>
      <c r="C666" s="6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6"/>
      <c r="B667" s="6"/>
      <c r="C667" s="6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6"/>
      <c r="B668" s="6"/>
      <c r="C668" s="6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6"/>
      <c r="B669" s="6"/>
      <c r="C669" s="6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6"/>
      <c r="B670" s="6"/>
      <c r="C670" s="6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6"/>
      <c r="B671" s="6"/>
      <c r="C671" s="6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6"/>
      <c r="B672" s="6"/>
      <c r="C672" s="6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6"/>
      <c r="B673" s="6"/>
      <c r="C673" s="6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6"/>
      <c r="B674" s="6"/>
      <c r="C674" s="6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6"/>
      <c r="B675" s="6"/>
      <c r="C675" s="6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6"/>
      <c r="B676" s="6"/>
      <c r="C676" s="6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6"/>
      <c r="B677" s="6"/>
      <c r="C677" s="6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6"/>
      <c r="B678" s="6"/>
      <c r="C678" s="6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6"/>
      <c r="B679" s="6"/>
      <c r="C679" s="6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6"/>
      <c r="B680" s="6"/>
      <c r="C680" s="6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6"/>
      <c r="B681" s="6"/>
      <c r="C681" s="6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6"/>
      <c r="B682" s="6"/>
      <c r="C682" s="6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6"/>
      <c r="B683" s="6"/>
      <c r="C683" s="6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6"/>
      <c r="B684" s="6"/>
      <c r="C684" s="6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6"/>
      <c r="B685" s="6"/>
      <c r="C685" s="6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6"/>
      <c r="B686" s="6"/>
      <c r="C686" s="6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6"/>
      <c r="B687" s="6"/>
      <c r="C687" s="6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6"/>
      <c r="B688" s="6"/>
      <c r="C688" s="6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6"/>
      <c r="B689" s="6"/>
      <c r="C689" s="6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6"/>
      <c r="B690" s="6"/>
      <c r="C690" s="6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6"/>
      <c r="B691" s="6"/>
      <c r="C691" s="6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6"/>
      <c r="B692" s="6"/>
      <c r="C692" s="6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6"/>
      <c r="B693" s="6"/>
      <c r="C693" s="6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6"/>
      <c r="B694" s="6"/>
      <c r="C694" s="6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6"/>
      <c r="B695" s="6"/>
      <c r="C695" s="6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6"/>
      <c r="B696" s="6"/>
      <c r="C696" s="6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6"/>
      <c r="B697" s="6"/>
      <c r="C697" s="6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6"/>
      <c r="B698" s="6"/>
      <c r="C698" s="6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6"/>
      <c r="B699" s="6"/>
      <c r="C699" s="6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6"/>
      <c r="B700" s="6"/>
      <c r="C700" s="6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6"/>
      <c r="B701" s="6"/>
      <c r="C701" s="6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6"/>
      <c r="B702" s="6"/>
      <c r="C702" s="6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6"/>
      <c r="B703" s="6"/>
      <c r="C703" s="6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6"/>
      <c r="B704" s="6"/>
      <c r="C704" s="6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6"/>
      <c r="B705" s="6"/>
      <c r="C705" s="6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6"/>
      <c r="B706" s="6"/>
      <c r="C706" s="6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6"/>
      <c r="B707" s="6"/>
      <c r="C707" s="6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6"/>
      <c r="B708" s="6"/>
      <c r="C708" s="6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6"/>
      <c r="B709" s="6"/>
      <c r="C709" s="6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6"/>
      <c r="B710" s="6"/>
      <c r="C710" s="6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6"/>
      <c r="B711" s="6"/>
      <c r="C711" s="6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6"/>
      <c r="B712" s="6"/>
      <c r="C712" s="6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6"/>
      <c r="B713" s="6"/>
      <c r="C713" s="6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6"/>
      <c r="B714" s="6"/>
      <c r="C714" s="6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6"/>
      <c r="B715" s="6"/>
      <c r="C715" s="6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6"/>
      <c r="B716" s="6"/>
      <c r="C716" s="6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6"/>
      <c r="B717" s="6"/>
      <c r="C717" s="6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6"/>
      <c r="B718" s="6"/>
      <c r="C718" s="6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6"/>
      <c r="B719" s="6"/>
      <c r="C719" s="6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6"/>
      <c r="B720" s="6"/>
      <c r="C720" s="6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6"/>
      <c r="B721" s="6"/>
      <c r="C721" s="6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6"/>
      <c r="B722" s="6"/>
      <c r="C722" s="6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6"/>
      <c r="B723" s="6"/>
      <c r="C723" s="6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6"/>
      <c r="B724" s="6"/>
      <c r="C724" s="6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6"/>
      <c r="B725" s="6"/>
      <c r="C725" s="6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6"/>
      <c r="B726" s="6"/>
      <c r="C726" s="6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6"/>
      <c r="B727" s="6"/>
      <c r="C727" s="6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6"/>
      <c r="B728" s="6"/>
      <c r="C728" s="6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6"/>
      <c r="B729" s="6"/>
      <c r="C729" s="6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6"/>
      <c r="B730" s="6"/>
      <c r="C730" s="6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6"/>
      <c r="B731" s="6"/>
      <c r="C731" s="6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6"/>
      <c r="B732" s="6"/>
      <c r="C732" s="6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6"/>
      <c r="B733" s="6"/>
      <c r="C733" s="6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6"/>
      <c r="B734" s="6"/>
      <c r="C734" s="6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6"/>
      <c r="B735" s="6"/>
      <c r="C735" s="6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6"/>
      <c r="B736" s="6"/>
      <c r="C736" s="6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6"/>
      <c r="B737" s="6"/>
      <c r="C737" s="6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6"/>
      <c r="B738" s="6"/>
      <c r="C738" s="6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6"/>
      <c r="B739" s="6"/>
      <c r="C739" s="6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6"/>
      <c r="B740" s="6"/>
      <c r="C740" s="6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6"/>
      <c r="B741" s="6"/>
      <c r="C741" s="6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6"/>
      <c r="B742" s="6"/>
      <c r="C742" s="6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6"/>
      <c r="B743" s="6"/>
      <c r="C743" s="6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6"/>
      <c r="B744" s="6"/>
      <c r="C744" s="6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6"/>
      <c r="B745" s="6"/>
      <c r="C745" s="6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6"/>
      <c r="B746" s="6"/>
      <c r="C746" s="6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6"/>
      <c r="B747" s="6"/>
      <c r="C747" s="6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6"/>
      <c r="B748" s="6"/>
      <c r="C748" s="6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6"/>
      <c r="B749" s="6"/>
      <c r="C749" s="6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6"/>
      <c r="B750" s="6"/>
      <c r="C750" s="6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6"/>
      <c r="B751" s="6"/>
      <c r="C751" s="6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6"/>
      <c r="B752" s="6"/>
      <c r="C752" s="6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6"/>
      <c r="B753" s="6"/>
      <c r="C753" s="6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6"/>
      <c r="B754" s="6"/>
      <c r="C754" s="6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6"/>
      <c r="B755" s="6"/>
      <c r="C755" s="6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6"/>
      <c r="B756" s="6"/>
      <c r="C756" s="6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6"/>
      <c r="B757" s="6"/>
      <c r="C757" s="6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6"/>
      <c r="B758" s="6"/>
      <c r="C758" s="6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6"/>
      <c r="B759" s="6"/>
      <c r="C759" s="6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6"/>
      <c r="B760" s="6"/>
      <c r="C760" s="6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6"/>
      <c r="B761" s="6"/>
      <c r="C761" s="6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6"/>
      <c r="B762" s="6"/>
      <c r="C762" s="6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6"/>
      <c r="B763" s="6"/>
      <c r="C763" s="6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6"/>
      <c r="B764" s="6"/>
      <c r="C764" s="6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6"/>
      <c r="B765" s="6"/>
      <c r="C765" s="6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6"/>
      <c r="B766" s="6"/>
      <c r="C766" s="6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6"/>
      <c r="B767" s="6"/>
      <c r="C767" s="6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6"/>
      <c r="B768" s="6"/>
      <c r="C768" s="6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6"/>
      <c r="B769" s="6"/>
      <c r="C769" s="6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6"/>
      <c r="B770" s="6"/>
      <c r="C770" s="6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6"/>
      <c r="B771" s="6"/>
      <c r="C771" s="6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6"/>
      <c r="B772" s="6"/>
      <c r="C772" s="6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6"/>
      <c r="B773" s="6"/>
      <c r="C773" s="6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6"/>
      <c r="B774" s="6"/>
      <c r="C774" s="6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6"/>
      <c r="B775" s="6"/>
      <c r="C775" s="6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6"/>
      <c r="B776" s="6"/>
      <c r="C776" s="6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6"/>
      <c r="B777" s="6"/>
      <c r="C777" s="6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6"/>
      <c r="B778" s="6"/>
      <c r="C778" s="6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6"/>
      <c r="B779" s="6"/>
      <c r="C779" s="6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6"/>
      <c r="B780" s="6"/>
      <c r="C780" s="6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6"/>
      <c r="B781" s="6"/>
      <c r="C781" s="6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6"/>
      <c r="B782" s="6"/>
      <c r="C782" s="6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6"/>
      <c r="B783" s="6"/>
      <c r="C783" s="6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6"/>
      <c r="B784" s="6"/>
      <c r="C784" s="6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6"/>
      <c r="B785" s="6"/>
      <c r="C785" s="6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6"/>
      <c r="B786" s="6"/>
      <c r="C786" s="6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6"/>
      <c r="B787" s="6"/>
      <c r="C787" s="6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6"/>
      <c r="B788" s="6"/>
      <c r="C788" s="6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6"/>
      <c r="B789" s="6"/>
      <c r="C789" s="6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6"/>
      <c r="B790" s="6"/>
      <c r="C790" s="6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6"/>
      <c r="B791" s="6"/>
      <c r="C791" s="6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6"/>
      <c r="B792" s="6"/>
      <c r="C792" s="6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6"/>
      <c r="B793" s="6"/>
      <c r="C793" s="6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6"/>
      <c r="B794" s="6"/>
      <c r="C794" s="6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6"/>
      <c r="B795" s="6"/>
      <c r="C795" s="6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6"/>
      <c r="B796" s="6"/>
      <c r="C796" s="6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6"/>
      <c r="B797" s="6"/>
      <c r="C797" s="6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6"/>
      <c r="B798" s="6"/>
      <c r="C798" s="6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6"/>
      <c r="B799" s="6"/>
      <c r="C799" s="6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6"/>
      <c r="B800" s="6"/>
      <c r="C800" s="6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6"/>
      <c r="B801" s="6"/>
      <c r="C801" s="6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6"/>
      <c r="B802" s="6"/>
      <c r="C802" s="6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6"/>
      <c r="B803" s="6"/>
      <c r="C803" s="6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6"/>
      <c r="B804" s="6"/>
      <c r="C804" s="6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6"/>
      <c r="B805" s="6"/>
      <c r="C805" s="6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6"/>
      <c r="B806" s="6"/>
      <c r="C806" s="6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6"/>
      <c r="B807" s="6"/>
      <c r="C807" s="6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6"/>
      <c r="B808" s="6"/>
      <c r="C808" s="6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6"/>
      <c r="B809" s="6"/>
      <c r="C809" s="6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6"/>
      <c r="B810" s="6"/>
      <c r="C810" s="6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6"/>
      <c r="B811" s="6"/>
      <c r="C811" s="6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6"/>
      <c r="B812" s="6"/>
      <c r="C812" s="6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6"/>
      <c r="B813" s="6"/>
      <c r="C813" s="6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6"/>
      <c r="B814" s="6"/>
      <c r="C814" s="6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6"/>
      <c r="B815" s="6"/>
      <c r="C815" s="6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6"/>
      <c r="B816" s="6"/>
      <c r="C816" s="6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6"/>
      <c r="B817" s="6"/>
      <c r="C817" s="6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6"/>
      <c r="B818" s="6"/>
      <c r="C818" s="6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6"/>
      <c r="B819" s="6"/>
      <c r="C819" s="6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6"/>
      <c r="B820" s="6"/>
      <c r="C820" s="6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6"/>
      <c r="B821" s="6"/>
      <c r="C821" s="6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6"/>
      <c r="B822" s="6"/>
      <c r="C822" s="6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6"/>
      <c r="B823" s="6"/>
      <c r="C823" s="6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6"/>
      <c r="B824" s="6"/>
      <c r="C824" s="6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6"/>
      <c r="B825" s="6"/>
      <c r="C825" s="6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6"/>
      <c r="B826" s="6"/>
      <c r="C826" s="6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6"/>
      <c r="B827" s="6"/>
      <c r="C827" s="6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6"/>
      <c r="B828" s="6"/>
      <c r="C828" s="6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6"/>
      <c r="B829" s="6"/>
      <c r="C829" s="6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6"/>
      <c r="B830" s="6"/>
      <c r="C830" s="6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6"/>
      <c r="B831" s="6"/>
      <c r="C831" s="6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6"/>
      <c r="B832" s="6"/>
      <c r="C832" s="6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6"/>
      <c r="B833" s="6"/>
      <c r="C833" s="6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6"/>
      <c r="B834" s="6"/>
      <c r="C834" s="6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6"/>
      <c r="B835" s="6"/>
      <c r="C835" s="6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6"/>
      <c r="B836" s="6"/>
      <c r="C836" s="6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6"/>
      <c r="B837" s="6"/>
      <c r="C837" s="6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6"/>
      <c r="B838" s="6"/>
      <c r="C838" s="6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6"/>
      <c r="B839" s="6"/>
      <c r="C839" s="6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6"/>
      <c r="B840" s="6"/>
      <c r="C840" s="6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6"/>
      <c r="B841" s="6"/>
      <c r="C841" s="6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6"/>
      <c r="B842" s="6"/>
      <c r="C842" s="6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6"/>
      <c r="B843" s="6"/>
      <c r="C843" s="6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6"/>
      <c r="B844" s="6"/>
      <c r="C844" s="6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6"/>
      <c r="B845" s="6"/>
      <c r="C845" s="6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6"/>
      <c r="B846" s="6"/>
      <c r="C846" s="6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6"/>
      <c r="B847" s="6"/>
      <c r="C847" s="6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6"/>
      <c r="B848" s="6"/>
      <c r="C848" s="6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6"/>
      <c r="B849" s="6"/>
      <c r="C849" s="6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6"/>
      <c r="B850" s="6"/>
      <c r="C850" s="6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6"/>
      <c r="B851" s="6"/>
      <c r="C851" s="6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6"/>
      <c r="B852" s="6"/>
      <c r="C852" s="6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6"/>
      <c r="B853" s="6"/>
      <c r="C853" s="6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6"/>
      <c r="B854" s="6"/>
      <c r="C854" s="6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6"/>
      <c r="B855" s="6"/>
      <c r="C855" s="6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6"/>
      <c r="B856" s="6"/>
      <c r="C856" s="6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6"/>
      <c r="B857" s="6"/>
      <c r="C857" s="6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6"/>
      <c r="B858" s="6"/>
      <c r="C858" s="6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6"/>
      <c r="B859" s="6"/>
      <c r="C859" s="6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6"/>
      <c r="B860" s="6"/>
      <c r="C860" s="6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6"/>
      <c r="B861" s="6"/>
      <c r="C861" s="6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6"/>
      <c r="B862" s="6"/>
      <c r="C862" s="6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6"/>
      <c r="B863" s="6"/>
      <c r="C863" s="6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6"/>
      <c r="B864" s="6"/>
      <c r="C864" s="6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6"/>
      <c r="B865" s="6"/>
      <c r="C865" s="6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6"/>
      <c r="B866" s="6"/>
      <c r="C866" s="6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6"/>
      <c r="B867" s="6"/>
      <c r="C867" s="6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6"/>
      <c r="B868" s="6"/>
      <c r="C868" s="6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6"/>
      <c r="B869" s="6"/>
      <c r="C869" s="6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6"/>
      <c r="B870" s="6"/>
      <c r="C870" s="6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6"/>
      <c r="B871" s="6"/>
      <c r="C871" s="6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6"/>
      <c r="B872" s="6"/>
      <c r="C872" s="6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6"/>
      <c r="B873" s="6"/>
      <c r="C873" s="6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6"/>
      <c r="B874" s="6"/>
      <c r="C874" s="6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6"/>
      <c r="B875" s="6"/>
      <c r="C875" s="6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6"/>
      <c r="B876" s="6"/>
      <c r="C876" s="6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6"/>
      <c r="B877" s="6"/>
      <c r="C877" s="6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6"/>
      <c r="B878" s="6"/>
      <c r="C878" s="6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6"/>
      <c r="B879" s="6"/>
      <c r="C879" s="6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6"/>
      <c r="B880" s="6"/>
      <c r="C880" s="6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6"/>
      <c r="B881" s="6"/>
      <c r="C881" s="6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6"/>
      <c r="B882" s="6"/>
      <c r="C882" s="6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6"/>
      <c r="B883" s="6"/>
      <c r="C883" s="6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6"/>
      <c r="B884" s="6"/>
      <c r="C884" s="6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6"/>
      <c r="B885" s="6"/>
      <c r="C885" s="6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6"/>
      <c r="B886" s="6"/>
      <c r="C886" s="6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6"/>
      <c r="B887" s="6"/>
      <c r="C887" s="6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6"/>
      <c r="B888" s="6"/>
      <c r="C888" s="6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6"/>
      <c r="B889" s="6"/>
      <c r="C889" s="6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6"/>
      <c r="B890" s="6"/>
      <c r="C890" s="6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6"/>
      <c r="B891" s="6"/>
      <c r="C891" s="6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6"/>
      <c r="B892" s="6"/>
      <c r="C892" s="6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6"/>
      <c r="B893" s="6"/>
      <c r="C893" s="6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6"/>
      <c r="B894" s="6"/>
      <c r="C894" s="6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6"/>
      <c r="B895" s="6"/>
      <c r="C895" s="6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6"/>
      <c r="B896" s="6"/>
      <c r="C896" s="6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6"/>
      <c r="B897" s="6"/>
      <c r="C897" s="6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6"/>
      <c r="B898" s="6"/>
      <c r="C898" s="6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6"/>
      <c r="B899" s="6"/>
      <c r="C899" s="6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6"/>
      <c r="B900" s="6"/>
      <c r="C900" s="6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6"/>
      <c r="B901" s="6"/>
      <c r="C901" s="6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6"/>
      <c r="B902" s="6"/>
      <c r="C902" s="6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6"/>
      <c r="B903" s="6"/>
      <c r="C903" s="6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6"/>
      <c r="B904" s="6"/>
      <c r="C904" s="6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6"/>
      <c r="B905" s="6"/>
      <c r="C905" s="6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6"/>
      <c r="B906" s="6"/>
      <c r="C906" s="6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6"/>
      <c r="B907" s="6"/>
      <c r="C907" s="6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6"/>
      <c r="B908" s="6"/>
      <c r="C908" s="6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6"/>
      <c r="B909" s="6"/>
      <c r="C909" s="6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6"/>
      <c r="B910" s="6"/>
      <c r="C910" s="6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6"/>
      <c r="B911" s="6"/>
      <c r="C911" s="6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6"/>
      <c r="B912" s="6"/>
      <c r="C912" s="6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6"/>
      <c r="B913" s="6"/>
      <c r="C913" s="6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6"/>
      <c r="B914" s="6"/>
      <c r="C914" s="6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6"/>
      <c r="B915" s="6"/>
      <c r="C915" s="6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6"/>
      <c r="B916" s="6"/>
      <c r="C916" s="6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6"/>
      <c r="B917" s="6"/>
      <c r="C917" s="6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6"/>
      <c r="B918" s="6"/>
      <c r="C918" s="6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6"/>
      <c r="B919" s="6"/>
      <c r="C919" s="6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6"/>
      <c r="B920" s="6"/>
      <c r="C920" s="6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6"/>
      <c r="B921" s="6"/>
      <c r="C921" s="6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6"/>
      <c r="B922" s="6"/>
      <c r="C922" s="6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6"/>
      <c r="B923" s="6"/>
      <c r="C923" s="6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6"/>
      <c r="B924" s="6"/>
      <c r="C924" s="6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6"/>
      <c r="B925" s="6"/>
      <c r="C925" s="6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6"/>
      <c r="B926" s="6"/>
      <c r="C926" s="6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6"/>
      <c r="B927" s="6"/>
      <c r="C927" s="6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6"/>
      <c r="B928" s="6"/>
      <c r="C928" s="6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6"/>
      <c r="B929" s="6"/>
      <c r="C929" s="6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6"/>
      <c r="B930" s="6"/>
      <c r="C930" s="6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6"/>
      <c r="B931" s="6"/>
      <c r="C931" s="6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6"/>
      <c r="B932" s="6"/>
      <c r="C932" s="6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6"/>
      <c r="B933" s="6"/>
      <c r="C933" s="6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6"/>
      <c r="B934" s="6"/>
      <c r="C934" s="6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6"/>
      <c r="B935" s="6"/>
      <c r="C935" s="6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6"/>
      <c r="B936" s="6"/>
      <c r="C936" s="6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6"/>
      <c r="B937" s="6"/>
      <c r="C937" s="6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6"/>
      <c r="B938" s="6"/>
      <c r="C938" s="6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6"/>
      <c r="B939" s="6"/>
      <c r="C939" s="6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6"/>
      <c r="B940" s="6"/>
      <c r="C940" s="6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6"/>
      <c r="B941" s="6"/>
      <c r="C941" s="6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6"/>
      <c r="B942" s="6"/>
      <c r="C942" s="6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6"/>
      <c r="B943" s="6"/>
      <c r="C943" s="6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6"/>
      <c r="B944" s="6"/>
      <c r="C944" s="6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6"/>
      <c r="B945" s="6"/>
      <c r="C945" s="6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6"/>
      <c r="B946" s="6"/>
      <c r="C946" s="6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6"/>
      <c r="B947" s="6"/>
      <c r="C947" s="6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6"/>
      <c r="B948" s="6"/>
      <c r="C948" s="6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6"/>
      <c r="B949" s="6"/>
      <c r="C949" s="6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6"/>
      <c r="B950" s="6"/>
      <c r="C950" s="6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6"/>
      <c r="B951" s="6"/>
      <c r="C951" s="6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6"/>
      <c r="B952" s="6"/>
      <c r="C952" s="6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6"/>
      <c r="B953" s="6"/>
      <c r="C953" s="6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6"/>
      <c r="B954" s="6"/>
      <c r="C954" s="6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6"/>
      <c r="B955" s="6"/>
      <c r="C955" s="6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6"/>
      <c r="B956" s="6"/>
      <c r="C956" s="6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6"/>
      <c r="B957" s="6"/>
      <c r="C957" s="6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6"/>
      <c r="B958" s="6"/>
      <c r="C958" s="6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6"/>
      <c r="B959" s="6"/>
      <c r="C959" s="6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6"/>
      <c r="B960" s="6"/>
      <c r="C960" s="6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6"/>
      <c r="B961" s="6"/>
      <c r="C961" s="6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6"/>
      <c r="B962" s="6"/>
      <c r="C962" s="6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6"/>
      <c r="B963" s="6"/>
      <c r="C963" s="6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6"/>
      <c r="B964" s="6"/>
      <c r="C964" s="6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6"/>
      <c r="B965" s="6"/>
      <c r="C965" s="6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6"/>
      <c r="B966" s="6"/>
      <c r="C966" s="6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6"/>
      <c r="B967" s="6"/>
      <c r="C967" s="6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6"/>
      <c r="B968" s="6"/>
      <c r="C968" s="6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6"/>
      <c r="B969" s="6"/>
      <c r="C969" s="6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6"/>
      <c r="B970" s="6"/>
      <c r="C970" s="6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6"/>
      <c r="B971" s="6"/>
      <c r="C971" s="6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6"/>
      <c r="B972" s="6"/>
      <c r="C972" s="6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6"/>
      <c r="B973" s="6"/>
      <c r="C973" s="6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6"/>
      <c r="B974" s="6"/>
      <c r="C974" s="6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6"/>
      <c r="B975" s="6"/>
      <c r="C975" s="6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6"/>
      <c r="B976" s="6"/>
      <c r="C976" s="6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6"/>
      <c r="B977" s="6"/>
      <c r="C977" s="6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6"/>
      <c r="B978" s="6"/>
      <c r="C978" s="6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6"/>
      <c r="B979" s="6"/>
      <c r="C979" s="6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6"/>
      <c r="B980" s="6"/>
      <c r="C980" s="6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6"/>
      <c r="B981" s="6"/>
      <c r="C981" s="6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6"/>
      <c r="B982" s="6"/>
      <c r="C982" s="6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6"/>
      <c r="B983" s="6"/>
      <c r="C983" s="6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6"/>
      <c r="B984" s="6"/>
      <c r="C984" s="6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6"/>
      <c r="B985" s="6"/>
      <c r="C985" s="6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6"/>
      <c r="B986" s="6"/>
      <c r="C986" s="6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6"/>
      <c r="B987" s="6"/>
      <c r="C987" s="6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6"/>
      <c r="B988" s="6"/>
      <c r="C988" s="6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6"/>
      <c r="B989" s="6"/>
      <c r="C989" s="6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6"/>
      <c r="B990" s="6"/>
      <c r="C990" s="6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6"/>
      <c r="B991" s="6"/>
      <c r="C991" s="6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6"/>
      <c r="B992" s="6"/>
      <c r="C992" s="6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6"/>
      <c r="B993" s="6"/>
      <c r="C993" s="6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6"/>
      <c r="B994" s="6"/>
      <c r="C994" s="6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6"/>
      <c r="B995" s="6"/>
      <c r="C995" s="6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6"/>
      <c r="B996" s="6"/>
      <c r="C996" s="6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</sheetData>
  <mergeCells count="6">
    <mergeCell ref="A1:M1"/>
    <mergeCell ref="A3:B3"/>
    <mergeCell ref="C3:D3"/>
    <mergeCell ref="F3:I22"/>
    <mergeCell ref="A4:B4"/>
    <mergeCell ref="C4:D4"/>
  </mergeCells>
  <dataValidations>
    <dataValidation type="list" allowBlank="1" sqref="C3">
      <formula1>BodyMapData_1!$A$2:$A$1000</formula1>
    </dataValidation>
  </dataValidations>
  <drawing r:id="rId1"/>
  <tableParts count="1">
    <tablePart r:id="rId3"/>
  </tableParts>
</worksheet>
</file>