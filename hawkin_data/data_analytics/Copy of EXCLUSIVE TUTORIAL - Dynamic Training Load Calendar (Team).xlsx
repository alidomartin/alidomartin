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BeginningData" sheetId="2" r:id="rId6"/>
    <sheet state="hidden" name="FinishedData" sheetId="3" r:id="rId7"/>
    <sheet state="hidden" name="Lists" sheetId="4" r:id="rId8"/>
    <sheet state="visible" name="Calendar" sheetId="5" r:id="rId9"/>
    <sheet state="visible" name="MonthBreakdown" sheetId="6" r:id="rId10"/>
    <sheet state="hidden" name="Lists2" sheetId="7" r:id="rId11"/>
    <sheet state="hidden" name="Calendar2" sheetId="8" r:id="rId12"/>
    <sheet state="hidden" name="Copy of Month Table" sheetId="9" r:id="rId13"/>
    <sheet state="hidden" name="Steps" sheetId="10" r:id="rId14"/>
  </sheets>
  <definedNames/>
  <calcPr/>
</workbook>
</file>

<file path=xl/sharedStrings.xml><?xml version="1.0" encoding="utf-8"?>
<sst xmlns="http://schemas.openxmlformats.org/spreadsheetml/2006/main" count="2441" uniqueCount="58">
  <si>
    <t>TEAM AND ATHLETE TRAINING LOAD CALENDARS TUTORIAL</t>
  </si>
  <si>
    <t>TEAM VERSION</t>
  </si>
  <si>
    <r>
      <rPr>
        <rFont val="Varela Round"/>
      </rPr>
      <t xml:space="preserve">This spreadsheet is for the Dynamic Team and Player Training Load Calendars Tutorial hosted on </t>
    </r>
    <r>
      <rPr>
        <rFont val="Varela Round"/>
        <color rgb="FF1155CC"/>
        <u/>
      </rPr>
      <t>https://adamvirgile.com/.</t>
    </r>
    <r>
      <rPr>
        <rFont val="Varela Round"/>
      </rPr>
      <t xml:space="preserve"> All videos for this tutorial can be found via the link below:</t>
    </r>
  </si>
  <si>
    <t>If you have any questions, please contact Adam Virgile:</t>
  </si>
  <si>
    <t>Email</t>
  </si>
  <si>
    <t>adam.virgile@gmail.com</t>
  </si>
  <si>
    <t>Tutorial link:</t>
  </si>
  <si>
    <t>Interactive Team and Athlete Calendars Tutorial</t>
  </si>
  <si>
    <t>Twitter</t>
  </si>
  <si>
    <t>@AdamVirgile</t>
  </si>
  <si>
    <t>Date</t>
  </si>
  <si>
    <t>Event</t>
  </si>
  <si>
    <t>Training Load</t>
  </si>
  <si>
    <t>Gym</t>
  </si>
  <si>
    <t>Practice</t>
  </si>
  <si>
    <t>Game</t>
  </si>
  <si>
    <t>Off</t>
  </si>
  <si>
    <t/>
  </si>
  <si>
    <t>1s</t>
  </si>
  <si>
    <t>Icon</t>
  </si>
  <si>
    <t>TEAM CALENDAR</t>
  </si>
  <si>
    <t>WEEKLY TRAINING LOAD</t>
  </si>
  <si>
    <t>Start Date</t>
  </si>
  <si>
    <t>End Date</t>
  </si>
  <si>
    <t>Difference from Average</t>
  </si>
  <si>
    <t>CHANGE THRESHOLD</t>
  </si>
  <si>
    <t>SUNDAY</t>
  </si>
  <si>
    <t>MONDAY</t>
  </si>
  <si>
    <t>TUESDAY</t>
  </si>
  <si>
    <t>WEDNESDAY</t>
  </si>
  <si>
    <t>THURSDAY</t>
  </si>
  <si>
    <t>FRIDAY</t>
  </si>
  <si>
    <t>SATURDAY</t>
  </si>
  <si>
    <t>TRAINING LOAD</t>
  </si>
  <si>
    <t>Average</t>
  </si>
  <si>
    <t>Above Average</t>
  </si>
  <si>
    <t>Below Average</t>
  </si>
  <si>
    <t>MONTHLY BREAKDOWN</t>
  </si>
  <si>
    <t>Year Totals</t>
  </si>
  <si>
    <t>% of Annual</t>
  </si>
  <si>
    <t>Games</t>
  </si>
  <si>
    <t>Practices</t>
  </si>
  <si>
    <t>WEEK SUMMARY</t>
  </si>
  <si>
    <t>Week-to-week Difference</t>
  </si>
  <si>
    <t>Conditional Formatting Metrics</t>
  </si>
  <si>
    <t>Average TL</t>
  </si>
  <si>
    <t>TL + %</t>
  </si>
  <si>
    <t>CHANGE</t>
  </si>
  <si>
    <t>TL - %</t>
  </si>
  <si>
    <t>CHANGE:</t>
  </si>
  <si>
    <t>% of Annual Load</t>
  </si>
  <si>
    <t>Off Days</t>
  </si>
  <si>
    <t>1. Data Input</t>
  </si>
  <si>
    <t>2. The Power of 1s</t>
  </si>
  <si>
    <t>3. Control Calendar - Start Date / End Date</t>
  </si>
  <si>
    <t>4. Set up Each Calendar Day with however many rows of data you want to display (3)</t>
  </si>
  <si>
    <t>5. Set up first 2 weeks</t>
  </si>
  <si>
    <t>6. Copy/paste the 2nd week for as far as you want it to go.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</si>
</sst>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quot;/&quot;d&quot;/&quot;yy"/>
    <numFmt numFmtId="165" formatCode="m/d/yyyy"/>
    <numFmt numFmtId="166" formatCode="&quot;▲ &quot;0.0%;&quot; ▼ &quot;0.0%;0.0%"/>
    <numFmt numFmtId="167" formatCode="mmmm&quot;-&quot;yyyy"/>
    <numFmt numFmtId="168" formatCode="mmmm"/>
    <numFmt numFmtId="169" formatCode="0.0%"/>
    <numFmt numFmtId="170" formatCode="0000"/>
    <numFmt numFmtId="171" formatCode="mmmm&quot; &quot;"/>
  </numFmts>
  <fonts count="24">
    <font>
      <sz val="10.0"/>
      <color rgb="FF000000"/>
      <name val="Arial"/>
      <scheme val="minor"/>
    </font>
    <font>
      <b/>
      <sz val="18.0"/>
      <color rgb="FFFFFFFF"/>
      <name val="Varela Round"/>
    </font>
    <font>
      <color theme="1"/>
      <name val="Varela Round"/>
    </font>
    <font>
      <b/>
      <sz val="18.0"/>
      <color rgb="FFFDB927"/>
      <name val="Varela Round"/>
    </font>
    <font>
      <u/>
      <color rgb="FF0000FF"/>
      <name val="Varela Round"/>
    </font>
    <font/>
    <font>
      <b/>
      <color rgb="FFFFFFFF"/>
      <name val="Varela Round"/>
    </font>
    <font>
      <color theme="1"/>
      <name val="Arial"/>
      <scheme val="minor"/>
    </font>
    <font>
      <u/>
      <color rgb="FF1155CC"/>
      <name val="Varela Round"/>
    </font>
    <font>
      <b/>
      <color theme="1"/>
      <name val="Varela Round"/>
    </font>
    <font>
      <b/>
      <u/>
      <color rgb="FF1155CC"/>
      <name val="Varela Round"/>
    </font>
    <font>
      <u/>
      <color rgb="FF1155CC"/>
      <name val="Varela Round"/>
    </font>
    <font>
      <b/>
      <color theme="1"/>
      <name val="Arial"/>
      <scheme val="minor"/>
    </font>
    <font>
      <b/>
      <sz val="14.0"/>
      <color rgb="FFFFFFFF"/>
      <name val="Varela Round"/>
    </font>
    <font>
      <b/>
      <sz val="14.0"/>
      <color rgb="FF000000"/>
      <name val="Varela Round"/>
    </font>
    <font>
      <b/>
      <color rgb="FF000000"/>
      <name val="Varela Round"/>
    </font>
    <font>
      <b/>
      <i/>
      <color rgb="FF552583"/>
      <name val="Varela Round"/>
    </font>
    <font>
      <i/>
      <color theme="1"/>
      <name val="Varela Round"/>
    </font>
    <font>
      <b/>
      <sz val="18.0"/>
      <color theme="1"/>
      <name val="Varela Round"/>
    </font>
    <font>
      <color rgb="FFFFFFFF"/>
      <name val="Varela Round"/>
    </font>
    <font>
      <b/>
      <sz val="14.0"/>
      <color rgb="FF552583"/>
      <name val="Varela Round"/>
    </font>
    <font>
      <sz val="14.0"/>
      <color rgb="FF000000"/>
      <name val="Varela Round"/>
    </font>
    <font>
      <b/>
      <i/>
      <color rgb="FF1C4587"/>
      <name val="Varela Round"/>
    </font>
    <font>
      <sz val="14.0"/>
      <color theme="1"/>
      <name val="Varela Round"/>
    </font>
  </fonts>
  <fills count="11">
    <fill>
      <patternFill patternType="none"/>
    </fill>
    <fill>
      <patternFill patternType="lightGray"/>
    </fill>
    <fill>
      <patternFill patternType="solid">
        <fgColor rgb="FF552583"/>
        <bgColor rgb="FF552583"/>
      </patternFill>
    </fill>
    <fill>
      <patternFill patternType="solid">
        <fgColor rgb="FFF3F3F3"/>
        <bgColor rgb="FFF3F3F3"/>
      </patternFill>
    </fill>
    <fill>
      <patternFill patternType="solid">
        <fgColor rgb="FFEFEFEF"/>
        <bgColor rgb="FFEFEFEF"/>
      </patternFill>
    </fill>
    <fill>
      <patternFill patternType="solid">
        <fgColor rgb="FFFDB927"/>
        <bgColor rgb="FFFDB927"/>
      </patternFill>
    </fill>
    <fill>
      <patternFill patternType="solid">
        <fgColor rgb="FF000000"/>
        <bgColor rgb="FF000000"/>
      </patternFill>
    </fill>
    <fill>
      <patternFill patternType="solid">
        <fgColor rgb="FFFFFFFF"/>
        <bgColor rgb="FFFFFFFF"/>
      </patternFill>
    </fill>
    <fill>
      <patternFill patternType="solid">
        <fgColor theme="1"/>
        <bgColor theme="1"/>
      </patternFill>
    </fill>
    <fill>
      <patternFill patternType="solid">
        <fgColor rgb="FFCCCCCC"/>
        <bgColor rgb="FFCCCCCC"/>
      </patternFill>
    </fill>
    <fill>
      <patternFill patternType="solid">
        <fgColor rgb="FFD9D9D9"/>
        <bgColor rgb="FFD9D9D9"/>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Font="1"/>
    <xf borderId="0" fillId="3" fontId="3" numFmtId="0" xfId="0" applyAlignment="1" applyFill="1" applyFont="1">
      <alignment horizontal="center" readingOrder="0" vertical="center"/>
    </xf>
    <xf borderId="1" fillId="4" fontId="4" numFmtId="0" xfId="0" applyAlignment="1" applyBorder="1" applyFill="1" applyFont="1">
      <alignment horizontal="center" readingOrder="0" shrinkToFit="0" vertical="center" wrapText="1"/>
    </xf>
    <xf borderId="2" fillId="0" fontId="5" numFmtId="0" xfId="0" applyBorder="1" applyFont="1"/>
    <xf borderId="3" fillId="0" fontId="5" numFmtId="0" xfId="0" applyBorder="1" applyFont="1"/>
    <xf borderId="0" fillId="0" fontId="2" numFmtId="0" xfId="0" applyAlignment="1" applyFont="1">
      <alignment horizontal="center" vertical="center"/>
    </xf>
    <xf borderId="1" fillId="2" fontId="6" numFmtId="0" xfId="0" applyAlignment="1" applyBorder="1" applyFont="1">
      <alignment horizontal="center" readingOrder="0" vertical="center"/>
    </xf>
    <xf borderId="4" fillId="0" fontId="5" numFmtId="0" xfId="0" applyBorder="1" applyFont="1"/>
    <xf borderId="5" fillId="0" fontId="5" numFmtId="0" xfId="0" applyBorder="1" applyFont="1"/>
    <xf borderId="4" fillId="3" fontId="7" numFmtId="0" xfId="0" applyAlignment="1" applyBorder="1" applyFont="1">
      <alignment horizontal="center" vertical="center"/>
    </xf>
    <xf borderId="0" fillId="3" fontId="7" numFmtId="0" xfId="0" applyAlignment="1" applyFont="1">
      <alignment horizontal="center" vertical="center"/>
    </xf>
    <xf borderId="0" fillId="3" fontId="2" numFmtId="0" xfId="0" applyAlignment="1" applyFont="1">
      <alignment horizontal="center" vertical="center"/>
    </xf>
    <xf borderId="5" fillId="3" fontId="2" numFmtId="0" xfId="0" applyAlignment="1" applyBorder="1" applyFont="1">
      <alignment horizontal="center" vertical="center"/>
    </xf>
    <xf borderId="4"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5" fillId="0" fontId="2" numFmtId="0" xfId="0" applyAlignment="1" applyBorder="1" applyFont="1">
      <alignment horizontal="center" readingOrder="0" shrinkToFit="0" vertical="center" wrapText="1"/>
    </xf>
    <xf borderId="0" fillId="3" fontId="2" numFmtId="0" xfId="0" applyAlignment="1" applyFont="1">
      <alignment horizontal="center" readingOrder="0" vertical="center"/>
    </xf>
    <xf borderId="0" fillId="3" fontId="8" numFmtId="0" xfId="0" applyAlignment="1" applyFont="1">
      <alignment horizontal="left" readingOrder="0" vertical="center"/>
    </xf>
    <xf borderId="6" fillId="0" fontId="9"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5" numFmtId="0" xfId="0" applyBorder="1" applyFont="1"/>
    <xf borderId="8" fillId="0" fontId="5" numFmtId="0" xfId="0" applyBorder="1" applyFont="1"/>
    <xf borderId="6" fillId="3" fontId="2" numFmtId="0" xfId="0" applyAlignment="1" applyBorder="1" applyFont="1">
      <alignment horizontal="center" vertical="center"/>
    </xf>
    <xf borderId="7" fillId="3" fontId="2" numFmtId="0" xfId="0" applyAlignment="1" applyBorder="1" applyFont="1">
      <alignment horizontal="center" readingOrder="0" vertical="center"/>
    </xf>
    <xf borderId="7" fillId="3" fontId="11" numFmtId="0" xfId="0" applyAlignment="1" applyBorder="1" applyFont="1">
      <alignment horizontal="left" readingOrder="0" vertical="center"/>
    </xf>
    <xf borderId="0" fillId="0" fontId="12" numFmtId="164" xfId="0" applyAlignment="1" applyFont="1" applyNumberFormat="1">
      <alignment readingOrder="0"/>
    </xf>
    <xf borderId="0" fillId="0" fontId="12" numFmtId="0" xfId="0" applyAlignment="1" applyFont="1">
      <alignment readingOrder="0"/>
    </xf>
    <xf borderId="0" fillId="0" fontId="7" numFmtId="164" xfId="0" applyAlignment="1" applyFont="1" applyNumberFormat="1">
      <alignment readingOrder="0"/>
    </xf>
    <xf borderId="0" fillId="0" fontId="7" numFmtId="0" xfId="0" applyAlignment="1" applyFont="1">
      <alignment readingOrder="0"/>
    </xf>
    <xf borderId="0" fillId="0" fontId="7" numFmtId="0" xfId="0" applyFont="1"/>
    <xf borderId="0" fillId="0" fontId="7" numFmtId="164" xfId="0" applyFont="1" applyNumberFormat="1"/>
    <xf borderId="0" fillId="2" fontId="13" numFmtId="0" xfId="0" applyAlignment="1" applyFont="1">
      <alignment horizontal="center" readingOrder="0" vertical="center"/>
    </xf>
    <xf borderId="0" fillId="5" fontId="14" numFmtId="0" xfId="0" applyAlignment="1" applyFill="1" applyFont="1">
      <alignment horizontal="center" readingOrder="0" vertical="center"/>
    </xf>
    <xf borderId="0" fillId="0" fontId="9" numFmtId="0" xfId="0" applyAlignment="1" applyFont="1">
      <alignment horizontal="center" readingOrder="0" vertical="center"/>
    </xf>
    <xf borderId="0" fillId="6" fontId="6" numFmtId="165" xfId="0" applyAlignment="1" applyFill="1" applyFont="1" applyNumberFormat="1">
      <alignment horizontal="center" readingOrder="0" vertical="center"/>
    </xf>
    <xf borderId="0" fillId="6" fontId="6" numFmtId="9" xfId="0" applyAlignment="1" applyFont="1" applyNumberFormat="1">
      <alignment horizontal="center" readingOrder="0" vertical="center"/>
    </xf>
    <xf borderId="9" fillId="2" fontId="6" numFmtId="0" xfId="0" applyAlignment="1" applyBorder="1" applyFont="1">
      <alignment horizontal="center" readingOrder="0" vertical="center"/>
    </xf>
    <xf borderId="10" fillId="5" fontId="15" numFmtId="0" xfId="0" applyAlignment="1" applyBorder="1" applyFont="1">
      <alignment horizontal="center" readingOrder="0" vertical="center"/>
    </xf>
    <xf borderId="11" fillId="0" fontId="5" numFmtId="0" xfId="0" applyBorder="1" applyFont="1"/>
    <xf borderId="12" fillId="0" fontId="16" numFmtId="165" xfId="0" applyAlignment="1" applyBorder="1" applyFont="1" applyNumberFormat="1">
      <alignment horizontal="center" vertical="center"/>
    </xf>
    <xf borderId="12" fillId="0" fontId="2" numFmtId="0" xfId="0" applyAlignment="1" applyBorder="1" applyFont="1">
      <alignment horizontal="center" vertical="center"/>
    </xf>
    <xf borderId="0" fillId="3" fontId="17" numFmtId="0" xfId="0" applyAlignment="1" applyFont="1">
      <alignment horizontal="center" vertical="center"/>
    </xf>
    <xf borderId="0" fillId="0" fontId="2" numFmtId="0" xfId="0" applyAlignment="1" applyFont="1">
      <alignment readingOrder="0"/>
    </xf>
    <xf borderId="12" fillId="4" fontId="2" numFmtId="0" xfId="0" applyAlignment="1" applyBorder="1" applyFont="1">
      <alignment horizontal="center" vertical="center"/>
    </xf>
    <xf borderId="0" fillId="3" fontId="18" numFmtId="0" xfId="0" applyAlignment="1" applyFont="1">
      <alignment horizontal="center" readingOrder="0" vertical="center"/>
    </xf>
    <xf borderId="0" fillId="3" fontId="18" numFmtId="166" xfId="0" applyAlignment="1" applyFont="1" applyNumberFormat="1">
      <alignment horizontal="center" vertical="center"/>
    </xf>
    <xf borderId="0" fillId="0" fontId="19" numFmtId="0" xfId="0" applyFont="1"/>
    <xf borderId="13" fillId="0" fontId="16" numFmtId="165" xfId="0" applyAlignment="1" applyBorder="1" applyFont="1" applyNumberFormat="1">
      <alignment horizontal="center" vertical="center"/>
    </xf>
    <xf borderId="0" fillId="7" fontId="19" numFmtId="0" xfId="0" applyFill="1" applyFont="1"/>
    <xf borderId="0" fillId="0" fontId="9" numFmtId="0" xfId="0" applyAlignment="1" applyFont="1">
      <alignment horizontal="center" vertical="center"/>
    </xf>
    <xf borderId="0" fillId="8" fontId="6" numFmtId="167" xfId="0" applyAlignment="1" applyFill="1" applyFont="1" applyNumberFormat="1">
      <alignment horizontal="center" readingOrder="0" vertical="center"/>
    </xf>
    <xf borderId="0" fillId="9" fontId="9" numFmtId="0" xfId="0" applyAlignment="1" applyFill="1" applyFont="1">
      <alignment horizontal="center" readingOrder="0" vertical="center"/>
    </xf>
    <xf borderId="0" fillId="4" fontId="9" numFmtId="168" xfId="0" applyAlignment="1" applyFont="1" applyNumberFormat="1">
      <alignment horizontal="center" vertical="center"/>
    </xf>
    <xf borderId="0" fillId="0" fontId="20" numFmtId="10" xfId="0" applyAlignment="1" applyFont="1" applyNumberFormat="1">
      <alignment horizontal="center" readingOrder="0" shrinkToFit="0" vertical="center" wrapText="1"/>
    </xf>
    <xf borderId="0" fillId="10" fontId="9" numFmtId="0" xfId="0" applyAlignment="1" applyFill="1" applyFont="1">
      <alignment horizontal="center" vertical="center"/>
    </xf>
    <xf borderId="0" fillId="0" fontId="2" numFmtId="169" xfId="0" applyAlignment="1" applyFont="1" applyNumberFormat="1">
      <alignment horizontal="center" vertical="center"/>
    </xf>
    <xf borderId="0" fillId="0" fontId="9" numFmtId="0" xfId="0" applyAlignment="1" applyFont="1">
      <alignment readingOrder="0"/>
    </xf>
    <xf borderId="0" fillId="0" fontId="13" numFmtId="0" xfId="0" applyAlignment="1" applyFont="1">
      <alignment horizontal="center" readingOrder="0" vertical="center"/>
    </xf>
    <xf borderId="0" fillId="0" fontId="2" numFmtId="0" xfId="0" applyAlignment="1" applyFont="1">
      <alignment horizontal="center" readingOrder="0" vertical="center"/>
    </xf>
    <xf borderId="0" fillId="0" fontId="2" numFmtId="165" xfId="0" applyAlignment="1" applyFont="1" applyNumberFormat="1">
      <alignment horizontal="center" readingOrder="0" vertical="center"/>
    </xf>
    <xf borderId="0" fillId="0" fontId="2" numFmtId="0" xfId="0" applyAlignment="1" applyFont="1">
      <alignment vertical="center"/>
    </xf>
    <xf borderId="0" fillId="6" fontId="19" numFmtId="165" xfId="0" applyAlignment="1" applyFont="1" applyNumberFormat="1">
      <alignment horizontal="center" readingOrder="0" vertical="center"/>
    </xf>
    <xf borderId="0" fillId="6" fontId="19" numFmtId="9" xfId="0" applyAlignment="1" applyFont="1" applyNumberFormat="1">
      <alignment horizontal="center" readingOrder="0" vertical="center"/>
    </xf>
    <xf borderId="0" fillId="0" fontId="9" numFmtId="0" xfId="0" applyAlignment="1" applyFont="1">
      <alignment horizontal="center" readingOrder="0" shrinkToFit="0" vertical="center" wrapText="1"/>
    </xf>
    <xf borderId="9" fillId="2" fontId="6"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0" fillId="2" fontId="6" numFmtId="0" xfId="0" applyAlignment="1" applyBorder="1" applyFont="1">
      <alignment horizontal="center" readingOrder="0" shrinkToFit="0" vertical="center" wrapText="1"/>
    </xf>
    <xf borderId="0" fillId="0" fontId="2" numFmtId="0" xfId="0" applyAlignment="1" applyFont="1">
      <alignment horizontal="center" readingOrder="0"/>
    </xf>
    <xf borderId="0" fillId="0" fontId="2" numFmtId="3" xfId="0" applyAlignment="1" applyFont="1" applyNumberFormat="1">
      <alignment horizontal="center" readingOrder="0" vertical="center"/>
    </xf>
    <xf borderId="0" fillId="3" fontId="17" numFmtId="0" xfId="0" applyAlignment="1" applyFont="1">
      <alignment horizontal="center" readingOrder="0" vertical="center"/>
    </xf>
    <xf borderId="0" fillId="3" fontId="2" numFmtId="3" xfId="0" applyAlignment="1" applyFont="1" applyNumberFormat="1">
      <alignment horizontal="center" readingOrder="0" vertical="center"/>
    </xf>
    <xf borderId="14" fillId="3" fontId="2" numFmtId="0" xfId="0" applyAlignment="1" applyBorder="1" applyFont="1">
      <alignment horizontal="center" vertical="center"/>
    </xf>
    <xf borderId="0" fillId="3" fontId="14" numFmtId="0" xfId="0" applyAlignment="1" applyFont="1">
      <alignment horizontal="center" readingOrder="0" vertical="center"/>
    </xf>
    <xf borderId="0" fillId="3" fontId="21" numFmtId="166" xfId="0" applyAlignment="1" applyFont="1" applyNumberFormat="1">
      <alignment horizontal="center" vertical="center"/>
    </xf>
    <xf borderId="12" fillId="0" fontId="22" numFmtId="165" xfId="0" applyAlignment="1" applyBorder="1" applyFont="1" applyNumberFormat="1">
      <alignment horizontal="center" vertical="center"/>
    </xf>
    <xf borderId="0" fillId="0" fontId="2" numFmtId="4" xfId="0" applyAlignment="1" applyFont="1" applyNumberFormat="1">
      <alignment horizontal="center" vertical="center"/>
    </xf>
    <xf borderId="0" fillId="0" fontId="2" numFmtId="3" xfId="0" applyAlignment="1" applyFont="1" applyNumberFormat="1">
      <alignment horizontal="center"/>
    </xf>
    <xf borderId="0" fillId="0" fontId="2" numFmtId="0" xfId="0" applyAlignment="1" applyFont="1">
      <alignment horizontal="center"/>
    </xf>
    <xf borderId="0" fillId="0" fontId="2" numFmtId="4" xfId="0" applyAlignment="1" applyFont="1" applyNumberFormat="1">
      <alignment horizontal="center" readingOrder="0"/>
    </xf>
    <xf borderId="0" fillId="0" fontId="2" numFmtId="169" xfId="0" applyAlignment="1" applyFont="1" applyNumberFormat="1">
      <alignment horizontal="center"/>
    </xf>
    <xf borderId="0" fillId="2" fontId="6" numFmtId="0" xfId="0" applyAlignment="1" applyFont="1">
      <alignment horizontal="center" readingOrder="0" vertical="center"/>
    </xf>
    <xf borderId="0" fillId="0" fontId="2" numFmtId="167" xfId="0" applyAlignment="1" applyFont="1" applyNumberFormat="1">
      <alignment horizontal="center" readingOrder="0" vertical="center"/>
    </xf>
    <xf borderId="0" fillId="0" fontId="2" numFmtId="167" xfId="0" applyAlignment="1" applyFont="1" applyNumberFormat="1">
      <alignment horizontal="center" readingOrder="0" vertical="center"/>
    </xf>
    <xf borderId="0" fillId="0" fontId="9" numFmtId="167" xfId="0" applyAlignment="1" applyFont="1" applyNumberFormat="1">
      <alignment horizontal="center" readingOrder="0" vertical="center"/>
    </xf>
    <xf borderId="0" fillId="5" fontId="15" numFmtId="170" xfId="0" applyAlignment="1" applyFont="1" applyNumberFormat="1">
      <alignment horizontal="center" vertical="center"/>
    </xf>
    <xf borderId="0" fillId="4" fontId="9" numFmtId="171" xfId="0" applyAlignment="1" applyFont="1" applyNumberFormat="1">
      <alignment horizontal="center" readingOrder="0" vertical="center"/>
    </xf>
    <xf borderId="0" fillId="7" fontId="2" numFmtId="0" xfId="0" applyAlignment="1" applyFont="1">
      <alignment horizontal="center" readingOrder="0" vertical="center"/>
    </xf>
    <xf borderId="0" fillId="7" fontId="2" numFmtId="0" xfId="0" applyAlignment="1" applyFont="1">
      <alignment horizontal="center" vertical="center"/>
    </xf>
    <xf borderId="0" fillId="7" fontId="9" numFmtId="0" xfId="0" applyAlignment="1" applyFont="1">
      <alignment horizontal="center" vertical="center"/>
    </xf>
    <xf borderId="0" fillId="7" fontId="23" numFmtId="0" xfId="0" applyAlignment="1" applyFont="1">
      <alignment horizontal="center" readingOrder="0" shrinkToFit="0" vertical="center" wrapText="1"/>
    </xf>
    <xf borderId="15" fillId="0" fontId="9" numFmtId="0" xfId="0" applyAlignment="1" applyBorder="1" applyFont="1">
      <alignment horizontal="center" readingOrder="0" vertical="center"/>
    </xf>
    <xf borderId="16" fillId="7" fontId="2" numFmtId="0" xfId="0" applyAlignment="1" applyBorder="1" applyFont="1">
      <alignment horizontal="center" vertical="center"/>
    </xf>
    <xf borderId="17" fillId="3" fontId="9" numFmtId="0" xfId="0" applyAlignment="1" applyBorder="1" applyFont="1">
      <alignment horizontal="center" vertical="center"/>
    </xf>
    <xf borderId="18" fillId="0" fontId="9" numFmtId="0" xfId="0" applyAlignment="1" applyBorder="1" applyFont="1">
      <alignment horizontal="center" readingOrder="0" vertical="center"/>
    </xf>
    <xf borderId="19" fillId="7" fontId="2" numFmtId="169" xfId="0" applyAlignment="1" applyBorder="1" applyFont="1" applyNumberFormat="1">
      <alignment horizontal="center" vertical="center"/>
    </xf>
    <xf borderId="20" fillId="0" fontId="5" numFmtId="0" xfId="0" applyBorder="1" applyFont="1"/>
    <xf borderId="18" fillId="0" fontId="2" numFmtId="0" xfId="0" applyAlignment="1" applyBorder="1" applyFont="1">
      <alignment horizontal="center" readingOrder="0" vertical="center"/>
    </xf>
    <xf borderId="19" fillId="7" fontId="2" numFmtId="0" xfId="0" applyAlignment="1" applyBorder="1" applyFont="1">
      <alignment horizontal="center" vertical="center"/>
    </xf>
    <xf borderId="21" fillId="0" fontId="2" numFmtId="0" xfId="0" applyAlignment="1" applyBorder="1" applyFont="1">
      <alignment horizontal="center" readingOrder="0" vertical="center"/>
    </xf>
    <xf borderId="22" fillId="3" fontId="9" numFmtId="0" xfId="0" applyAlignment="1" applyBorder="1" applyFont="1">
      <alignment horizontal="center" vertical="center"/>
    </xf>
    <xf borderId="23" fillId="0" fontId="2" numFmtId="0" xfId="0" applyAlignment="1" applyBorder="1" applyFont="1">
      <alignment horizontal="center" readingOrder="0" vertical="center"/>
    </xf>
    <xf borderId="24" fillId="0" fontId="2" numFmtId="0" xfId="0" applyAlignment="1" applyBorder="1" applyFont="1">
      <alignment horizontal="center" vertical="center"/>
    </xf>
    <xf borderId="20" fillId="3" fontId="9" numFmtId="0" xfId="0" applyAlignment="1" applyBorder="1" applyFont="1">
      <alignment horizontal="center" vertical="center"/>
    </xf>
    <xf borderId="0" fillId="7" fontId="6" numFmtId="170" xfId="0" applyAlignment="1" applyFont="1" applyNumberFormat="1">
      <alignment horizontal="center" vertical="center"/>
    </xf>
    <xf borderId="0" fillId="7" fontId="2" numFmtId="0" xfId="0" applyFont="1"/>
    <xf borderId="0" fillId="8" fontId="6" numFmtId="170" xfId="0" applyAlignment="1" applyFont="1" applyNumberFormat="1">
      <alignment horizontal="center" vertical="center"/>
    </xf>
    <xf borderId="15" fillId="0" fontId="2" numFmtId="0" xfId="0" applyAlignment="1" applyBorder="1" applyFont="1">
      <alignment horizontal="center" vertical="center"/>
    </xf>
    <xf borderId="16" fillId="0" fontId="2" numFmtId="0" xfId="0" applyAlignment="1" applyBorder="1" applyFont="1">
      <alignment horizontal="center" vertical="center"/>
    </xf>
    <xf borderId="25" fillId="3" fontId="9" numFmtId="0" xfId="0" applyAlignment="1" applyBorder="1" applyFont="1">
      <alignment horizontal="center" vertical="center"/>
    </xf>
    <xf borderId="0" fillId="3" fontId="9" numFmtId="0" xfId="0" applyAlignment="1" applyFont="1">
      <alignment horizontal="center" vertical="center"/>
    </xf>
    <xf borderId="0" fillId="0" fontId="2" numFmtId="167" xfId="0" applyAlignment="1" applyFont="1" applyNumberFormat="1">
      <alignment horizontal="center" vertical="center"/>
    </xf>
    <xf borderId="0" fillId="0" fontId="2" numFmtId="3" xfId="0" applyAlignment="1" applyFont="1" applyNumberFormat="1">
      <alignment horizontal="center" vertical="center"/>
    </xf>
    <xf borderId="0" fillId="0" fontId="2" numFmtId="171" xfId="0" applyAlignment="1" applyFont="1" applyNumberFormat="1">
      <alignment horizontal="center" readingOrder="0" vertical="center"/>
    </xf>
  </cellXfs>
  <cellStyles count="1">
    <cellStyle xfId="0" name="Normal" builtinId="0"/>
  </cellStyles>
  <dxfs count="5">
    <dxf>
      <font>
        <b/>
        <color rgb="FFFFFFFF"/>
      </font>
      <fill>
        <patternFill patternType="solid">
          <fgColor rgb="FF552583"/>
          <bgColor rgb="FF552583"/>
        </patternFill>
      </fill>
      <border/>
    </dxf>
    <dxf>
      <font/>
      <fill>
        <patternFill patternType="solid">
          <fgColor rgb="FFFDB927"/>
          <bgColor rgb="FFFDB927"/>
        </patternFill>
      </fill>
      <border/>
    </dxf>
    <dxf>
      <font>
        <color rgb="FFFFFFFF"/>
      </font>
      <fill>
        <patternFill patternType="solid">
          <fgColor rgb="FFFFFFFF"/>
          <bgColor rgb="FFFFFFFF"/>
        </patternFill>
      </fill>
      <border/>
    </dxf>
    <dxf>
      <font>
        <color rgb="FF000000"/>
      </font>
      <fill>
        <patternFill patternType="solid">
          <fgColor rgb="FFFDB927"/>
          <bgColor rgb="FFFDB927"/>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5</xdr:row>
      <xdr:rowOff>371475</xdr:rowOff>
    </xdr:from>
    <xdr:ext cx="361950"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180975</xdr:colOff>
      <xdr:row>5</xdr:row>
      <xdr:rowOff>66675</xdr:rowOff>
    </xdr:from>
    <xdr:ext cx="304800" cy="3048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247650"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247650" cy="2000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200025"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damvirgile.com/" TargetMode="External"/><Relationship Id="rId2" Type="http://schemas.openxmlformats.org/officeDocument/2006/relationships/hyperlink" Target="mailto:adam.virgile@gmail.com" TargetMode="External"/><Relationship Id="rId3" Type="http://schemas.openxmlformats.org/officeDocument/2006/relationships/hyperlink" Target="https://adamvirgile.com/rolling-loads-and-acwr-tutorial/" TargetMode="External"/><Relationship Id="rId4" Type="http://schemas.openxmlformats.org/officeDocument/2006/relationships/hyperlink" Target="https://twitter.com/AdamVirgil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25"/>
    <col customWidth="1" min="2" max="2" width="18.13"/>
    <col customWidth="1" min="3" max="3" width="12.88"/>
    <col customWidth="1" min="4" max="10" width="9.5"/>
  </cols>
  <sheetData>
    <row r="1" ht="30.0" customHeight="1">
      <c r="A1" s="1" t="s">
        <v>0</v>
      </c>
      <c r="K1" s="2"/>
      <c r="L1" s="2"/>
      <c r="M1" s="2"/>
      <c r="N1" s="2"/>
      <c r="O1" s="2"/>
      <c r="P1" s="2"/>
      <c r="Q1" s="2"/>
      <c r="R1" s="2"/>
      <c r="S1" s="2"/>
      <c r="T1" s="2"/>
      <c r="U1" s="2"/>
      <c r="V1" s="2"/>
      <c r="W1" s="2"/>
      <c r="X1" s="2"/>
      <c r="Y1" s="2"/>
      <c r="Z1" s="2"/>
    </row>
    <row r="2" ht="30.0" customHeight="1">
      <c r="A2" s="3" t="s">
        <v>1</v>
      </c>
      <c r="K2" s="2"/>
      <c r="L2" s="2"/>
      <c r="M2" s="2"/>
      <c r="N2" s="2"/>
      <c r="O2" s="2"/>
      <c r="P2" s="2"/>
      <c r="Q2" s="2"/>
      <c r="R2" s="2"/>
      <c r="S2" s="2"/>
      <c r="T2" s="2"/>
      <c r="U2" s="2"/>
      <c r="V2" s="2"/>
      <c r="W2" s="2"/>
      <c r="X2" s="2"/>
      <c r="Y2" s="2"/>
      <c r="Z2" s="2"/>
    </row>
    <row r="3" ht="30.0" customHeight="1">
      <c r="K3" s="2"/>
      <c r="L3" s="2"/>
      <c r="M3" s="2"/>
      <c r="N3" s="2"/>
      <c r="O3" s="2"/>
      <c r="P3" s="2"/>
      <c r="Q3" s="2"/>
      <c r="R3" s="2"/>
      <c r="S3" s="2"/>
      <c r="T3" s="2"/>
      <c r="U3" s="2"/>
      <c r="V3" s="2"/>
      <c r="W3" s="2"/>
      <c r="X3" s="2"/>
      <c r="Y3" s="2"/>
      <c r="Z3" s="2"/>
    </row>
    <row r="4" ht="30.0" customHeight="1">
      <c r="A4" s="4" t="s">
        <v>2</v>
      </c>
      <c r="B4" s="5"/>
      <c r="C4" s="5"/>
      <c r="D4" s="6"/>
      <c r="E4" s="7"/>
      <c r="F4" s="8" t="s">
        <v>3</v>
      </c>
      <c r="G4" s="5"/>
      <c r="H4" s="5"/>
      <c r="I4" s="5"/>
      <c r="J4" s="6"/>
      <c r="K4" s="2"/>
      <c r="L4" s="2"/>
      <c r="M4" s="2"/>
      <c r="N4" s="2"/>
      <c r="O4" s="2"/>
      <c r="P4" s="2"/>
      <c r="Q4" s="2"/>
      <c r="R4" s="2"/>
      <c r="S4" s="2"/>
      <c r="T4" s="2"/>
      <c r="U4" s="2"/>
      <c r="V4" s="2"/>
      <c r="W4" s="2"/>
      <c r="X4" s="2"/>
      <c r="Y4" s="2"/>
      <c r="Z4" s="2"/>
    </row>
    <row r="5" ht="30.0" customHeight="1">
      <c r="A5" s="9"/>
      <c r="D5" s="10"/>
      <c r="E5" s="7"/>
      <c r="F5" s="11"/>
      <c r="G5" s="12"/>
      <c r="H5" s="13"/>
      <c r="I5" s="13"/>
      <c r="J5" s="14"/>
      <c r="K5" s="2"/>
      <c r="L5" s="2"/>
      <c r="M5" s="2"/>
      <c r="N5" s="2"/>
      <c r="O5" s="2"/>
      <c r="P5" s="2"/>
      <c r="Q5" s="2"/>
      <c r="R5" s="2"/>
      <c r="S5" s="2"/>
      <c r="T5" s="2"/>
      <c r="U5" s="2"/>
      <c r="V5" s="2"/>
      <c r="W5" s="2"/>
      <c r="X5" s="2"/>
      <c r="Y5" s="2"/>
      <c r="Z5" s="2"/>
    </row>
    <row r="6" ht="30.0" customHeight="1">
      <c r="A6" s="15"/>
      <c r="B6" s="16"/>
      <c r="C6" s="16"/>
      <c r="D6" s="17"/>
      <c r="E6" s="7"/>
      <c r="F6" s="11"/>
      <c r="G6" s="18" t="s">
        <v>4</v>
      </c>
      <c r="H6" s="19" t="s">
        <v>5</v>
      </c>
      <c r="J6" s="10"/>
      <c r="K6" s="2"/>
      <c r="L6" s="2"/>
      <c r="M6" s="2"/>
      <c r="N6" s="2"/>
      <c r="O6" s="2"/>
      <c r="P6" s="2"/>
      <c r="Q6" s="2"/>
      <c r="R6" s="2"/>
      <c r="S6" s="2"/>
      <c r="T6" s="2"/>
      <c r="U6" s="2"/>
      <c r="V6" s="2"/>
      <c r="W6" s="2"/>
      <c r="X6" s="2"/>
      <c r="Y6" s="2"/>
      <c r="Z6" s="2"/>
    </row>
    <row r="7" ht="30.0" customHeight="1">
      <c r="A7" s="20" t="s">
        <v>6</v>
      </c>
      <c r="B7" s="21" t="s">
        <v>7</v>
      </c>
      <c r="C7" s="22"/>
      <c r="D7" s="23"/>
      <c r="E7" s="7"/>
      <c r="F7" s="24"/>
      <c r="G7" s="25" t="s">
        <v>8</v>
      </c>
      <c r="H7" s="26" t="s">
        <v>9</v>
      </c>
      <c r="I7" s="22"/>
      <c r="J7" s="23"/>
      <c r="K7" s="2"/>
      <c r="L7" s="2"/>
      <c r="M7" s="2"/>
      <c r="N7" s="2"/>
      <c r="O7" s="2"/>
      <c r="P7" s="2"/>
      <c r="Q7" s="2"/>
      <c r="R7" s="2"/>
      <c r="S7" s="2"/>
      <c r="T7" s="2"/>
      <c r="U7" s="2"/>
      <c r="V7" s="2"/>
      <c r="W7" s="2"/>
      <c r="X7" s="2"/>
      <c r="Y7" s="2"/>
      <c r="Z7" s="2"/>
    </row>
    <row r="8" ht="30.0" customHeight="1">
      <c r="K8" s="2"/>
      <c r="L8" s="2"/>
      <c r="M8" s="2"/>
      <c r="N8" s="2"/>
      <c r="O8" s="2"/>
      <c r="P8" s="2"/>
      <c r="Q8" s="2"/>
      <c r="R8" s="2"/>
      <c r="S8" s="2"/>
      <c r="T8" s="2"/>
      <c r="U8" s="2"/>
      <c r="V8" s="2"/>
      <c r="W8" s="2"/>
      <c r="X8" s="2"/>
      <c r="Y8" s="2"/>
      <c r="Z8" s="2"/>
    </row>
    <row r="9" ht="30.0" customHeight="1">
      <c r="A9" s="2"/>
      <c r="B9" s="2"/>
      <c r="C9" s="2"/>
      <c r="D9" s="2"/>
      <c r="E9" s="2"/>
      <c r="F9" s="2"/>
      <c r="G9" s="2"/>
      <c r="H9" s="2"/>
      <c r="I9" s="2"/>
      <c r="J9" s="2"/>
      <c r="K9" s="2"/>
      <c r="L9" s="2"/>
      <c r="M9" s="2"/>
      <c r="N9" s="2"/>
      <c r="O9" s="2"/>
      <c r="P9" s="2"/>
      <c r="Q9" s="2"/>
      <c r="R9" s="2"/>
      <c r="S9" s="2"/>
      <c r="T9" s="2"/>
      <c r="U9" s="2"/>
      <c r="V9" s="2"/>
      <c r="W9" s="2"/>
      <c r="X9" s="2"/>
      <c r="Y9" s="2"/>
      <c r="Z9" s="2"/>
    </row>
    <row r="10" ht="30.0" customHeight="1">
      <c r="E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A1:J1"/>
    <mergeCell ref="A2:J2"/>
    <mergeCell ref="A4:D5"/>
    <mergeCell ref="F4:J4"/>
    <mergeCell ref="H6:J6"/>
    <mergeCell ref="B7:D7"/>
    <mergeCell ref="H7:J7"/>
  </mergeCells>
  <hyperlinks>
    <hyperlink r:id="rId1" ref="A4"/>
    <hyperlink r:id="rId2" ref="H6"/>
    <hyperlink r:id="rId3" ref="B7"/>
    <hyperlink r:id="rId4" ref="H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7" t="s">
        <v>10</v>
      </c>
      <c r="B1" s="28" t="s">
        <v>11</v>
      </c>
      <c r="C1" s="28" t="s">
        <v>12</v>
      </c>
      <c r="D1" s="28"/>
    </row>
    <row r="2">
      <c r="A2" s="29">
        <v>44197.0</v>
      </c>
      <c r="B2" s="30" t="s">
        <v>13</v>
      </c>
      <c r="C2" s="31">
        <v>670.0</v>
      </c>
    </row>
    <row r="3">
      <c r="A3" s="29">
        <v>44198.0</v>
      </c>
      <c r="B3" s="30" t="s">
        <v>14</v>
      </c>
      <c r="C3" s="31">
        <v>590.0</v>
      </c>
    </row>
    <row r="4">
      <c r="A4" s="29">
        <v>44199.0</v>
      </c>
      <c r="B4" s="30" t="s">
        <v>14</v>
      </c>
      <c r="C4" s="31">
        <v>615.0</v>
      </c>
    </row>
    <row r="5">
      <c r="A5" s="29">
        <v>44200.0</v>
      </c>
      <c r="B5" s="30" t="s">
        <v>15</v>
      </c>
      <c r="C5" s="31">
        <v>745.0</v>
      </c>
    </row>
    <row r="6">
      <c r="A6" s="29">
        <v>44201.0</v>
      </c>
      <c r="B6" s="30" t="s">
        <v>15</v>
      </c>
      <c r="C6" s="31">
        <v>870.0</v>
      </c>
    </row>
    <row r="7">
      <c r="A7" s="29">
        <v>44202.0</v>
      </c>
      <c r="B7" s="30" t="s">
        <v>16</v>
      </c>
      <c r="C7" s="31" t="s">
        <v>17</v>
      </c>
    </row>
    <row r="8">
      <c r="A8" s="29">
        <v>44203.0</v>
      </c>
      <c r="B8" s="30" t="s">
        <v>14</v>
      </c>
      <c r="C8" s="31">
        <v>705.0</v>
      </c>
    </row>
    <row r="9">
      <c r="A9" s="29">
        <v>44204.0</v>
      </c>
      <c r="B9" s="30" t="s">
        <v>14</v>
      </c>
      <c r="C9" s="31">
        <v>930.0</v>
      </c>
    </row>
    <row r="10">
      <c r="A10" s="29">
        <v>44205.0</v>
      </c>
      <c r="B10" s="30" t="s">
        <v>13</v>
      </c>
      <c r="C10" s="31">
        <v>750.0</v>
      </c>
    </row>
    <row r="11">
      <c r="A11" s="29">
        <v>44206.0</v>
      </c>
      <c r="B11" s="30" t="s">
        <v>14</v>
      </c>
      <c r="C11" s="31">
        <v>595.0</v>
      </c>
    </row>
    <row r="12">
      <c r="A12" s="29">
        <v>44207.0</v>
      </c>
      <c r="B12" s="30" t="s">
        <v>14</v>
      </c>
      <c r="C12" s="31">
        <v>580.0</v>
      </c>
    </row>
    <row r="13">
      <c r="A13" s="29">
        <v>44208.0</v>
      </c>
      <c r="B13" s="30" t="s">
        <v>15</v>
      </c>
      <c r="C13" s="31">
        <v>695.0</v>
      </c>
    </row>
    <row r="14">
      <c r="A14" s="29">
        <v>44209.0</v>
      </c>
      <c r="B14" s="30" t="s">
        <v>14</v>
      </c>
      <c r="C14" s="31">
        <v>885.0</v>
      </c>
    </row>
    <row r="15">
      <c r="A15" s="29">
        <v>44210.0</v>
      </c>
      <c r="B15" s="30" t="s">
        <v>15</v>
      </c>
      <c r="C15" s="31">
        <v>865.0</v>
      </c>
    </row>
    <row r="16">
      <c r="A16" s="29">
        <v>44211.0</v>
      </c>
      <c r="B16" s="30" t="s">
        <v>16</v>
      </c>
      <c r="C16" s="31" t="s">
        <v>17</v>
      </c>
    </row>
    <row r="17">
      <c r="A17" s="29">
        <v>44212.0</v>
      </c>
      <c r="B17" s="30" t="s">
        <v>14</v>
      </c>
      <c r="C17" s="31">
        <v>550.0</v>
      </c>
    </row>
    <row r="18">
      <c r="A18" s="29">
        <v>44213.0</v>
      </c>
      <c r="B18" s="30" t="s">
        <v>13</v>
      </c>
      <c r="C18" s="31">
        <v>705.0</v>
      </c>
    </row>
    <row r="19">
      <c r="A19" s="29">
        <v>44214.0</v>
      </c>
      <c r="B19" s="30" t="s">
        <v>14</v>
      </c>
      <c r="C19" s="31">
        <v>765.0</v>
      </c>
    </row>
    <row r="20">
      <c r="A20" s="29">
        <v>44215.0</v>
      </c>
      <c r="B20" s="30" t="s">
        <v>14</v>
      </c>
      <c r="C20" s="31">
        <v>530.0</v>
      </c>
    </row>
    <row r="21">
      <c r="A21" s="29">
        <v>44216.0</v>
      </c>
      <c r="B21" s="30" t="s">
        <v>14</v>
      </c>
      <c r="C21" s="31">
        <v>975.0</v>
      </c>
    </row>
    <row r="22">
      <c r="A22" s="29">
        <v>44217.0</v>
      </c>
      <c r="B22" s="30" t="s">
        <v>15</v>
      </c>
      <c r="C22" s="31">
        <v>860.0</v>
      </c>
    </row>
    <row r="23">
      <c r="A23" s="29">
        <v>44218.0</v>
      </c>
      <c r="B23" s="30" t="s">
        <v>16</v>
      </c>
      <c r="C23" s="31" t="s">
        <v>17</v>
      </c>
    </row>
    <row r="24">
      <c r="A24" s="29">
        <v>44219.0</v>
      </c>
      <c r="B24" s="30" t="s">
        <v>14</v>
      </c>
      <c r="C24" s="31">
        <v>690.0</v>
      </c>
    </row>
    <row r="25">
      <c r="A25" s="29">
        <v>44220.0</v>
      </c>
      <c r="B25" s="30" t="s">
        <v>15</v>
      </c>
      <c r="C25" s="31">
        <v>540.0</v>
      </c>
    </row>
    <row r="26">
      <c r="A26" s="29">
        <v>44221.0</v>
      </c>
      <c r="B26" s="30" t="s">
        <v>14</v>
      </c>
      <c r="C26" s="31">
        <v>895.0</v>
      </c>
    </row>
    <row r="27">
      <c r="A27" s="29">
        <v>44222.0</v>
      </c>
      <c r="B27" s="30" t="s">
        <v>14</v>
      </c>
      <c r="C27" s="31">
        <v>500.0</v>
      </c>
    </row>
    <row r="28">
      <c r="A28" s="29">
        <v>44223.0</v>
      </c>
      <c r="B28" s="30" t="s">
        <v>15</v>
      </c>
      <c r="C28" s="31">
        <v>610.0</v>
      </c>
    </row>
    <row r="29">
      <c r="A29" s="29">
        <v>44224.0</v>
      </c>
      <c r="B29" s="30" t="s">
        <v>14</v>
      </c>
      <c r="C29" s="31">
        <v>900.0</v>
      </c>
    </row>
    <row r="30">
      <c r="A30" s="29">
        <v>44225.0</v>
      </c>
      <c r="B30" s="30" t="s">
        <v>13</v>
      </c>
      <c r="C30" s="31">
        <v>930.0</v>
      </c>
    </row>
    <row r="31">
      <c r="A31" s="29">
        <v>44226.0</v>
      </c>
      <c r="B31" s="30" t="s">
        <v>16</v>
      </c>
      <c r="C31" s="31" t="s">
        <v>17</v>
      </c>
    </row>
    <row r="32">
      <c r="A32" s="29">
        <v>44227.0</v>
      </c>
      <c r="B32" s="30" t="s">
        <v>14</v>
      </c>
      <c r="C32" s="31">
        <v>755.0</v>
      </c>
    </row>
    <row r="33">
      <c r="A33" s="29">
        <v>44228.0</v>
      </c>
      <c r="B33" s="30" t="s">
        <v>14</v>
      </c>
      <c r="C33" s="31">
        <v>780.0</v>
      </c>
    </row>
    <row r="34">
      <c r="A34" s="29">
        <v>44229.0</v>
      </c>
      <c r="B34" s="30" t="s">
        <v>15</v>
      </c>
      <c r="C34" s="31">
        <v>925.0</v>
      </c>
    </row>
    <row r="35">
      <c r="A35" s="29">
        <v>44230.0</v>
      </c>
      <c r="B35" s="30" t="s">
        <v>15</v>
      </c>
      <c r="C35" s="31">
        <v>915.0</v>
      </c>
    </row>
    <row r="36">
      <c r="A36" s="29">
        <v>44231.0</v>
      </c>
      <c r="B36" s="30" t="s">
        <v>16</v>
      </c>
      <c r="C36" s="31" t="s">
        <v>17</v>
      </c>
    </row>
    <row r="37">
      <c r="A37" s="29">
        <v>44232.0</v>
      </c>
      <c r="B37" s="30" t="s">
        <v>14</v>
      </c>
      <c r="C37" s="31">
        <v>755.0</v>
      </c>
    </row>
    <row r="38">
      <c r="A38" s="29">
        <v>44233.0</v>
      </c>
      <c r="B38" s="30" t="s">
        <v>13</v>
      </c>
      <c r="C38" s="31">
        <v>510.0</v>
      </c>
    </row>
    <row r="39">
      <c r="A39" s="29">
        <v>44234.0</v>
      </c>
      <c r="B39" s="30" t="s">
        <v>14</v>
      </c>
      <c r="C39" s="31">
        <v>965.0</v>
      </c>
    </row>
    <row r="40">
      <c r="A40" s="29">
        <v>44235.0</v>
      </c>
      <c r="B40" s="30" t="s">
        <v>14</v>
      </c>
      <c r="C40" s="31">
        <v>545.0</v>
      </c>
    </row>
    <row r="41">
      <c r="A41" s="29">
        <v>44236.0</v>
      </c>
      <c r="B41" s="30" t="s">
        <v>15</v>
      </c>
      <c r="C41" s="31">
        <v>715.0</v>
      </c>
    </row>
    <row r="42">
      <c r="A42" s="29">
        <v>44237.0</v>
      </c>
      <c r="B42" s="30" t="s">
        <v>14</v>
      </c>
      <c r="C42" s="31">
        <v>630.0</v>
      </c>
    </row>
    <row r="43">
      <c r="A43" s="29">
        <v>44238.0</v>
      </c>
      <c r="B43" s="30" t="s">
        <v>15</v>
      </c>
      <c r="C43" s="31">
        <v>780.0</v>
      </c>
    </row>
    <row r="44">
      <c r="A44" s="29">
        <v>44239.0</v>
      </c>
      <c r="B44" s="30" t="s">
        <v>16</v>
      </c>
      <c r="C44" s="31" t="s">
        <v>17</v>
      </c>
    </row>
    <row r="45">
      <c r="A45" s="29">
        <v>44240.0</v>
      </c>
      <c r="B45" s="30" t="s">
        <v>13</v>
      </c>
      <c r="C45" s="31">
        <v>975.0</v>
      </c>
    </row>
    <row r="46">
      <c r="A46" s="29">
        <v>44241.0</v>
      </c>
      <c r="B46" s="30" t="s">
        <v>14</v>
      </c>
      <c r="C46" s="31">
        <v>865.0</v>
      </c>
    </row>
    <row r="47">
      <c r="A47" s="29">
        <v>44242.0</v>
      </c>
      <c r="B47" s="30" t="s">
        <v>14</v>
      </c>
      <c r="C47" s="31">
        <v>1000.0</v>
      </c>
    </row>
    <row r="48">
      <c r="A48" s="29">
        <v>44243.0</v>
      </c>
      <c r="B48" s="30" t="s">
        <v>14</v>
      </c>
      <c r="C48" s="31">
        <v>805.0</v>
      </c>
    </row>
    <row r="49">
      <c r="A49" s="29">
        <v>44244.0</v>
      </c>
      <c r="B49" s="30" t="s">
        <v>15</v>
      </c>
      <c r="C49" s="31">
        <v>980.0</v>
      </c>
    </row>
    <row r="50">
      <c r="A50" s="29">
        <v>44245.0</v>
      </c>
      <c r="B50" s="30" t="s">
        <v>15</v>
      </c>
      <c r="C50" s="31">
        <v>850.0</v>
      </c>
    </row>
    <row r="51">
      <c r="A51" s="29">
        <v>44246.0</v>
      </c>
      <c r="B51" s="30" t="s">
        <v>16</v>
      </c>
      <c r="C51" s="31" t="s">
        <v>17</v>
      </c>
    </row>
    <row r="52">
      <c r="A52" s="29">
        <v>44247.0</v>
      </c>
      <c r="B52" s="30" t="s">
        <v>14</v>
      </c>
      <c r="C52" s="31">
        <v>605.0</v>
      </c>
    </row>
    <row r="53">
      <c r="A53" s="29">
        <v>44248.0</v>
      </c>
      <c r="B53" s="30" t="s">
        <v>15</v>
      </c>
      <c r="C53" s="31">
        <v>570.0</v>
      </c>
    </row>
    <row r="54">
      <c r="A54" s="29">
        <v>44249.0</v>
      </c>
      <c r="B54" s="30" t="s">
        <v>14</v>
      </c>
      <c r="C54" s="31">
        <v>860.0</v>
      </c>
    </row>
    <row r="55">
      <c r="A55" s="29">
        <v>44250.0</v>
      </c>
      <c r="B55" s="30" t="s">
        <v>14</v>
      </c>
      <c r="C55" s="31">
        <v>790.0</v>
      </c>
    </row>
    <row r="56">
      <c r="A56" s="29">
        <v>44251.0</v>
      </c>
      <c r="B56" s="30" t="s">
        <v>14</v>
      </c>
      <c r="C56" s="31">
        <v>660.0</v>
      </c>
    </row>
    <row r="57">
      <c r="A57" s="29">
        <v>44252.0</v>
      </c>
      <c r="B57" s="30" t="s">
        <v>15</v>
      </c>
      <c r="C57" s="31">
        <v>570.0</v>
      </c>
    </row>
    <row r="58">
      <c r="A58" s="29">
        <v>44253.0</v>
      </c>
      <c r="B58" s="30" t="s">
        <v>14</v>
      </c>
      <c r="C58" s="31">
        <v>785.0</v>
      </c>
    </row>
    <row r="59">
      <c r="A59" s="29">
        <v>44254.0</v>
      </c>
      <c r="B59" s="30" t="s">
        <v>14</v>
      </c>
      <c r="C59" s="31">
        <v>925.0</v>
      </c>
    </row>
    <row r="60">
      <c r="A60" s="29">
        <v>44255.0</v>
      </c>
      <c r="B60" s="30" t="s">
        <v>15</v>
      </c>
      <c r="C60" s="31">
        <v>885.0</v>
      </c>
    </row>
    <row r="61">
      <c r="A61" s="29">
        <v>44256.0</v>
      </c>
      <c r="B61" s="30" t="s">
        <v>16</v>
      </c>
      <c r="C61" s="31" t="s">
        <v>17</v>
      </c>
    </row>
    <row r="62">
      <c r="A62" s="29">
        <v>44257.0</v>
      </c>
      <c r="B62" s="30" t="s">
        <v>14</v>
      </c>
      <c r="C62" s="31">
        <v>740.0</v>
      </c>
    </row>
    <row r="63">
      <c r="A63" s="29">
        <v>44258.0</v>
      </c>
      <c r="B63" s="30" t="s">
        <v>13</v>
      </c>
      <c r="C63" s="31">
        <v>540.0</v>
      </c>
    </row>
    <row r="64">
      <c r="A64" s="29">
        <v>44259.0</v>
      </c>
      <c r="B64" s="30" t="s">
        <v>14</v>
      </c>
      <c r="C64" s="31">
        <v>785.0</v>
      </c>
    </row>
    <row r="65">
      <c r="A65" s="29">
        <v>44260.0</v>
      </c>
      <c r="B65" s="30" t="s">
        <v>14</v>
      </c>
      <c r="C65" s="31">
        <v>995.0</v>
      </c>
    </row>
    <row r="66">
      <c r="A66" s="29">
        <v>44261.0</v>
      </c>
      <c r="B66" s="30" t="s">
        <v>14</v>
      </c>
      <c r="C66" s="31">
        <v>650.0</v>
      </c>
    </row>
    <row r="67">
      <c r="A67" s="29">
        <v>44262.0</v>
      </c>
      <c r="B67" s="30" t="s">
        <v>15</v>
      </c>
      <c r="C67" s="31">
        <v>755.0</v>
      </c>
    </row>
    <row r="68">
      <c r="A68" s="29">
        <v>44263.0</v>
      </c>
      <c r="B68" s="30" t="s">
        <v>16</v>
      </c>
      <c r="C68" s="31" t="s">
        <v>17</v>
      </c>
    </row>
    <row r="69">
      <c r="A69" s="29">
        <v>44264.0</v>
      </c>
      <c r="B69" s="30" t="s">
        <v>13</v>
      </c>
      <c r="C69" s="31">
        <v>845.0</v>
      </c>
    </row>
    <row r="70">
      <c r="A70" s="29">
        <v>44265.0</v>
      </c>
      <c r="B70" s="30" t="s">
        <v>14</v>
      </c>
      <c r="C70" s="31">
        <v>880.0</v>
      </c>
    </row>
    <row r="71">
      <c r="A71" s="29">
        <v>44266.0</v>
      </c>
      <c r="B71" s="30" t="s">
        <v>14</v>
      </c>
      <c r="C71" s="31">
        <v>965.0</v>
      </c>
    </row>
    <row r="72">
      <c r="A72" s="29">
        <v>44267.0</v>
      </c>
      <c r="B72" s="30" t="s">
        <v>15</v>
      </c>
      <c r="C72" s="31">
        <v>725.0</v>
      </c>
    </row>
    <row r="73">
      <c r="A73" s="29">
        <v>44268.0</v>
      </c>
      <c r="B73" s="30" t="s">
        <v>15</v>
      </c>
      <c r="C73" s="31">
        <v>985.0</v>
      </c>
    </row>
    <row r="74">
      <c r="A74" s="29">
        <v>44269.0</v>
      </c>
      <c r="B74" s="30" t="s">
        <v>16</v>
      </c>
      <c r="C74" s="31" t="s">
        <v>17</v>
      </c>
    </row>
    <row r="75">
      <c r="A75" s="29">
        <v>44270.0</v>
      </c>
      <c r="B75" s="30" t="s">
        <v>14</v>
      </c>
      <c r="C75" s="31">
        <v>680.0</v>
      </c>
    </row>
    <row r="76">
      <c r="A76" s="29">
        <v>44271.0</v>
      </c>
      <c r="B76" s="30" t="s">
        <v>14</v>
      </c>
      <c r="C76" s="31">
        <v>600.0</v>
      </c>
    </row>
    <row r="77">
      <c r="A77" s="29">
        <v>44272.0</v>
      </c>
      <c r="B77" s="30" t="s">
        <v>13</v>
      </c>
      <c r="C77" s="31">
        <v>765.0</v>
      </c>
    </row>
    <row r="78">
      <c r="A78" s="29">
        <v>44273.0</v>
      </c>
      <c r="B78" s="30" t="s">
        <v>14</v>
      </c>
      <c r="C78" s="31">
        <v>905.0</v>
      </c>
    </row>
    <row r="79">
      <c r="A79" s="29">
        <v>44274.0</v>
      </c>
      <c r="B79" s="30" t="s">
        <v>14</v>
      </c>
      <c r="C79" s="31">
        <v>880.0</v>
      </c>
    </row>
    <row r="80">
      <c r="A80" s="29">
        <v>44275.0</v>
      </c>
      <c r="B80" s="30" t="s">
        <v>15</v>
      </c>
      <c r="C80" s="31">
        <v>615.0</v>
      </c>
    </row>
    <row r="81">
      <c r="A81" s="29">
        <v>44276.0</v>
      </c>
      <c r="B81" s="30" t="s">
        <v>14</v>
      </c>
      <c r="C81" s="31">
        <v>520.0</v>
      </c>
    </row>
    <row r="82">
      <c r="A82" s="29">
        <v>44277.0</v>
      </c>
      <c r="B82" s="30" t="s">
        <v>15</v>
      </c>
      <c r="C82" s="31">
        <v>980.0</v>
      </c>
    </row>
    <row r="83">
      <c r="A83" s="29">
        <v>44278.0</v>
      </c>
      <c r="B83" s="30" t="s">
        <v>16</v>
      </c>
      <c r="C83" s="31" t="s">
        <v>17</v>
      </c>
    </row>
    <row r="84">
      <c r="A84" s="29">
        <v>44279.0</v>
      </c>
      <c r="B84" s="30" t="s">
        <v>14</v>
      </c>
      <c r="C84" s="31">
        <v>975.0</v>
      </c>
    </row>
    <row r="85">
      <c r="A85" s="29">
        <v>44280.0</v>
      </c>
      <c r="B85" s="30" t="s">
        <v>13</v>
      </c>
      <c r="C85" s="31">
        <v>515.0</v>
      </c>
    </row>
    <row r="86">
      <c r="A86" s="29">
        <v>44281.0</v>
      </c>
      <c r="B86" s="30" t="s">
        <v>14</v>
      </c>
      <c r="C86" s="31">
        <v>560.0</v>
      </c>
    </row>
    <row r="87">
      <c r="A87" s="29">
        <v>44282.0</v>
      </c>
      <c r="B87" s="30" t="s">
        <v>14</v>
      </c>
      <c r="C87" s="31">
        <v>905.0</v>
      </c>
    </row>
    <row r="88">
      <c r="A88" s="29">
        <v>44283.0</v>
      </c>
      <c r="B88" s="30" t="s">
        <v>14</v>
      </c>
      <c r="C88" s="31">
        <v>530.0</v>
      </c>
    </row>
    <row r="89">
      <c r="A89" s="29">
        <v>44284.0</v>
      </c>
      <c r="B89" s="30" t="s">
        <v>15</v>
      </c>
      <c r="C89" s="31">
        <v>950.0</v>
      </c>
    </row>
    <row r="90">
      <c r="A90" s="29">
        <v>44285.0</v>
      </c>
      <c r="B90" s="30" t="s">
        <v>16</v>
      </c>
      <c r="C90" s="31" t="s">
        <v>17</v>
      </c>
    </row>
    <row r="91">
      <c r="A91" s="29">
        <v>44286.0</v>
      </c>
      <c r="B91" s="30" t="s">
        <v>14</v>
      </c>
      <c r="C91" s="31">
        <v>710.0</v>
      </c>
    </row>
    <row r="92">
      <c r="A92" s="29">
        <v>44287.0</v>
      </c>
      <c r="B92" s="30" t="s">
        <v>15</v>
      </c>
      <c r="C92" s="31">
        <v>545.0</v>
      </c>
    </row>
    <row r="93">
      <c r="A93" s="29">
        <v>44288.0</v>
      </c>
      <c r="B93" s="30" t="s">
        <v>14</v>
      </c>
      <c r="C93" s="31">
        <v>905.0</v>
      </c>
    </row>
    <row r="94">
      <c r="A94" s="29">
        <v>44289.0</v>
      </c>
      <c r="B94" s="30" t="s">
        <v>14</v>
      </c>
      <c r="C94" s="31">
        <v>915.0</v>
      </c>
    </row>
    <row r="95">
      <c r="A95" s="29">
        <v>44290.0</v>
      </c>
      <c r="B95" s="30" t="s">
        <v>15</v>
      </c>
      <c r="C95" s="31">
        <v>810.0</v>
      </c>
    </row>
    <row r="96">
      <c r="A96" s="29">
        <v>44291.0</v>
      </c>
      <c r="B96" s="30" t="s">
        <v>14</v>
      </c>
      <c r="C96" s="31">
        <v>980.0</v>
      </c>
    </row>
    <row r="97">
      <c r="A97" s="29">
        <v>44292.0</v>
      </c>
      <c r="B97" s="30" t="s">
        <v>13</v>
      </c>
      <c r="C97" s="31">
        <v>700.0</v>
      </c>
    </row>
    <row r="98">
      <c r="A98" s="29">
        <v>44293.0</v>
      </c>
      <c r="B98" s="30" t="s">
        <v>16</v>
      </c>
      <c r="C98" s="31" t="s">
        <v>17</v>
      </c>
    </row>
    <row r="99">
      <c r="A99" s="29">
        <v>44294.0</v>
      </c>
      <c r="B99" s="30" t="s">
        <v>14</v>
      </c>
      <c r="C99" s="31">
        <v>910.0</v>
      </c>
    </row>
    <row r="100">
      <c r="A100" s="29">
        <v>44295.0</v>
      </c>
      <c r="B100" s="30" t="s">
        <v>14</v>
      </c>
      <c r="C100" s="31">
        <v>825.0</v>
      </c>
    </row>
    <row r="101">
      <c r="A101" s="29">
        <v>44296.0</v>
      </c>
      <c r="B101" s="30" t="s">
        <v>15</v>
      </c>
      <c r="C101" s="31">
        <v>970.0</v>
      </c>
    </row>
    <row r="102">
      <c r="A102" s="29">
        <v>44297.0</v>
      </c>
      <c r="B102" s="30" t="s">
        <v>15</v>
      </c>
      <c r="C102" s="31">
        <v>935.0</v>
      </c>
    </row>
    <row r="103">
      <c r="A103" s="29">
        <v>44298.0</v>
      </c>
      <c r="B103" s="30" t="s">
        <v>16</v>
      </c>
      <c r="C103" s="31" t="s">
        <v>17</v>
      </c>
    </row>
    <row r="104">
      <c r="A104" s="29">
        <v>44299.0</v>
      </c>
      <c r="B104" s="30" t="s">
        <v>14</v>
      </c>
      <c r="C104" s="31">
        <v>635.0</v>
      </c>
    </row>
    <row r="105">
      <c r="A105" s="29">
        <v>44300.0</v>
      </c>
      <c r="B105" s="30" t="s">
        <v>13</v>
      </c>
      <c r="C105" s="31">
        <v>685.0</v>
      </c>
    </row>
    <row r="106">
      <c r="A106" s="29">
        <v>44301.0</v>
      </c>
      <c r="B106" s="30" t="s">
        <v>14</v>
      </c>
      <c r="C106" s="31">
        <v>815.0</v>
      </c>
    </row>
    <row r="107">
      <c r="A107" s="29">
        <v>44302.0</v>
      </c>
      <c r="B107" s="30" t="s">
        <v>14</v>
      </c>
      <c r="C107" s="31">
        <v>655.0</v>
      </c>
    </row>
    <row r="108">
      <c r="A108" s="29">
        <v>44303.0</v>
      </c>
      <c r="B108" s="30" t="s">
        <v>15</v>
      </c>
      <c r="C108" s="31">
        <v>645.0</v>
      </c>
    </row>
    <row r="109">
      <c r="A109" s="29">
        <v>44304.0</v>
      </c>
      <c r="B109" s="30" t="s">
        <v>14</v>
      </c>
      <c r="C109" s="31">
        <v>535.0</v>
      </c>
    </row>
    <row r="110">
      <c r="A110" s="29">
        <v>44305.0</v>
      </c>
      <c r="B110" s="30" t="s">
        <v>15</v>
      </c>
      <c r="C110" s="31">
        <v>990.0</v>
      </c>
    </row>
    <row r="111">
      <c r="A111" s="29">
        <v>44306.0</v>
      </c>
      <c r="B111" s="30" t="s">
        <v>16</v>
      </c>
      <c r="C111" s="31" t="s">
        <v>17</v>
      </c>
    </row>
    <row r="112">
      <c r="A112" s="29">
        <v>44307.0</v>
      </c>
      <c r="B112" s="30" t="s">
        <v>13</v>
      </c>
      <c r="C112" s="31">
        <v>880.0</v>
      </c>
    </row>
    <row r="113">
      <c r="A113" s="29">
        <v>44308.0</v>
      </c>
      <c r="B113" s="30" t="s">
        <v>14</v>
      </c>
      <c r="C113" s="31">
        <v>550.0</v>
      </c>
    </row>
    <row r="114">
      <c r="A114" s="29">
        <v>44309.0</v>
      </c>
      <c r="B114" s="30" t="s">
        <v>14</v>
      </c>
      <c r="C114" s="31">
        <v>515.0</v>
      </c>
    </row>
    <row r="115">
      <c r="A115" s="29">
        <v>44310.0</v>
      </c>
      <c r="B115" s="30" t="s">
        <v>14</v>
      </c>
      <c r="C115" s="31">
        <v>975.0</v>
      </c>
    </row>
    <row r="116">
      <c r="A116" s="29">
        <v>44311.0</v>
      </c>
      <c r="B116" s="30" t="s">
        <v>15</v>
      </c>
      <c r="C116" s="31">
        <v>660.0</v>
      </c>
    </row>
    <row r="117">
      <c r="A117" s="29">
        <v>44312.0</v>
      </c>
      <c r="B117" s="30" t="s">
        <v>15</v>
      </c>
      <c r="C117" s="31">
        <v>770.0</v>
      </c>
    </row>
    <row r="118">
      <c r="A118" s="29">
        <v>44313.0</v>
      </c>
      <c r="B118" s="30" t="s">
        <v>16</v>
      </c>
      <c r="C118" s="31" t="s">
        <v>17</v>
      </c>
    </row>
    <row r="119">
      <c r="A119" s="29">
        <v>44314.0</v>
      </c>
      <c r="B119" s="30" t="s">
        <v>14</v>
      </c>
      <c r="C119" s="31">
        <v>980.0</v>
      </c>
    </row>
    <row r="120">
      <c r="A120" s="29">
        <v>44315.0</v>
      </c>
      <c r="B120" s="30" t="s">
        <v>15</v>
      </c>
      <c r="C120" s="31">
        <v>670.0</v>
      </c>
    </row>
    <row r="121">
      <c r="A121" s="29">
        <v>44316.0</v>
      </c>
      <c r="B121" s="30" t="s">
        <v>14</v>
      </c>
      <c r="C121" s="31">
        <v>720.0</v>
      </c>
    </row>
    <row r="122">
      <c r="A122" s="29">
        <v>44317.0</v>
      </c>
      <c r="B122" s="30" t="s">
        <v>14</v>
      </c>
      <c r="C122" s="31">
        <v>760.0</v>
      </c>
    </row>
    <row r="123">
      <c r="A123" s="29">
        <v>44318.0</v>
      </c>
      <c r="B123" s="30" t="s">
        <v>14</v>
      </c>
      <c r="C123" s="31">
        <v>910.0</v>
      </c>
    </row>
    <row r="124">
      <c r="A124" s="29">
        <v>44319.0</v>
      </c>
      <c r="B124" s="30" t="s">
        <v>15</v>
      </c>
      <c r="C124" s="31">
        <v>810.0</v>
      </c>
    </row>
    <row r="125">
      <c r="A125" s="29">
        <v>44320.0</v>
      </c>
      <c r="B125" s="30" t="s">
        <v>14</v>
      </c>
      <c r="C125" s="31">
        <v>890.0</v>
      </c>
    </row>
    <row r="126">
      <c r="A126" s="29">
        <v>44321.0</v>
      </c>
      <c r="B126" s="30" t="s">
        <v>14</v>
      </c>
      <c r="C126" s="31">
        <v>850.0</v>
      </c>
    </row>
    <row r="127">
      <c r="A127" s="29">
        <v>44322.0</v>
      </c>
      <c r="B127" s="30" t="s">
        <v>15</v>
      </c>
      <c r="C127" s="31">
        <v>595.0</v>
      </c>
    </row>
    <row r="128">
      <c r="A128" s="29">
        <v>44323.0</v>
      </c>
      <c r="B128" s="30" t="s">
        <v>16</v>
      </c>
      <c r="C128" s="31" t="s">
        <v>17</v>
      </c>
    </row>
    <row r="129">
      <c r="A129" s="29">
        <v>44324.0</v>
      </c>
      <c r="B129" s="30" t="s">
        <v>14</v>
      </c>
      <c r="C129" s="31">
        <v>550.0</v>
      </c>
    </row>
    <row r="130">
      <c r="A130" s="29">
        <v>44325.0</v>
      </c>
      <c r="B130" s="30" t="s">
        <v>13</v>
      </c>
      <c r="C130" s="31">
        <v>680.0</v>
      </c>
    </row>
    <row r="131">
      <c r="A131" s="29">
        <v>44326.0</v>
      </c>
      <c r="B131" s="30" t="s">
        <v>14</v>
      </c>
      <c r="C131" s="31">
        <v>680.0</v>
      </c>
    </row>
    <row r="132">
      <c r="A132" s="29">
        <v>44327.0</v>
      </c>
      <c r="B132" s="30" t="s">
        <v>14</v>
      </c>
      <c r="C132" s="31">
        <v>580.0</v>
      </c>
    </row>
    <row r="133">
      <c r="A133" s="29">
        <v>44328.0</v>
      </c>
      <c r="B133" s="30" t="s">
        <v>14</v>
      </c>
      <c r="C133" s="31">
        <v>735.0</v>
      </c>
    </row>
    <row r="134">
      <c r="A134" s="29">
        <v>44329.0</v>
      </c>
      <c r="B134" s="30" t="s">
        <v>15</v>
      </c>
      <c r="C134" s="31">
        <v>935.0</v>
      </c>
    </row>
    <row r="135">
      <c r="A135" s="29">
        <v>44330.0</v>
      </c>
      <c r="B135" s="30" t="s">
        <v>16</v>
      </c>
      <c r="C135" s="31" t="s">
        <v>17</v>
      </c>
    </row>
    <row r="136">
      <c r="A136" s="29">
        <v>44331.0</v>
      </c>
      <c r="B136" s="30" t="s">
        <v>13</v>
      </c>
      <c r="C136" s="31">
        <v>995.0</v>
      </c>
    </row>
    <row r="137">
      <c r="A137" s="29">
        <v>44332.0</v>
      </c>
      <c r="B137" s="30" t="s">
        <v>14</v>
      </c>
      <c r="C137" s="31">
        <v>795.0</v>
      </c>
    </row>
    <row r="138">
      <c r="A138" s="29">
        <v>44333.0</v>
      </c>
      <c r="B138" s="30" t="s">
        <v>14</v>
      </c>
      <c r="C138" s="31">
        <v>765.0</v>
      </c>
    </row>
    <row r="139">
      <c r="A139" s="29">
        <v>44334.0</v>
      </c>
      <c r="B139" s="30" t="s">
        <v>15</v>
      </c>
      <c r="C139" s="31">
        <v>760.0</v>
      </c>
    </row>
    <row r="140">
      <c r="A140" s="29">
        <v>44335.0</v>
      </c>
      <c r="B140" s="30" t="s">
        <v>15</v>
      </c>
      <c r="C140" s="31">
        <v>865.0</v>
      </c>
    </row>
    <row r="141">
      <c r="A141" s="29">
        <v>44336.0</v>
      </c>
      <c r="B141" s="30" t="s">
        <v>16</v>
      </c>
      <c r="C141" s="31" t="s">
        <v>17</v>
      </c>
    </row>
    <row r="142">
      <c r="A142" s="29">
        <v>44337.0</v>
      </c>
      <c r="B142" s="30" t="s">
        <v>14</v>
      </c>
      <c r="C142" s="31">
        <v>605.0</v>
      </c>
    </row>
    <row r="143">
      <c r="A143" s="29">
        <v>44338.0</v>
      </c>
      <c r="B143" s="30" t="s">
        <v>14</v>
      </c>
      <c r="C143" s="31">
        <v>535.0</v>
      </c>
    </row>
    <row r="144">
      <c r="A144" s="29">
        <v>44339.0</v>
      </c>
      <c r="B144" s="30" t="s">
        <v>13</v>
      </c>
      <c r="C144" s="31">
        <v>850.0</v>
      </c>
    </row>
    <row r="145">
      <c r="A145" s="29">
        <v>44340.0</v>
      </c>
      <c r="B145" s="30" t="s">
        <v>14</v>
      </c>
      <c r="C145" s="31">
        <v>595.0</v>
      </c>
    </row>
    <row r="146">
      <c r="A146" s="29">
        <v>44341.0</v>
      </c>
      <c r="B146" s="30" t="s">
        <v>14</v>
      </c>
      <c r="C146" s="31">
        <v>875.0</v>
      </c>
    </row>
    <row r="147">
      <c r="A147" s="29">
        <v>44342.0</v>
      </c>
      <c r="B147" s="30" t="s">
        <v>15</v>
      </c>
      <c r="C147" s="31">
        <v>950.0</v>
      </c>
    </row>
    <row r="148">
      <c r="A148" s="29">
        <v>44343.0</v>
      </c>
      <c r="B148" s="30" t="s">
        <v>14</v>
      </c>
      <c r="C148" s="31">
        <v>980.0</v>
      </c>
    </row>
    <row r="149">
      <c r="A149" s="29">
        <v>44344.0</v>
      </c>
      <c r="B149" s="30" t="s">
        <v>15</v>
      </c>
      <c r="C149" s="31">
        <v>785.0</v>
      </c>
    </row>
    <row r="150">
      <c r="A150" s="29">
        <v>44345.0</v>
      </c>
      <c r="B150" s="30" t="s">
        <v>16</v>
      </c>
      <c r="C150" s="31" t="s">
        <v>17</v>
      </c>
    </row>
    <row r="151">
      <c r="A151" s="29">
        <v>44346.0</v>
      </c>
      <c r="B151" s="30" t="s">
        <v>14</v>
      </c>
      <c r="C151" s="31">
        <v>805.0</v>
      </c>
    </row>
    <row r="152">
      <c r="A152" s="29">
        <v>44347.0</v>
      </c>
      <c r="B152" s="30" t="s">
        <v>13</v>
      </c>
      <c r="C152" s="31">
        <v>960.0</v>
      </c>
    </row>
    <row r="153">
      <c r="A153" s="29">
        <v>44348.0</v>
      </c>
      <c r="B153" s="30" t="s">
        <v>14</v>
      </c>
      <c r="C153" s="31">
        <v>715.0</v>
      </c>
    </row>
    <row r="154">
      <c r="A154" s="29">
        <v>44349.0</v>
      </c>
      <c r="B154" s="30" t="s">
        <v>14</v>
      </c>
      <c r="C154" s="31">
        <v>895.0</v>
      </c>
    </row>
    <row r="155">
      <c r="A155" s="29">
        <v>44350.0</v>
      </c>
      <c r="B155" s="30" t="s">
        <v>14</v>
      </c>
      <c r="C155" s="31">
        <v>725.0</v>
      </c>
    </row>
    <row r="156">
      <c r="A156" s="29">
        <v>44351.0</v>
      </c>
      <c r="B156" s="30" t="s">
        <v>15</v>
      </c>
      <c r="C156" s="31">
        <v>945.0</v>
      </c>
    </row>
    <row r="157">
      <c r="A157" s="29">
        <v>44352.0</v>
      </c>
      <c r="B157" s="30" t="s">
        <v>16</v>
      </c>
      <c r="C157" s="31" t="s">
        <v>17</v>
      </c>
    </row>
    <row r="158">
      <c r="A158" s="29">
        <v>44353.0</v>
      </c>
      <c r="B158" s="30" t="s">
        <v>14</v>
      </c>
      <c r="C158" s="31">
        <v>1000.0</v>
      </c>
    </row>
    <row r="159">
      <c r="A159" s="29">
        <v>44354.0</v>
      </c>
      <c r="B159" s="30" t="s">
        <v>15</v>
      </c>
      <c r="C159" s="31">
        <v>505.0</v>
      </c>
    </row>
    <row r="160">
      <c r="A160" s="29">
        <v>44355.0</v>
      </c>
      <c r="B160" s="30" t="s">
        <v>14</v>
      </c>
      <c r="C160" s="31">
        <v>650.0</v>
      </c>
    </row>
    <row r="161">
      <c r="A161" s="29">
        <v>44356.0</v>
      </c>
      <c r="B161" s="30" t="s">
        <v>14</v>
      </c>
      <c r="C161" s="31">
        <v>630.0</v>
      </c>
    </row>
    <row r="162">
      <c r="A162" s="29">
        <v>44357.0</v>
      </c>
      <c r="B162" s="30" t="s">
        <v>15</v>
      </c>
      <c r="C162" s="31">
        <v>660.0</v>
      </c>
    </row>
    <row r="163">
      <c r="A163" s="29">
        <v>44358.0</v>
      </c>
      <c r="B163" s="30" t="s">
        <v>14</v>
      </c>
      <c r="C163" s="31">
        <v>720.0</v>
      </c>
    </row>
    <row r="164">
      <c r="A164" s="29">
        <v>44359.0</v>
      </c>
      <c r="B164" s="30" t="s">
        <v>13</v>
      </c>
      <c r="C164" s="31">
        <v>840.0</v>
      </c>
    </row>
    <row r="165">
      <c r="A165" s="29">
        <v>44360.0</v>
      </c>
      <c r="B165" s="30" t="s">
        <v>16</v>
      </c>
      <c r="C165" s="31" t="s">
        <v>17</v>
      </c>
    </row>
    <row r="166">
      <c r="A166" s="29">
        <v>44361.0</v>
      </c>
      <c r="B166" s="30" t="s">
        <v>14</v>
      </c>
      <c r="C166" s="31">
        <v>950.0</v>
      </c>
    </row>
    <row r="167">
      <c r="A167" s="29">
        <v>44362.0</v>
      </c>
      <c r="B167" s="30" t="s">
        <v>14</v>
      </c>
      <c r="C167" s="31">
        <v>865.0</v>
      </c>
    </row>
    <row r="168">
      <c r="A168" s="29">
        <v>44363.0</v>
      </c>
      <c r="B168" s="30" t="s">
        <v>15</v>
      </c>
      <c r="C168" s="31">
        <v>575.0</v>
      </c>
    </row>
    <row r="169">
      <c r="A169" s="29">
        <v>44364.0</v>
      </c>
      <c r="B169" s="30" t="s">
        <v>15</v>
      </c>
      <c r="C169" s="31">
        <v>985.0</v>
      </c>
    </row>
    <row r="170">
      <c r="A170" s="29">
        <v>44365.0</v>
      </c>
      <c r="B170" s="30" t="s">
        <v>16</v>
      </c>
      <c r="C170" s="31" t="s">
        <v>17</v>
      </c>
    </row>
    <row r="171">
      <c r="A171" s="29">
        <v>44366.0</v>
      </c>
      <c r="B171" s="30" t="s">
        <v>14</v>
      </c>
      <c r="C171" s="31">
        <v>790.0</v>
      </c>
    </row>
    <row r="172">
      <c r="A172" s="29">
        <v>44367.0</v>
      </c>
      <c r="B172" s="30" t="s">
        <v>13</v>
      </c>
      <c r="C172" s="31">
        <v>530.0</v>
      </c>
    </row>
    <row r="173">
      <c r="A173" s="29">
        <v>44368.0</v>
      </c>
      <c r="B173" s="30" t="s">
        <v>14</v>
      </c>
      <c r="C173" s="31">
        <v>940.0</v>
      </c>
    </row>
    <row r="174">
      <c r="A174" s="29">
        <v>44369.0</v>
      </c>
      <c r="B174" s="30" t="s">
        <v>14</v>
      </c>
      <c r="C174" s="31">
        <v>730.0</v>
      </c>
    </row>
    <row r="175">
      <c r="A175" s="29">
        <v>44370.0</v>
      </c>
      <c r="B175" s="30" t="s">
        <v>15</v>
      </c>
      <c r="C175" s="31">
        <v>630.0</v>
      </c>
    </row>
    <row r="176">
      <c r="A176" s="29">
        <v>44371.0</v>
      </c>
      <c r="B176" s="30" t="s">
        <v>14</v>
      </c>
      <c r="C176" s="31">
        <v>560.0</v>
      </c>
    </row>
    <row r="177">
      <c r="A177" s="29">
        <v>44372.0</v>
      </c>
      <c r="B177" s="30" t="s">
        <v>15</v>
      </c>
      <c r="C177" s="31">
        <v>610.0</v>
      </c>
    </row>
    <row r="178">
      <c r="A178" s="29">
        <v>44373.0</v>
      </c>
      <c r="B178" s="30" t="s">
        <v>16</v>
      </c>
      <c r="C178" s="31" t="s">
        <v>17</v>
      </c>
    </row>
    <row r="179">
      <c r="A179" s="29">
        <v>44374.0</v>
      </c>
      <c r="B179" s="30" t="s">
        <v>13</v>
      </c>
      <c r="C179" s="31">
        <v>880.0</v>
      </c>
    </row>
    <row r="180">
      <c r="A180" s="29">
        <v>44375.0</v>
      </c>
      <c r="B180" s="30" t="s">
        <v>14</v>
      </c>
      <c r="C180" s="31">
        <v>880.0</v>
      </c>
    </row>
    <row r="181">
      <c r="A181" s="29">
        <v>44376.0</v>
      </c>
      <c r="B181" s="30" t="s">
        <v>14</v>
      </c>
      <c r="C181" s="31">
        <v>620.0</v>
      </c>
    </row>
    <row r="182">
      <c r="A182" s="29">
        <v>44377.0</v>
      </c>
      <c r="B182" s="30" t="s">
        <v>14</v>
      </c>
      <c r="C182" s="31">
        <v>570.0</v>
      </c>
    </row>
    <row r="183">
      <c r="A183" s="29">
        <v>44378.0</v>
      </c>
      <c r="B183" s="30" t="s">
        <v>15</v>
      </c>
      <c r="C183" s="31">
        <v>720.0</v>
      </c>
    </row>
    <row r="184">
      <c r="A184" s="29">
        <v>44379.0</v>
      </c>
      <c r="B184" s="30" t="s">
        <v>15</v>
      </c>
      <c r="C184" s="31">
        <v>775.0</v>
      </c>
    </row>
    <row r="185">
      <c r="A185" s="29">
        <v>44380.0</v>
      </c>
      <c r="B185" s="30" t="s">
        <v>16</v>
      </c>
      <c r="C185" s="31" t="s">
        <v>17</v>
      </c>
    </row>
    <row r="186">
      <c r="A186" s="29">
        <v>44381.0</v>
      </c>
      <c r="B186" s="30" t="s">
        <v>14</v>
      </c>
      <c r="C186" s="31">
        <v>610.0</v>
      </c>
    </row>
    <row r="187">
      <c r="A187" s="29">
        <v>44382.0</v>
      </c>
      <c r="B187" s="30" t="s">
        <v>15</v>
      </c>
      <c r="C187" s="31">
        <v>820.0</v>
      </c>
    </row>
    <row r="188">
      <c r="A188" s="29">
        <v>44383.0</v>
      </c>
      <c r="B188" s="30" t="s">
        <v>14</v>
      </c>
      <c r="C188" s="31">
        <v>975.0</v>
      </c>
    </row>
    <row r="189">
      <c r="A189" s="29">
        <v>44384.0</v>
      </c>
      <c r="B189" s="30" t="s">
        <v>14</v>
      </c>
      <c r="C189" s="31">
        <v>975.0</v>
      </c>
    </row>
    <row r="190">
      <c r="A190" s="29">
        <v>44385.0</v>
      </c>
      <c r="B190" s="30" t="s">
        <v>14</v>
      </c>
      <c r="C190" s="31">
        <v>620.0</v>
      </c>
    </row>
    <row r="191">
      <c r="A191" s="29">
        <v>44386.0</v>
      </c>
      <c r="B191" s="30" t="s">
        <v>15</v>
      </c>
      <c r="C191" s="31">
        <v>935.0</v>
      </c>
    </row>
    <row r="192">
      <c r="A192" s="29">
        <v>44387.0</v>
      </c>
      <c r="B192" s="30" t="s">
        <v>14</v>
      </c>
      <c r="C192" s="31">
        <v>640.0</v>
      </c>
    </row>
    <row r="193">
      <c r="A193" s="29">
        <v>44388.0</v>
      </c>
      <c r="B193" s="30" t="s">
        <v>14</v>
      </c>
      <c r="C193" s="31">
        <v>625.0</v>
      </c>
    </row>
    <row r="194">
      <c r="A194" s="29">
        <v>44389.0</v>
      </c>
      <c r="B194" s="30" t="s">
        <v>15</v>
      </c>
      <c r="C194" s="31">
        <v>775.0</v>
      </c>
    </row>
    <row r="195">
      <c r="A195" s="29">
        <v>44390.0</v>
      </c>
      <c r="B195" s="30" t="s">
        <v>16</v>
      </c>
      <c r="C195" s="31" t="s">
        <v>17</v>
      </c>
    </row>
    <row r="196">
      <c r="A196" s="29">
        <v>44391.0</v>
      </c>
      <c r="B196" s="30" t="s">
        <v>14</v>
      </c>
      <c r="C196" s="31">
        <v>730.0</v>
      </c>
    </row>
    <row r="197">
      <c r="A197" s="29">
        <v>44392.0</v>
      </c>
      <c r="B197" s="30" t="s">
        <v>13</v>
      </c>
      <c r="C197" s="31">
        <v>885.0</v>
      </c>
    </row>
    <row r="198">
      <c r="A198" s="29">
        <v>44393.0</v>
      </c>
      <c r="B198" s="30" t="s">
        <v>14</v>
      </c>
      <c r="C198" s="31">
        <v>570.0</v>
      </c>
    </row>
    <row r="199">
      <c r="A199" s="29">
        <v>44394.0</v>
      </c>
      <c r="B199" s="30" t="s">
        <v>14</v>
      </c>
      <c r="C199" s="31">
        <v>950.0</v>
      </c>
    </row>
    <row r="200">
      <c r="A200" s="29">
        <v>44395.0</v>
      </c>
      <c r="B200" s="30" t="s">
        <v>14</v>
      </c>
      <c r="C200" s="31">
        <v>545.0</v>
      </c>
    </row>
    <row r="201">
      <c r="A201" s="29">
        <v>44396.0</v>
      </c>
      <c r="B201" s="30" t="s">
        <v>15</v>
      </c>
      <c r="C201" s="31">
        <v>870.0</v>
      </c>
    </row>
    <row r="202">
      <c r="A202" s="29">
        <v>44397.0</v>
      </c>
      <c r="B202" s="30" t="s">
        <v>16</v>
      </c>
      <c r="C202" s="31" t="s">
        <v>17</v>
      </c>
    </row>
    <row r="203">
      <c r="A203" s="29">
        <v>44398.0</v>
      </c>
      <c r="B203" s="30" t="s">
        <v>13</v>
      </c>
      <c r="C203" s="31">
        <v>885.0</v>
      </c>
    </row>
    <row r="204">
      <c r="A204" s="29">
        <v>44399.0</v>
      </c>
      <c r="B204" s="30" t="s">
        <v>14</v>
      </c>
      <c r="C204" s="31">
        <v>655.0</v>
      </c>
    </row>
    <row r="205">
      <c r="A205" s="29">
        <v>44400.0</v>
      </c>
      <c r="B205" s="30" t="s">
        <v>14</v>
      </c>
      <c r="C205" s="31">
        <v>645.0</v>
      </c>
    </row>
    <row r="206">
      <c r="A206" s="29">
        <v>44401.0</v>
      </c>
      <c r="B206" s="30" t="s">
        <v>15</v>
      </c>
      <c r="C206" s="31">
        <v>880.0</v>
      </c>
    </row>
    <row r="207">
      <c r="A207" s="29">
        <v>44402.0</v>
      </c>
      <c r="B207" s="30" t="s">
        <v>15</v>
      </c>
      <c r="C207" s="31">
        <v>910.0</v>
      </c>
    </row>
    <row r="208">
      <c r="A208" s="29">
        <v>44403.0</v>
      </c>
      <c r="B208" s="30" t="s">
        <v>16</v>
      </c>
      <c r="C208" s="31" t="s">
        <v>17</v>
      </c>
    </row>
    <row r="209">
      <c r="A209" s="29">
        <v>44404.0</v>
      </c>
      <c r="B209" s="30" t="s">
        <v>14</v>
      </c>
      <c r="C209" s="31">
        <v>930.0</v>
      </c>
    </row>
    <row r="210">
      <c r="A210" s="29">
        <v>44405.0</v>
      </c>
      <c r="B210" s="30" t="s">
        <v>14</v>
      </c>
      <c r="C210" s="31">
        <v>725.0</v>
      </c>
    </row>
    <row r="211">
      <c r="A211" s="29">
        <v>44406.0</v>
      </c>
      <c r="B211" s="30" t="s">
        <v>13</v>
      </c>
      <c r="C211" s="31">
        <v>530.0</v>
      </c>
    </row>
    <row r="212">
      <c r="A212" s="29">
        <v>44407.0</v>
      </c>
      <c r="B212" s="30" t="s">
        <v>14</v>
      </c>
      <c r="C212" s="31">
        <v>890.0</v>
      </c>
    </row>
    <row r="213">
      <c r="A213" s="29">
        <v>44408.0</v>
      </c>
      <c r="B213" s="30" t="s">
        <v>14</v>
      </c>
      <c r="C213" s="31">
        <v>720.0</v>
      </c>
    </row>
    <row r="214">
      <c r="A214" s="29">
        <v>44409.0</v>
      </c>
      <c r="B214" s="30" t="s">
        <v>15</v>
      </c>
      <c r="C214" s="31">
        <v>845.0</v>
      </c>
    </row>
    <row r="215">
      <c r="A215" s="29">
        <v>44410.0</v>
      </c>
      <c r="B215" s="30" t="s">
        <v>14</v>
      </c>
      <c r="C215" s="31">
        <v>990.0</v>
      </c>
    </row>
    <row r="216">
      <c r="A216" s="29">
        <v>44411.0</v>
      </c>
      <c r="B216" s="30" t="s">
        <v>15</v>
      </c>
      <c r="C216" s="31">
        <v>680.0</v>
      </c>
    </row>
    <row r="217">
      <c r="A217" s="29">
        <v>44412.0</v>
      </c>
      <c r="B217" s="30" t="s">
        <v>16</v>
      </c>
      <c r="C217" s="31" t="s">
        <v>17</v>
      </c>
    </row>
    <row r="218">
      <c r="A218" s="29">
        <v>44413.0</v>
      </c>
      <c r="B218" s="30" t="s">
        <v>14</v>
      </c>
      <c r="C218" s="31">
        <v>965.0</v>
      </c>
    </row>
    <row r="219">
      <c r="A219" s="29">
        <v>44414.0</v>
      </c>
      <c r="B219" s="30" t="s">
        <v>13</v>
      </c>
      <c r="C219" s="31">
        <v>750.0</v>
      </c>
    </row>
    <row r="220">
      <c r="A220" s="29">
        <v>44415.0</v>
      </c>
      <c r="B220" s="30" t="s">
        <v>14</v>
      </c>
      <c r="C220" s="31">
        <v>570.0</v>
      </c>
    </row>
    <row r="221">
      <c r="A221" s="29">
        <v>44416.0</v>
      </c>
      <c r="B221" s="30" t="s">
        <v>14</v>
      </c>
      <c r="C221" s="31">
        <v>715.0</v>
      </c>
    </row>
    <row r="222">
      <c r="A222" s="29">
        <v>44417.0</v>
      </c>
      <c r="B222" s="30" t="s">
        <v>14</v>
      </c>
      <c r="C222" s="31">
        <v>680.0</v>
      </c>
    </row>
    <row r="223">
      <c r="A223" s="29">
        <v>44418.0</v>
      </c>
      <c r="B223" s="30" t="s">
        <v>15</v>
      </c>
      <c r="C223" s="31">
        <v>560.0</v>
      </c>
    </row>
    <row r="224">
      <c r="A224" s="29">
        <v>44419.0</v>
      </c>
      <c r="B224" s="30" t="s">
        <v>16</v>
      </c>
      <c r="C224" s="31" t="s">
        <v>17</v>
      </c>
    </row>
    <row r="225">
      <c r="A225" s="29">
        <v>44420.0</v>
      </c>
      <c r="B225" s="30" t="s">
        <v>14</v>
      </c>
      <c r="C225" s="31">
        <v>550.0</v>
      </c>
    </row>
    <row r="226">
      <c r="A226" s="29">
        <v>44421.0</v>
      </c>
      <c r="B226" s="30" t="s">
        <v>15</v>
      </c>
      <c r="C226" s="31">
        <v>865.0</v>
      </c>
    </row>
    <row r="227">
      <c r="A227" s="29">
        <v>44422.0</v>
      </c>
      <c r="B227" s="30" t="s">
        <v>14</v>
      </c>
      <c r="C227" s="31">
        <v>915.0</v>
      </c>
    </row>
    <row r="228">
      <c r="A228" s="29">
        <v>44423.0</v>
      </c>
      <c r="B228" s="30" t="s">
        <v>14</v>
      </c>
      <c r="C228" s="31">
        <v>805.0</v>
      </c>
    </row>
    <row r="229">
      <c r="A229" s="29">
        <v>44424.0</v>
      </c>
      <c r="B229" s="30" t="s">
        <v>15</v>
      </c>
      <c r="C229" s="31">
        <v>760.0</v>
      </c>
    </row>
    <row r="230">
      <c r="A230" s="29">
        <v>44425.0</v>
      </c>
      <c r="B230" s="30" t="s">
        <v>14</v>
      </c>
      <c r="C230" s="31">
        <v>685.0</v>
      </c>
    </row>
    <row r="231">
      <c r="A231" s="29">
        <v>44426.0</v>
      </c>
      <c r="B231" s="30" t="s">
        <v>13</v>
      </c>
      <c r="C231" s="31">
        <v>610.0</v>
      </c>
    </row>
    <row r="232">
      <c r="A232" s="29">
        <v>44427.0</v>
      </c>
      <c r="B232" s="30" t="s">
        <v>16</v>
      </c>
      <c r="C232" s="31" t="s">
        <v>17</v>
      </c>
    </row>
    <row r="233">
      <c r="A233" s="29">
        <v>44428.0</v>
      </c>
      <c r="B233" s="30" t="s">
        <v>14</v>
      </c>
      <c r="C233" s="31">
        <v>935.0</v>
      </c>
    </row>
    <row r="234">
      <c r="A234" s="29">
        <v>44429.0</v>
      </c>
      <c r="B234" s="30" t="s">
        <v>14</v>
      </c>
      <c r="C234" s="31">
        <v>580.0</v>
      </c>
    </row>
    <row r="235">
      <c r="A235" s="29">
        <v>44430.0</v>
      </c>
      <c r="B235" s="30" t="s">
        <v>15</v>
      </c>
      <c r="C235" s="31">
        <v>795.0</v>
      </c>
    </row>
    <row r="236">
      <c r="A236" s="29">
        <v>44431.0</v>
      </c>
      <c r="B236" s="30" t="s">
        <v>15</v>
      </c>
      <c r="C236" s="31">
        <v>660.0</v>
      </c>
    </row>
    <row r="237">
      <c r="A237" s="29">
        <v>44432.0</v>
      </c>
      <c r="B237" s="30" t="s">
        <v>16</v>
      </c>
      <c r="C237" s="31" t="s">
        <v>17</v>
      </c>
    </row>
    <row r="238">
      <c r="A238" s="29">
        <v>44433.0</v>
      </c>
      <c r="B238" s="30" t="s">
        <v>14</v>
      </c>
      <c r="C238" s="31">
        <v>845.0</v>
      </c>
    </row>
    <row r="239">
      <c r="A239" s="29">
        <v>44434.0</v>
      </c>
      <c r="B239" s="30" t="s">
        <v>13</v>
      </c>
      <c r="C239" s="31">
        <v>670.0</v>
      </c>
    </row>
    <row r="240">
      <c r="A240" s="29">
        <v>44435.0</v>
      </c>
      <c r="B240" s="30" t="s">
        <v>14</v>
      </c>
      <c r="C240" s="31">
        <v>940.0</v>
      </c>
    </row>
    <row r="241">
      <c r="A241" s="29">
        <v>44436.0</v>
      </c>
      <c r="B241" s="30" t="s">
        <v>14</v>
      </c>
      <c r="C241" s="31">
        <v>840.0</v>
      </c>
    </row>
    <row r="242">
      <c r="A242" s="29">
        <v>44437.0</v>
      </c>
      <c r="B242" s="30" t="s">
        <v>15</v>
      </c>
      <c r="C242" s="31">
        <v>780.0</v>
      </c>
    </row>
    <row r="243">
      <c r="A243" s="29">
        <v>44438.0</v>
      </c>
      <c r="B243" s="30" t="s">
        <v>14</v>
      </c>
      <c r="C243" s="31">
        <v>620.0</v>
      </c>
    </row>
    <row r="244">
      <c r="A244" s="29">
        <v>44439.0</v>
      </c>
      <c r="B244" s="30" t="s">
        <v>15</v>
      </c>
      <c r="C244" s="31">
        <v>675.0</v>
      </c>
    </row>
    <row r="245">
      <c r="A245" s="29">
        <v>44440.0</v>
      </c>
      <c r="B245" s="30" t="s">
        <v>16</v>
      </c>
      <c r="C245" s="31" t="s">
        <v>17</v>
      </c>
    </row>
    <row r="246">
      <c r="A246" s="29">
        <v>44441.0</v>
      </c>
      <c r="B246" s="30" t="s">
        <v>13</v>
      </c>
      <c r="C246" s="31">
        <v>740.0</v>
      </c>
    </row>
    <row r="247">
      <c r="A247" s="29">
        <v>44442.0</v>
      </c>
      <c r="B247" s="30" t="s">
        <v>14</v>
      </c>
      <c r="C247" s="31">
        <v>790.0</v>
      </c>
    </row>
    <row r="248">
      <c r="A248" s="29">
        <v>44443.0</v>
      </c>
      <c r="B248" s="30" t="s">
        <v>14</v>
      </c>
      <c r="C248" s="31">
        <v>655.0</v>
      </c>
    </row>
    <row r="249">
      <c r="A249" s="29">
        <v>44444.0</v>
      </c>
      <c r="B249" s="30" t="s">
        <v>14</v>
      </c>
      <c r="C249" s="31">
        <v>560.0</v>
      </c>
    </row>
    <row r="250">
      <c r="A250" s="29">
        <v>44445.0</v>
      </c>
      <c r="B250" s="30" t="s">
        <v>15</v>
      </c>
      <c r="C250" s="31">
        <v>515.0</v>
      </c>
    </row>
    <row r="251">
      <c r="A251" s="29">
        <v>44446.0</v>
      </c>
      <c r="B251" s="30" t="s">
        <v>15</v>
      </c>
      <c r="C251" s="31">
        <v>565.0</v>
      </c>
    </row>
    <row r="252">
      <c r="A252" s="29">
        <v>44447.0</v>
      </c>
      <c r="B252" s="30" t="s">
        <v>16</v>
      </c>
      <c r="C252" s="31" t="s">
        <v>17</v>
      </c>
    </row>
    <row r="253">
      <c r="A253" s="29">
        <v>44448.0</v>
      </c>
      <c r="B253" s="30" t="s">
        <v>14</v>
      </c>
      <c r="C253" s="31">
        <v>800.0</v>
      </c>
    </row>
    <row r="254">
      <c r="A254" s="29">
        <v>44449.0</v>
      </c>
      <c r="B254" s="30" t="s">
        <v>15</v>
      </c>
      <c r="C254" s="31">
        <v>865.0</v>
      </c>
    </row>
    <row r="255">
      <c r="A255" s="29">
        <v>44450.0</v>
      </c>
      <c r="B255" s="30" t="s">
        <v>14</v>
      </c>
      <c r="C255" s="31">
        <v>530.0</v>
      </c>
    </row>
    <row r="256">
      <c r="A256" s="29">
        <v>44451.0</v>
      </c>
      <c r="B256" s="30" t="s">
        <v>14</v>
      </c>
      <c r="C256" s="31">
        <v>540.0</v>
      </c>
    </row>
    <row r="257">
      <c r="A257" s="29">
        <v>44452.0</v>
      </c>
      <c r="B257" s="30" t="s">
        <v>14</v>
      </c>
      <c r="C257" s="31">
        <v>620.0</v>
      </c>
    </row>
    <row r="258">
      <c r="A258" s="29">
        <v>44453.0</v>
      </c>
      <c r="B258" s="30" t="s">
        <v>15</v>
      </c>
      <c r="C258" s="31">
        <v>805.0</v>
      </c>
    </row>
    <row r="259">
      <c r="A259" s="29">
        <v>44454.0</v>
      </c>
      <c r="B259" s="30" t="s">
        <v>14</v>
      </c>
      <c r="C259" s="31">
        <v>535.0</v>
      </c>
    </row>
    <row r="260">
      <c r="A260" s="29">
        <v>44455.0</v>
      </c>
      <c r="B260" s="30" t="s">
        <v>14</v>
      </c>
      <c r="C260" s="31">
        <v>905.0</v>
      </c>
    </row>
    <row r="261">
      <c r="A261" s="29">
        <v>44456.0</v>
      </c>
      <c r="B261" s="30" t="s">
        <v>15</v>
      </c>
      <c r="C261" s="31">
        <v>535.0</v>
      </c>
    </row>
    <row r="262">
      <c r="A262" s="29">
        <v>44457.0</v>
      </c>
      <c r="B262" s="30" t="s">
        <v>16</v>
      </c>
      <c r="C262" s="31" t="s">
        <v>17</v>
      </c>
    </row>
    <row r="263">
      <c r="A263" s="29">
        <v>44458.0</v>
      </c>
      <c r="B263" s="30" t="s">
        <v>14</v>
      </c>
      <c r="C263" s="31">
        <v>670.0</v>
      </c>
    </row>
    <row r="264">
      <c r="A264" s="29">
        <v>44459.0</v>
      </c>
      <c r="B264" s="30" t="s">
        <v>13</v>
      </c>
      <c r="C264" s="31">
        <v>625.0</v>
      </c>
    </row>
    <row r="265">
      <c r="A265" s="29">
        <v>44460.0</v>
      </c>
      <c r="B265" s="30" t="s">
        <v>14</v>
      </c>
      <c r="C265" s="31">
        <v>570.0</v>
      </c>
    </row>
    <row r="266">
      <c r="A266" s="29">
        <v>44461.0</v>
      </c>
      <c r="B266" s="30" t="s">
        <v>14</v>
      </c>
      <c r="C266" s="31">
        <v>705.0</v>
      </c>
    </row>
    <row r="267">
      <c r="A267" s="29">
        <v>44462.0</v>
      </c>
      <c r="B267" s="30" t="s">
        <v>14</v>
      </c>
      <c r="C267" s="31">
        <v>775.0</v>
      </c>
    </row>
    <row r="268">
      <c r="A268" s="29">
        <v>44463.0</v>
      </c>
      <c r="B268" s="30" t="s">
        <v>15</v>
      </c>
      <c r="C268" s="31">
        <v>685.0</v>
      </c>
    </row>
    <row r="269">
      <c r="A269" s="29">
        <v>44464.0</v>
      </c>
      <c r="B269" s="30" t="s">
        <v>16</v>
      </c>
      <c r="C269" s="31" t="s">
        <v>17</v>
      </c>
    </row>
    <row r="270">
      <c r="A270" s="29">
        <v>44465.0</v>
      </c>
      <c r="B270" s="30" t="s">
        <v>13</v>
      </c>
      <c r="C270" s="31">
        <v>1000.0</v>
      </c>
    </row>
    <row r="271">
      <c r="A271" s="29">
        <v>44466.0</v>
      </c>
      <c r="B271" s="30" t="s">
        <v>14</v>
      </c>
      <c r="C271" s="31">
        <v>955.0</v>
      </c>
    </row>
    <row r="272">
      <c r="A272" s="29">
        <v>44467.0</v>
      </c>
      <c r="B272" s="30" t="s">
        <v>14</v>
      </c>
      <c r="C272" s="31">
        <v>980.0</v>
      </c>
    </row>
    <row r="273">
      <c r="A273" s="29">
        <v>44468.0</v>
      </c>
      <c r="B273" s="30" t="s">
        <v>15</v>
      </c>
      <c r="C273" s="31">
        <v>735.0</v>
      </c>
    </row>
    <row r="274">
      <c r="A274" s="29">
        <v>44469.0</v>
      </c>
      <c r="B274" s="30" t="s">
        <v>15</v>
      </c>
      <c r="C274" s="31">
        <v>720.0</v>
      </c>
    </row>
    <row r="275">
      <c r="A275" s="29">
        <v>44470.0</v>
      </c>
      <c r="B275" s="30" t="s">
        <v>16</v>
      </c>
      <c r="C275" s="31" t="s">
        <v>17</v>
      </c>
    </row>
    <row r="276">
      <c r="A276" s="29">
        <v>44471.0</v>
      </c>
      <c r="B276" s="30" t="s">
        <v>14</v>
      </c>
      <c r="C276" s="31">
        <v>755.0</v>
      </c>
    </row>
    <row r="277">
      <c r="A277" s="29">
        <v>44472.0</v>
      </c>
      <c r="B277" s="30" t="s">
        <v>14</v>
      </c>
      <c r="C277" s="31">
        <v>885.0</v>
      </c>
    </row>
    <row r="278">
      <c r="A278" s="29">
        <v>44473.0</v>
      </c>
      <c r="B278" s="30" t="s">
        <v>13</v>
      </c>
      <c r="C278" s="31">
        <v>980.0</v>
      </c>
    </row>
    <row r="279">
      <c r="A279" s="29">
        <v>44474.0</v>
      </c>
      <c r="B279" s="30" t="s">
        <v>14</v>
      </c>
      <c r="C279" s="31">
        <v>840.0</v>
      </c>
    </row>
    <row r="280">
      <c r="A280" s="29">
        <v>44475.0</v>
      </c>
      <c r="B280" s="30" t="s">
        <v>14</v>
      </c>
      <c r="C280" s="31">
        <v>550.0</v>
      </c>
    </row>
    <row r="281">
      <c r="A281" s="29">
        <v>44476.0</v>
      </c>
      <c r="B281" s="30" t="s">
        <v>15</v>
      </c>
      <c r="C281" s="31">
        <v>660.0</v>
      </c>
    </row>
    <row r="282">
      <c r="A282" s="29">
        <v>44477.0</v>
      </c>
      <c r="B282" s="30" t="s">
        <v>14</v>
      </c>
      <c r="C282" s="31">
        <v>520.0</v>
      </c>
    </row>
    <row r="283">
      <c r="A283" s="29">
        <v>44478.0</v>
      </c>
      <c r="B283" s="30" t="s">
        <v>15</v>
      </c>
      <c r="C283" s="31">
        <v>960.0</v>
      </c>
    </row>
    <row r="284">
      <c r="A284" s="29">
        <v>44479.0</v>
      </c>
      <c r="B284" s="30" t="s">
        <v>16</v>
      </c>
      <c r="C284" s="31" t="s">
        <v>17</v>
      </c>
    </row>
    <row r="285">
      <c r="A285" s="29">
        <v>44480.0</v>
      </c>
      <c r="B285" s="30" t="s">
        <v>14</v>
      </c>
      <c r="C285" s="31">
        <v>940.0</v>
      </c>
    </row>
    <row r="286">
      <c r="A286" s="29">
        <v>44481.0</v>
      </c>
      <c r="B286" s="30" t="s">
        <v>13</v>
      </c>
      <c r="C286" s="31">
        <v>720.0</v>
      </c>
    </row>
    <row r="287">
      <c r="A287" s="29">
        <v>44482.0</v>
      </c>
      <c r="B287" s="30" t="s">
        <v>14</v>
      </c>
      <c r="C287" s="31">
        <v>700.0</v>
      </c>
    </row>
    <row r="288">
      <c r="A288" s="29">
        <v>44483.0</v>
      </c>
      <c r="B288" s="30" t="s">
        <v>14</v>
      </c>
      <c r="C288" s="31">
        <v>885.0</v>
      </c>
    </row>
    <row r="289">
      <c r="A289" s="29">
        <v>44484.0</v>
      </c>
      <c r="B289" s="30" t="s">
        <v>14</v>
      </c>
      <c r="C289" s="31">
        <v>745.0</v>
      </c>
    </row>
    <row r="290">
      <c r="A290" s="29">
        <v>44485.0</v>
      </c>
      <c r="B290" s="30" t="s">
        <v>15</v>
      </c>
      <c r="C290" s="31">
        <v>585.0</v>
      </c>
    </row>
    <row r="291">
      <c r="A291" s="29">
        <v>44486.0</v>
      </c>
      <c r="B291" s="30" t="s">
        <v>16</v>
      </c>
      <c r="C291" s="31" t="s">
        <v>17</v>
      </c>
    </row>
    <row r="292">
      <c r="A292" s="29">
        <v>44487.0</v>
      </c>
      <c r="B292" s="30" t="s">
        <v>14</v>
      </c>
      <c r="C292" s="31">
        <v>670.0</v>
      </c>
    </row>
    <row r="293">
      <c r="A293" s="29">
        <v>44488.0</v>
      </c>
      <c r="B293" s="30" t="s">
        <v>15</v>
      </c>
      <c r="C293" s="31">
        <v>925.0</v>
      </c>
    </row>
    <row r="294">
      <c r="A294" s="29">
        <v>44489.0</v>
      </c>
      <c r="B294" s="30" t="s">
        <v>14</v>
      </c>
      <c r="C294" s="31">
        <v>660.0</v>
      </c>
    </row>
    <row r="295">
      <c r="A295" s="29">
        <v>44490.0</v>
      </c>
      <c r="B295" s="30" t="s">
        <v>14</v>
      </c>
      <c r="C295" s="31">
        <v>785.0</v>
      </c>
    </row>
    <row r="296">
      <c r="A296" s="29">
        <v>44491.0</v>
      </c>
      <c r="B296" s="30" t="s">
        <v>15</v>
      </c>
      <c r="C296" s="31">
        <v>790.0</v>
      </c>
    </row>
    <row r="297">
      <c r="A297" s="29">
        <v>44492.0</v>
      </c>
      <c r="B297" s="30" t="s">
        <v>14</v>
      </c>
      <c r="C297" s="31">
        <v>700.0</v>
      </c>
    </row>
    <row r="298">
      <c r="A298" s="29">
        <v>44493.0</v>
      </c>
      <c r="B298" s="30" t="s">
        <v>13</v>
      </c>
      <c r="C298" s="31">
        <v>955.0</v>
      </c>
    </row>
    <row r="299">
      <c r="A299" s="29">
        <v>44494.0</v>
      </c>
      <c r="B299" s="30" t="s">
        <v>16</v>
      </c>
      <c r="C299" s="31" t="s">
        <v>17</v>
      </c>
    </row>
    <row r="300">
      <c r="A300" s="29">
        <v>44495.0</v>
      </c>
      <c r="B300" s="30" t="s">
        <v>14</v>
      </c>
      <c r="C300" s="31">
        <v>985.0</v>
      </c>
    </row>
    <row r="301">
      <c r="A301" s="29">
        <v>44496.0</v>
      </c>
      <c r="B301" s="30" t="s">
        <v>14</v>
      </c>
      <c r="C301" s="31">
        <v>680.0</v>
      </c>
    </row>
    <row r="302">
      <c r="A302" s="29">
        <v>44497.0</v>
      </c>
      <c r="B302" s="30" t="s">
        <v>15</v>
      </c>
      <c r="C302" s="31">
        <v>750.0</v>
      </c>
    </row>
    <row r="303">
      <c r="A303" s="29">
        <v>44498.0</v>
      </c>
      <c r="B303" s="30" t="s">
        <v>15</v>
      </c>
      <c r="C303" s="31">
        <v>665.0</v>
      </c>
    </row>
    <row r="304">
      <c r="A304" s="29">
        <v>44499.0</v>
      </c>
      <c r="B304" s="30" t="s">
        <v>16</v>
      </c>
      <c r="C304" s="31" t="s">
        <v>17</v>
      </c>
    </row>
    <row r="305">
      <c r="A305" s="29">
        <v>44500.0</v>
      </c>
      <c r="B305" s="30" t="s">
        <v>14</v>
      </c>
      <c r="C305" s="31">
        <v>965.0</v>
      </c>
    </row>
    <row r="306">
      <c r="A306" s="29">
        <v>44501.0</v>
      </c>
      <c r="B306" s="30" t="s">
        <v>13</v>
      </c>
      <c r="C306" s="31">
        <v>515.0</v>
      </c>
    </row>
    <row r="307">
      <c r="A307" s="29">
        <v>44502.0</v>
      </c>
      <c r="B307" s="30" t="s">
        <v>14</v>
      </c>
      <c r="C307" s="31">
        <v>665.0</v>
      </c>
    </row>
    <row r="308">
      <c r="A308" s="29">
        <v>44503.0</v>
      </c>
      <c r="B308" s="30" t="s">
        <v>14</v>
      </c>
      <c r="C308" s="31">
        <v>805.0</v>
      </c>
    </row>
    <row r="309">
      <c r="A309" s="29">
        <v>44504.0</v>
      </c>
      <c r="B309" s="30" t="s">
        <v>15</v>
      </c>
      <c r="C309" s="31">
        <v>880.0</v>
      </c>
    </row>
    <row r="310">
      <c r="A310" s="29">
        <v>44505.0</v>
      </c>
      <c r="B310" s="30" t="s">
        <v>14</v>
      </c>
      <c r="C310" s="31">
        <v>935.0</v>
      </c>
    </row>
    <row r="311">
      <c r="A311" s="29">
        <v>44506.0</v>
      </c>
      <c r="B311" s="30" t="s">
        <v>15</v>
      </c>
      <c r="C311" s="31">
        <v>625.0</v>
      </c>
    </row>
    <row r="312">
      <c r="A312" s="29">
        <v>44507.0</v>
      </c>
      <c r="B312" s="30" t="s">
        <v>16</v>
      </c>
      <c r="C312" s="31" t="s">
        <v>17</v>
      </c>
    </row>
    <row r="313">
      <c r="A313" s="29">
        <v>44508.0</v>
      </c>
      <c r="B313" s="30" t="s">
        <v>13</v>
      </c>
      <c r="C313" s="31">
        <v>960.0</v>
      </c>
    </row>
    <row r="314">
      <c r="A314" s="29">
        <v>44509.0</v>
      </c>
      <c r="B314" s="30" t="s">
        <v>14</v>
      </c>
      <c r="C314" s="31">
        <v>750.0</v>
      </c>
    </row>
    <row r="315">
      <c r="A315" s="29">
        <v>44510.0</v>
      </c>
      <c r="B315" s="30" t="s">
        <v>14</v>
      </c>
      <c r="C315" s="31">
        <v>630.0</v>
      </c>
    </row>
    <row r="316">
      <c r="A316" s="29">
        <v>44511.0</v>
      </c>
      <c r="B316" s="30" t="s">
        <v>14</v>
      </c>
      <c r="C316" s="31">
        <v>675.0</v>
      </c>
    </row>
    <row r="317">
      <c r="A317" s="29">
        <v>44512.0</v>
      </c>
      <c r="B317" s="30" t="s">
        <v>15</v>
      </c>
      <c r="C317" s="31">
        <v>880.0</v>
      </c>
    </row>
    <row r="318">
      <c r="A318" s="29">
        <v>44513.0</v>
      </c>
      <c r="B318" s="30" t="s">
        <v>15</v>
      </c>
      <c r="C318" s="31">
        <v>930.0</v>
      </c>
    </row>
    <row r="319">
      <c r="A319" s="29">
        <v>44514.0</v>
      </c>
      <c r="B319" s="30" t="s">
        <v>16</v>
      </c>
      <c r="C319" s="31" t="s">
        <v>17</v>
      </c>
    </row>
    <row r="320">
      <c r="A320" s="29">
        <v>44515.0</v>
      </c>
      <c r="B320" s="30" t="s">
        <v>14</v>
      </c>
      <c r="C320" s="31">
        <v>645.0</v>
      </c>
    </row>
    <row r="321">
      <c r="A321" s="29">
        <v>44516.0</v>
      </c>
      <c r="B321" s="30" t="s">
        <v>15</v>
      </c>
      <c r="C321" s="31">
        <v>680.0</v>
      </c>
    </row>
    <row r="322">
      <c r="A322" s="29">
        <v>44517.0</v>
      </c>
      <c r="B322" s="30" t="s">
        <v>14</v>
      </c>
      <c r="C322" s="31">
        <v>545.0</v>
      </c>
    </row>
    <row r="323">
      <c r="A323" s="29">
        <v>44518.0</v>
      </c>
      <c r="B323" s="30" t="s">
        <v>14</v>
      </c>
      <c r="C323" s="31">
        <v>545.0</v>
      </c>
    </row>
    <row r="324">
      <c r="A324" s="29">
        <v>44519.0</v>
      </c>
      <c r="B324" s="30" t="s">
        <v>14</v>
      </c>
      <c r="C324" s="31">
        <v>685.0</v>
      </c>
    </row>
    <row r="325">
      <c r="A325" s="29">
        <v>44520.0</v>
      </c>
      <c r="B325" s="30" t="s">
        <v>15</v>
      </c>
      <c r="C325" s="31">
        <v>635.0</v>
      </c>
    </row>
    <row r="326">
      <c r="A326" s="29">
        <v>44521.0</v>
      </c>
      <c r="B326" s="30" t="s">
        <v>14</v>
      </c>
      <c r="C326" s="31">
        <v>775.0</v>
      </c>
    </row>
    <row r="327">
      <c r="A327" s="29">
        <v>44522.0</v>
      </c>
      <c r="B327" s="30" t="s">
        <v>14</v>
      </c>
      <c r="C327" s="31">
        <v>990.0</v>
      </c>
    </row>
    <row r="328">
      <c r="A328" s="29">
        <v>44523.0</v>
      </c>
      <c r="B328" s="30" t="s">
        <v>15</v>
      </c>
      <c r="C328" s="31">
        <v>505.0</v>
      </c>
    </row>
    <row r="329">
      <c r="A329" s="29">
        <v>44524.0</v>
      </c>
      <c r="B329" s="30" t="s">
        <v>16</v>
      </c>
      <c r="C329" s="31" t="s">
        <v>17</v>
      </c>
    </row>
    <row r="330">
      <c r="A330" s="29">
        <v>44525.0</v>
      </c>
      <c r="B330" s="30" t="s">
        <v>14</v>
      </c>
      <c r="C330" s="31">
        <v>855.0</v>
      </c>
    </row>
    <row r="331">
      <c r="A331" s="29">
        <v>44526.0</v>
      </c>
      <c r="B331" s="30" t="s">
        <v>13</v>
      </c>
      <c r="C331" s="31">
        <v>525.0</v>
      </c>
    </row>
    <row r="332">
      <c r="A332" s="29">
        <v>44527.0</v>
      </c>
      <c r="B332" s="30" t="s">
        <v>14</v>
      </c>
      <c r="C332" s="31">
        <v>975.0</v>
      </c>
    </row>
    <row r="333">
      <c r="A333" s="29">
        <v>44528.0</v>
      </c>
      <c r="B333" s="30" t="s">
        <v>14</v>
      </c>
      <c r="C333" s="31">
        <v>990.0</v>
      </c>
    </row>
    <row r="334">
      <c r="A334" s="29">
        <v>44529.0</v>
      </c>
      <c r="B334" s="30" t="s">
        <v>14</v>
      </c>
      <c r="C334" s="31">
        <v>650.0</v>
      </c>
    </row>
    <row r="335">
      <c r="A335" s="29">
        <v>44530.0</v>
      </c>
      <c r="B335" s="30" t="s">
        <v>15</v>
      </c>
      <c r="C335" s="31">
        <v>735.0</v>
      </c>
    </row>
    <row r="336">
      <c r="A336" s="29">
        <v>44531.0</v>
      </c>
      <c r="B336" s="30" t="s">
        <v>16</v>
      </c>
      <c r="C336" s="31" t="s">
        <v>17</v>
      </c>
    </row>
    <row r="337">
      <c r="A337" s="29">
        <v>44532.0</v>
      </c>
      <c r="B337" s="30" t="s">
        <v>13</v>
      </c>
      <c r="C337" s="31">
        <v>730.0</v>
      </c>
    </row>
    <row r="338">
      <c r="A338" s="29">
        <v>44533.0</v>
      </c>
      <c r="B338" s="30" t="s">
        <v>14</v>
      </c>
      <c r="C338" s="31">
        <v>960.0</v>
      </c>
    </row>
    <row r="339">
      <c r="A339" s="29">
        <v>44534.0</v>
      </c>
      <c r="B339" s="30" t="s">
        <v>14</v>
      </c>
      <c r="C339" s="31">
        <v>830.0</v>
      </c>
    </row>
    <row r="340">
      <c r="A340" s="29">
        <v>44535.0</v>
      </c>
      <c r="B340" s="30" t="s">
        <v>15</v>
      </c>
      <c r="C340" s="31">
        <v>625.0</v>
      </c>
    </row>
    <row r="341">
      <c r="A341" s="29">
        <v>44536.0</v>
      </c>
      <c r="B341" s="30" t="s">
        <v>15</v>
      </c>
      <c r="C341" s="31">
        <v>920.0</v>
      </c>
    </row>
    <row r="342">
      <c r="A342" s="29">
        <v>44537.0</v>
      </c>
      <c r="B342" s="30" t="s">
        <v>16</v>
      </c>
      <c r="C342" s="31" t="s">
        <v>17</v>
      </c>
    </row>
    <row r="343">
      <c r="A343" s="29">
        <v>44538.0</v>
      </c>
      <c r="B343" s="30" t="s">
        <v>14</v>
      </c>
      <c r="C343" s="31">
        <v>755.0</v>
      </c>
    </row>
    <row r="344">
      <c r="A344" s="29">
        <v>44539.0</v>
      </c>
      <c r="B344" s="30" t="s">
        <v>14</v>
      </c>
      <c r="C344" s="31">
        <v>915.0</v>
      </c>
    </row>
    <row r="345">
      <c r="A345" s="29">
        <v>44540.0</v>
      </c>
      <c r="B345" s="30" t="s">
        <v>13</v>
      </c>
      <c r="C345" s="31">
        <v>630.0</v>
      </c>
    </row>
    <row r="346">
      <c r="A346" s="29">
        <v>44541.0</v>
      </c>
      <c r="B346" s="30" t="s">
        <v>14</v>
      </c>
      <c r="C346" s="31">
        <v>910.0</v>
      </c>
    </row>
    <row r="347">
      <c r="A347" s="29">
        <v>44542.0</v>
      </c>
      <c r="B347" s="30" t="s">
        <v>14</v>
      </c>
      <c r="C347" s="31">
        <v>695.0</v>
      </c>
    </row>
    <row r="348">
      <c r="A348" s="29">
        <v>44543.0</v>
      </c>
      <c r="B348" s="30" t="s">
        <v>15</v>
      </c>
      <c r="C348" s="31">
        <v>560.0</v>
      </c>
    </row>
    <row r="349">
      <c r="A349" s="29">
        <v>44544.0</v>
      </c>
      <c r="B349" s="30" t="s">
        <v>14</v>
      </c>
      <c r="C349" s="31">
        <v>865.0</v>
      </c>
    </row>
    <row r="350">
      <c r="A350" s="29">
        <v>44545.0</v>
      </c>
      <c r="B350" s="30" t="s">
        <v>15</v>
      </c>
      <c r="C350" s="31">
        <v>695.0</v>
      </c>
    </row>
    <row r="351">
      <c r="A351" s="29">
        <v>44546.0</v>
      </c>
      <c r="B351" s="30" t="s">
        <v>16</v>
      </c>
      <c r="C351" s="31" t="s">
        <v>17</v>
      </c>
    </row>
    <row r="352">
      <c r="A352" s="29">
        <v>44547.0</v>
      </c>
      <c r="B352" s="30" t="s">
        <v>14</v>
      </c>
      <c r="C352" s="31">
        <v>860.0</v>
      </c>
    </row>
    <row r="353">
      <c r="A353" s="29">
        <v>44548.0</v>
      </c>
      <c r="B353" s="30" t="s">
        <v>13</v>
      </c>
      <c r="C353" s="31">
        <v>735.0</v>
      </c>
    </row>
    <row r="354">
      <c r="A354" s="29">
        <v>44549.0</v>
      </c>
      <c r="B354" s="30" t="s">
        <v>14</v>
      </c>
      <c r="C354" s="31">
        <v>710.0</v>
      </c>
    </row>
    <row r="355">
      <c r="A355" s="29">
        <v>44550.0</v>
      </c>
      <c r="B355" s="30" t="s">
        <v>14</v>
      </c>
      <c r="C355" s="31">
        <v>580.0</v>
      </c>
    </row>
    <row r="356">
      <c r="A356" s="29">
        <v>44551.0</v>
      </c>
      <c r="B356" s="30" t="s">
        <v>14</v>
      </c>
      <c r="C356" s="31">
        <v>730.0</v>
      </c>
    </row>
    <row r="357">
      <c r="A357" s="29">
        <v>44552.0</v>
      </c>
      <c r="B357" s="30" t="s">
        <v>15</v>
      </c>
      <c r="C357" s="31">
        <v>930.0</v>
      </c>
    </row>
    <row r="358">
      <c r="A358" s="29">
        <v>44553.0</v>
      </c>
      <c r="B358" s="30" t="s">
        <v>16</v>
      </c>
      <c r="C358" s="31" t="s">
        <v>17</v>
      </c>
    </row>
    <row r="359">
      <c r="A359" s="29">
        <v>44554.0</v>
      </c>
      <c r="B359" s="30" t="s">
        <v>14</v>
      </c>
      <c r="C359" s="31">
        <v>860.0</v>
      </c>
    </row>
    <row r="360">
      <c r="A360" s="29">
        <v>44555.0</v>
      </c>
      <c r="B360" s="30" t="s">
        <v>15</v>
      </c>
      <c r="C360" s="31">
        <v>810.0</v>
      </c>
    </row>
    <row r="361">
      <c r="A361" s="29">
        <v>44556.0</v>
      </c>
      <c r="B361" s="30" t="s">
        <v>14</v>
      </c>
      <c r="C361" s="31">
        <v>745.0</v>
      </c>
    </row>
    <row r="362">
      <c r="A362" s="29">
        <v>44557.0</v>
      </c>
      <c r="B362" s="30" t="s">
        <v>14</v>
      </c>
      <c r="C362" s="31">
        <v>955.0</v>
      </c>
    </row>
    <row r="363">
      <c r="A363" s="29">
        <v>44558.0</v>
      </c>
      <c r="B363" s="30" t="s">
        <v>15</v>
      </c>
      <c r="C363" s="31">
        <v>935.0</v>
      </c>
    </row>
    <row r="364">
      <c r="A364" s="29">
        <v>44559.0</v>
      </c>
      <c r="B364" s="30" t="s">
        <v>14</v>
      </c>
      <c r="C364" s="31">
        <v>900.0</v>
      </c>
    </row>
    <row r="365">
      <c r="A365" s="29">
        <v>44560.0</v>
      </c>
      <c r="B365" s="30" t="s">
        <v>13</v>
      </c>
      <c r="C365" s="31">
        <v>840.0</v>
      </c>
    </row>
    <row r="366">
      <c r="A366" s="29">
        <v>44561.0</v>
      </c>
      <c r="B366" s="30" t="s">
        <v>16</v>
      </c>
      <c r="C366" s="31" t="s">
        <v>17</v>
      </c>
    </row>
    <row r="367">
      <c r="A367" s="29">
        <v>44562.0</v>
      </c>
      <c r="B367" s="30" t="s">
        <v>14</v>
      </c>
      <c r="C367" s="31">
        <v>985.0</v>
      </c>
    </row>
    <row r="368">
      <c r="A368" s="29">
        <v>44563.0</v>
      </c>
      <c r="B368" s="30" t="s">
        <v>14</v>
      </c>
      <c r="C368" s="31">
        <v>630.0</v>
      </c>
    </row>
    <row r="369">
      <c r="A369" s="29">
        <v>44564.0</v>
      </c>
      <c r="B369" s="30" t="s">
        <v>15</v>
      </c>
      <c r="C369" s="31">
        <v>685.0</v>
      </c>
    </row>
    <row r="370">
      <c r="A370" s="29">
        <v>44565.0</v>
      </c>
      <c r="B370" s="30" t="s">
        <v>15</v>
      </c>
      <c r="C370" s="31">
        <v>800.0</v>
      </c>
    </row>
    <row r="371">
      <c r="A371" s="29">
        <v>44566.0</v>
      </c>
      <c r="B371" s="30" t="s">
        <v>16</v>
      </c>
      <c r="C371" s="31" t="s">
        <v>17</v>
      </c>
    </row>
    <row r="372">
      <c r="A372" s="29">
        <v>44567.0</v>
      </c>
      <c r="B372" s="30" t="s">
        <v>14</v>
      </c>
      <c r="C372" s="31">
        <v>695.0</v>
      </c>
    </row>
    <row r="373">
      <c r="A373" s="29">
        <v>44568.0</v>
      </c>
      <c r="B373" s="30" t="s">
        <v>13</v>
      </c>
      <c r="C373" s="31">
        <v>695.0</v>
      </c>
    </row>
    <row r="374">
      <c r="A374" s="29">
        <v>44569.0</v>
      </c>
      <c r="B374" s="30" t="s">
        <v>14</v>
      </c>
      <c r="C374" s="31">
        <v>870.0</v>
      </c>
    </row>
    <row r="375">
      <c r="A375" s="29">
        <v>44570.0</v>
      </c>
      <c r="B375" s="30" t="s">
        <v>14</v>
      </c>
      <c r="C375" s="31">
        <v>990.0</v>
      </c>
    </row>
    <row r="376">
      <c r="A376" s="29">
        <v>44571.0</v>
      </c>
      <c r="B376" s="30" t="s">
        <v>15</v>
      </c>
      <c r="C376" s="31">
        <v>630.0</v>
      </c>
    </row>
    <row r="377">
      <c r="A377" s="29">
        <v>44572.0</v>
      </c>
      <c r="B377" s="30" t="s">
        <v>14</v>
      </c>
      <c r="C377" s="31">
        <v>505.0</v>
      </c>
    </row>
    <row r="378">
      <c r="A378" s="29">
        <v>44573.0</v>
      </c>
      <c r="B378" s="30" t="s">
        <v>15</v>
      </c>
      <c r="C378" s="31">
        <v>735.0</v>
      </c>
    </row>
    <row r="379">
      <c r="A379" s="29">
        <v>44574.0</v>
      </c>
      <c r="B379" s="30" t="s">
        <v>16</v>
      </c>
      <c r="C379" s="31" t="s">
        <v>17</v>
      </c>
    </row>
    <row r="380">
      <c r="A380" s="29">
        <v>44575.0</v>
      </c>
      <c r="B380" s="30" t="s">
        <v>13</v>
      </c>
      <c r="C380" s="31">
        <v>865.0</v>
      </c>
    </row>
    <row r="381">
      <c r="A381" s="29">
        <v>44576.0</v>
      </c>
      <c r="B381" s="30" t="s">
        <v>14</v>
      </c>
      <c r="C381" s="31">
        <v>645.0</v>
      </c>
    </row>
    <row r="382">
      <c r="A382" s="29">
        <v>44577.0</v>
      </c>
      <c r="B382" s="30" t="s">
        <v>14</v>
      </c>
      <c r="C382" s="31">
        <v>775.0</v>
      </c>
    </row>
    <row r="383">
      <c r="A383" s="29">
        <v>44578.0</v>
      </c>
      <c r="B383" s="30" t="s">
        <v>14</v>
      </c>
      <c r="C383" s="31">
        <v>995.0</v>
      </c>
    </row>
    <row r="384">
      <c r="A384" s="29">
        <v>44579.0</v>
      </c>
      <c r="B384" s="30" t="s">
        <v>15</v>
      </c>
      <c r="C384" s="31">
        <v>1000.0</v>
      </c>
    </row>
    <row r="385">
      <c r="A385" s="29">
        <v>44580.0</v>
      </c>
      <c r="B385" s="30" t="s">
        <v>15</v>
      </c>
      <c r="C385" s="31">
        <v>685.0</v>
      </c>
    </row>
    <row r="386">
      <c r="A386" s="29">
        <v>44581.0</v>
      </c>
      <c r="B386" s="30" t="s">
        <v>16</v>
      </c>
      <c r="C386" s="31" t="s">
        <v>17</v>
      </c>
    </row>
    <row r="387">
      <c r="A387" s="29">
        <v>44582.0</v>
      </c>
      <c r="B387" s="30" t="s">
        <v>14</v>
      </c>
      <c r="C387" s="31">
        <v>905.0</v>
      </c>
    </row>
    <row r="388">
      <c r="A388" s="29">
        <v>44583.0</v>
      </c>
      <c r="B388" s="30" t="s">
        <v>15</v>
      </c>
      <c r="C388" s="31">
        <v>660.0</v>
      </c>
    </row>
    <row r="389">
      <c r="A389" s="29">
        <v>44584.0</v>
      </c>
      <c r="B389" s="30" t="s">
        <v>14</v>
      </c>
      <c r="C389" s="31">
        <v>825.0</v>
      </c>
    </row>
    <row r="390">
      <c r="A390" s="29">
        <v>44585.0</v>
      </c>
      <c r="B390" s="30" t="s">
        <v>14</v>
      </c>
      <c r="C390" s="31">
        <v>710.0</v>
      </c>
    </row>
    <row r="391">
      <c r="A391" s="29">
        <v>44586.0</v>
      </c>
      <c r="B391" s="30" t="s">
        <v>14</v>
      </c>
      <c r="C391" s="31">
        <v>845.0</v>
      </c>
    </row>
    <row r="392">
      <c r="A392" s="29">
        <v>44587.0</v>
      </c>
      <c r="B392" s="30" t="s">
        <v>15</v>
      </c>
      <c r="C392" s="31">
        <v>805.0</v>
      </c>
    </row>
    <row r="393">
      <c r="A393" s="29">
        <v>44588.0</v>
      </c>
      <c r="B393" s="30" t="s">
        <v>14</v>
      </c>
      <c r="C393" s="31">
        <v>915.0</v>
      </c>
    </row>
    <row r="394">
      <c r="A394" s="29">
        <v>44589.0</v>
      </c>
      <c r="B394" s="30" t="s">
        <v>14</v>
      </c>
      <c r="C394" s="31">
        <v>715.0</v>
      </c>
    </row>
    <row r="395">
      <c r="A395" s="29">
        <v>44590.0</v>
      </c>
      <c r="B395" s="30" t="s">
        <v>15</v>
      </c>
      <c r="C395" s="31">
        <v>815.0</v>
      </c>
    </row>
    <row r="396">
      <c r="A396" s="29">
        <v>44591.0</v>
      </c>
      <c r="B396" s="30" t="s">
        <v>16</v>
      </c>
      <c r="C396" s="31" t="s">
        <v>17</v>
      </c>
    </row>
    <row r="397">
      <c r="A397" s="29">
        <v>44592.0</v>
      </c>
      <c r="B397" s="30" t="s">
        <v>14</v>
      </c>
      <c r="C397" s="31">
        <v>850.0</v>
      </c>
    </row>
    <row r="398">
      <c r="A398" s="29">
        <v>44593.0</v>
      </c>
      <c r="B398" s="30" t="s">
        <v>13</v>
      </c>
      <c r="C398" s="31">
        <v>555.0</v>
      </c>
    </row>
    <row r="399">
      <c r="A399" s="29">
        <v>44594.0</v>
      </c>
      <c r="B399" s="30" t="s">
        <v>14</v>
      </c>
      <c r="C399" s="31">
        <v>585.0</v>
      </c>
    </row>
    <row r="400">
      <c r="A400" s="29">
        <v>44595.0</v>
      </c>
      <c r="B400" s="30" t="s">
        <v>14</v>
      </c>
      <c r="C400" s="31">
        <v>735.0</v>
      </c>
    </row>
    <row r="401">
      <c r="A401" s="29">
        <v>44596.0</v>
      </c>
      <c r="B401" s="30" t="s">
        <v>14</v>
      </c>
      <c r="C401" s="31">
        <v>590.0</v>
      </c>
    </row>
    <row r="402">
      <c r="A402" s="29">
        <v>44597.0</v>
      </c>
      <c r="B402" s="30" t="s">
        <v>15</v>
      </c>
      <c r="C402" s="31">
        <v>560.0</v>
      </c>
    </row>
    <row r="403">
      <c r="A403" s="29">
        <v>44598.0</v>
      </c>
      <c r="B403" s="30" t="s">
        <v>16</v>
      </c>
      <c r="C403" s="31" t="s">
        <v>17</v>
      </c>
    </row>
    <row r="404">
      <c r="A404" s="29">
        <v>44599.0</v>
      </c>
      <c r="B404" s="30" t="s">
        <v>13</v>
      </c>
      <c r="C404" s="31">
        <v>885.0</v>
      </c>
    </row>
    <row r="405">
      <c r="A405" s="29">
        <v>44600.0</v>
      </c>
      <c r="B405" s="30" t="s">
        <v>14</v>
      </c>
      <c r="C405" s="31">
        <v>505.0</v>
      </c>
    </row>
    <row r="406">
      <c r="A406" s="29">
        <v>44601.0</v>
      </c>
      <c r="B406" s="30" t="s">
        <v>14</v>
      </c>
      <c r="C406" s="31">
        <v>930.0</v>
      </c>
    </row>
    <row r="407">
      <c r="A407" s="29">
        <v>44602.0</v>
      </c>
      <c r="B407" s="30" t="s">
        <v>15</v>
      </c>
      <c r="C407" s="31">
        <v>810.0</v>
      </c>
    </row>
    <row r="408">
      <c r="A408" s="29">
        <v>44603.0</v>
      </c>
      <c r="B408" s="30" t="s">
        <v>15</v>
      </c>
      <c r="C408" s="31">
        <v>930.0</v>
      </c>
    </row>
    <row r="409">
      <c r="A409" s="29">
        <v>44604.0</v>
      </c>
      <c r="B409" s="30" t="s">
        <v>16</v>
      </c>
      <c r="C409" s="31" t="s">
        <v>17</v>
      </c>
    </row>
    <row r="410">
      <c r="A410" s="29">
        <v>44605.0</v>
      </c>
      <c r="B410" s="30" t="s">
        <v>14</v>
      </c>
      <c r="C410" s="31">
        <v>665.0</v>
      </c>
    </row>
    <row r="411">
      <c r="A411" s="29">
        <v>44606.0</v>
      </c>
      <c r="B411" s="30" t="s">
        <v>14</v>
      </c>
      <c r="C411" s="31">
        <v>685.0</v>
      </c>
    </row>
    <row r="412">
      <c r="A412" s="29">
        <v>44607.0</v>
      </c>
      <c r="B412" s="30" t="s">
        <v>13</v>
      </c>
      <c r="C412" s="31">
        <v>940.0</v>
      </c>
    </row>
    <row r="413">
      <c r="A413" s="29">
        <v>44608.0</v>
      </c>
      <c r="B413" s="30" t="s">
        <v>14</v>
      </c>
      <c r="C413" s="31">
        <v>680.0</v>
      </c>
    </row>
    <row r="414">
      <c r="A414" s="29">
        <v>44609.0</v>
      </c>
      <c r="B414" s="30" t="s">
        <v>14</v>
      </c>
      <c r="C414" s="31">
        <v>600.0</v>
      </c>
    </row>
    <row r="415">
      <c r="A415" s="29">
        <v>44610.0</v>
      </c>
      <c r="B415" s="30" t="s">
        <v>15</v>
      </c>
      <c r="C415" s="31">
        <v>955.0</v>
      </c>
    </row>
    <row r="416">
      <c r="A416" s="29">
        <v>44611.0</v>
      </c>
      <c r="B416" s="30" t="s">
        <v>14</v>
      </c>
      <c r="C416" s="31">
        <v>765.0</v>
      </c>
    </row>
    <row r="417">
      <c r="A417" s="29">
        <v>44612.0</v>
      </c>
      <c r="B417" s="30" t="s">
        <v>15</v>
      </c>
      <c r="C417" s="31">
        <v>745.0</v>
      </c>
    </row>
    <row r="418">
      <c r="A418" s="29">
        <v>44613.0</v>
      </c>
      <c r="B418" s="30" t="s">
        <v>16</v>
      </c>
      <c r="C418" s="31" t="s">
        <v>17</v>
      </c>
    </row>
    <row r="419">
      <c r="A419" s="29">
        <v>44614.0</v>
      </c>
      <c r="B419" s="30" t="s">
        <v>14</v>
      </c>
      <c r="C419" s="31">
        <v>575.0</v>
      </c>
    </row>
    <row r="420">
      <c r="A420" s="29">
        <v>44615.0</v>
      </c>
      <c r="B420" s="30" t="s">
        <v>13</v>
      </c>
      <c r="C420" s="31">
        <v>940.0</v>
      </c>
    </row>
    <row r="421">
      <c r="A421" s="29">
        <v>44616.0</v>
      </c>
      <c r="B421" s="30" t="s">
        <v>14</v>
      </c>
      <c r="C421" s="31">
        <v>920.0</v>
      </c>
    </row>
    <row r="422">
      <c r="A422" s="29">
        <v>44617.0</v>
      </c>
      <c r="B422" s="30" t="s">
        <v>14</v>
      </c>
      <c r="C422" s="31">
        <v>825.0</v>
      </c>
    </row>
    <row r="423">
      <c r="A423" s="29">
        <v>44618.0</v>
      </c>
      <c r="B423" s="30" t="s">
        <v>14</v>
      </c>
      <c r="C423" s="31">
        <v>670.0</v>
      </c>
    </row>
    <row r="424">
      <c r="A424" s="29">
        <v>44619.0</v>
      </c>
      <c r="B424" s="30" t="s">
        <v>15</v>
      </c>
      <c r="C424" s="31">
        <v>830.0</v>
      </c>
    </row>
    <row r="425">
      <c r="A425" s="29">
        <v>44620.0</v>
      </c>
      <c r="B425" s="30" t="s">
        <v>16</v>
      </c>
      <c r="C425" s="31" t="s">
        <v>17</v>
      </c>
    </row>
    <row r="426">
      <c r="A426" s="29">
        <v>44621.0</v>
      </c>
      <c r="B426" s="30" t="s">
        <v>14</v>
      </c>
      <c r="C426" s="31">
        <v>500.0</v>
      </c>
    </row>
    <row r="427">
      <c r="A427" s="29">
        <v>44622.0</v>
      </c>
      <c r="B427" s="30" t="s">
        <v>15</v>
      </c>
      <c r="C427" s="31">
        <v>970.0</v>
      </c>
    </row>
    <row r="428">
      <c r="A428" s="29">
        <v>44623.0</v>
      </c>
      <c r="B428" s="30" t="s">
        <v>14</v>
      </c>
      <c r="C428" s="31">
        <v>575.0</v>
      </c>
    </row>
    <row r="429">
      <c r="A429" s="29">
        <v>44624.0</v>
      </c>
      <c r="B429" s="30" t="s">
        <v>14</v>
      </c>
      <c r="C429" s="31">
        <v>885.0</v>
      </c>
    </row>
    <row r="430">
      <c r="A430" s="29">
        <v>44625.0</v>
      </c>
      <c r="B430" s="30" t="s">
        <v>15</v>
      </c>
      <c r="C430" s="31">
        <v>750.0</v>
      </c>
    </row>
    <row r="431">
      <c r="A431" s="29">
        <v>44626.0</v>
      </c>
      <c r="B431" s="30" t="s">
        <v>14</v>
      </c>
      <c r="C431" s="31">
        <v>635.0</v>
      </c>
    </row>
    <row r="432">
      <c r="A432" s="29">
        <v>44627.0</v>
      </c>
      <c r="B432" s="30" t="s">
        <v>13</v>
      </c>
      <c r="C432" s="31">
        <v>595.0</v>
      </c>
    </row>
    <row r="433">
      <c r="A433" s="29">
        <v>44628.0</v>
      </c>
      <c r="B433" s="30" t="s">
        <v>16</v>
      </c>
      <c r="C433" s="31" t="s">
        <v>17</v>
      </c>
    </row>
    <row r="434">
      <c r="A434" s="29">
        <v>44629.0</v>
      </c>
      <c r="B434" s="30" t="s">
        <v>14</v>
      </c>
      <c r="C434" s="31">
        <v>910.0</v>
      </c>
    </row>
    <row r="435">
      <c r="A435" s="29">
        <v>44630.0</v>
      </c>
      <c r="B435" s="30" t="s">
        <v>14</v>
      </c>
      <c r="C435" s="31">
        <v>585.0</v>
      </c>
    </row>
    <row r="436">
      <c r="A436" s="29">
        <v>44631.0</v>
      </c>
      <c r="B436" s="30" t="s">
        <v>15</v>
      </c>
      <c r="C436" s="31">
        <v>775.0</v>
      </c>
    </row>
    <row r="437">
      <c r="A437" s="29">
        <v>44632.0</v>
      </c>
      <c r="B437" s="30" t="s">
        <v>15</v>
      </c>
      <c r="C437" s="31">
        <v>870.0</v>
      </c>
    </row>
    <row r="438">
      <c r="A438" s="29">
        <v>44633.0</v>
      </c>
      <c r="B438" s="30" t="s">
        <v>16</v>
      </c>
      <c r="C438" s="31" t="s">
        <v>17</v>
      </c>
    </row>
    <row r="439">
      <c r="A439" s="29">
        <v>44634.0</v>
      </c>
      <c r="B439" s="30" t="s">
        <v>14</v>
      </c>
      <c r="C439" s="31">
        <v>705.0</v>
      </c>
    </row>
    <row r="440">
      <c r="A440" s="29">
        <v>44635.0</v>
      </c>
      <c r="B440" s="30" t="s">
        <v>13</v>
      </c>
      <c r="C440" s="31">
        <v>740.0</v>
      </c>
    </row>
    <row r="441">
      <c r="A441" s="29">
        <v>44636.0</v>
      </c>
      <c r="B441" s="30" t="s">
        <v>14</v>
      </c>
      <c r="C441" s="31">
        <v>755.0</v>
      </c>
    </row>
    <row r="442">
      <c r="A442" s="29">
        <v>44637.0</v>
      </c>
      <c r="B442" s="30" t="s">
        <v>14</v>
      </c>
      <c r="C442" s="31">
        <v>655.0</v>
      </c>
    </row>
    <row r="443">
      <c r="A443" s="29">
        <v>44638.0</v>
      </c>
      <c r="B443" s="30" t="s">
        <v>15</v>
      </c>
      <c r="C443" s="31">
        <v>750.0</v>
      </c>
    </row>
    <row r="444">
      <c r="A444" s="29">
        <v>44639.0</v>
      </c>
      <c r="B444" s="30" t="s">
        <v>14</v>
      </c>
      <c r="C444" s="31">
        <v>755.0</v>
      </c>
    </row>
    <row r="445">
      <c r="A445" s="29">
        <v>44640.0</v>
      </c>
      <c r="B445" s="30" t="s">
        <v>15</v>
      </c>
      <c r="C445" s="31">
        <v>910.0</v>
      </c>
    </row>
    <row r="446">
      <c r="A446" s="29">
        <v>44641.0</v>
      </c>
      <c r="B446" s="30" t="s">
        <v>16</v>
      </c>
      <c r="C446" s="31" t="s">
        <v>17</v>
      </c>
    </row>
    <row r="447">
      <c r="A447" s="29">
        <v>44642.0</v>
      </c>
      <c r="B447" s="30" t="s">
        <v>13</v>
      </c>
      <c r="C447" s="31">
        <v>970.0</v>
      </c>
    </row>
    <row r="448">
      <c r="A448" s="29">
        <v>44643.0</v>
      </c>
      <c r="B448" s="30" t="s">
        <v>14</v>
      </c>
      <c r="C448" s="31">
        <v>535.0</v>
      </c>
    </row>
    <row r="449">
      <c r="A449" s="29">
        <v>44644.0</v>
      </c>
      <c r="B449" s="30" t="s">
        <v>14</v>
      </c>
      <c r="C449" s="31">
        <v>700.0</v>
      </c>
    </row>
    <row r="450">
      <c r="A450" s="29">
        <v>44645.0</v>
      </c>
      <c r="B450" s="30" t="s">
        <v>14</v>
      </c>
      <c r="C450" s="31">
        <v>780.0</v>
      </c>
    </row>
    <row r="451">
      <c r="A451" s="29">
        <v>44646.0</v>
      </c>
      <c r="B451" s="30" t="s">
        <v>15</v>
      </c>
      <c r="C451" s="31">
        <v>785.0</v>
      </c>
    </row>
    <row r="452">
      <c r="A452" s="29">
        <v>44647.0</v>
      </c>
      <c r="B452" s="30" t="s">
        <v>15</v>
      </c>
      <c r="C452" s="31">
        <v>755.0</v>
      </c>
    </row>
    <row r="453">
      <c r="A453" s="29">
        <v>44648.0</v>
      </c>
      <c r="B453" s="30" t="s">
        <v>16</v>
      </c>
      <c r="C453" s="31" t="s">
        <v>17</v>
      </c>
    </row>
    <row r="454">
      <c r="A454" s="29">
        <v>44649.0</v>
      </c>
      <c r="B454" s="30" t="s">
        <v>14</v>
      </c>
      <c r="C454" s="31">
        <v>620.0</v>
      </c>
    </row>
    <row r="455">
      <c r="A455" s="29">
        <v>44650.0</v>
      </c>
      <c r="B455" s="30" t="s">
        <v>15</v>
      </c>
      <c r="C455" s="31">
        <v>900.0</v>
      </c>
    </row>
    <row r="456">
      <c r="A456" s="29">
        <v>44651.0</v>
      </c>
      <c r="B456" s="30" t="s">
        <v>14</v>
      </c>
      <c r="C456" s="31">
        <v>835.0</v>
      </c>
    </row>
    <row r="457">
      <c r="A457" s="29">
        <v>44652.0</v>
      </c>
      <c r="B457" s="30" t="s">
        <v>14</v>
      </c>
      <c r="C457" s="31">
        <v>745.0</v>
      </c>
    </row>
    <row r="458">
      <c r="A458" s="29">
        <v>44653.0</v>
      </c>
      <c r="B458" s="30" t="s">
        <v>14</v>
      </c>
      <c r="C458" s="31">
        <v>715.0</v>
      </c>
    </row>
    <row r="459">
      <c r="A459" s="29">
        <v>44654.0</v>
      </c>
      <c r="B459" s="30" t="s">
        <v>15</v>
      </c>
      <c r="C459" s="31">
        <v>600.0</v>
      </c>
    </row>
    <row r="460">
      <c r="A460" s="29">
        <v>44655.0</v>
      </c>
      <c r="B460" s="30" t="s">
        <v>14</v>
      </c>
      <c r="C460" s="31">
        <v>720.0</v>
      </c>
    </row>
    <row r="461">
      <c r="A461" s="29">
        <v>44656.0</v>
      </c>
      <c r="B461" s="30" t="s">
        <v>14</v>
      </c>
      <c r="C461" s="31">
        <v>690.0</v>
      </c>
    </row>
    <row r="462">
      <c r="A462" s="29">
        <v>44657.0</v>
      </c>
      <c r="B462" s="30" t="s">
        <v>15</v>
      </c>
      <c r="C462" s="31">
        <v>510.0</v>
      </c>
    </row>
    <row r="463">
      <c r="A463" s="29">
        <v>44658.0</v>
      </c>
      <c r="B463" s="30" t="s">
        <v>16</v>
      </c>
      <c r="C463" s="31" t="s">
        <v>17</v>
      </c>
    </row>
    <row r="464">
      <c r="A464" s="29">
        <v>44659.0</v>
      </c>
      <c r="B464" s="30" t="s">
        <v>14</v>
      </c>
      <c r="C464" s="31">
        <v>895.0</v>
      </c>
    </row>
    <row r="465">
      <c r="A465" s="29">
        <v>44660.0</v>
      </c>
      <c r="B465" s="30" t="s">
        <v>13</v>
      </c>
      <c r="C465" s="31">
        <v>910.0</v>
      </c>
    </row>
    <row r="466">
      <c r="A466" s="29">
        <v>44661.0</v>
      </c>
      <c r="B466" s="30" t="s">
        <v>14</v>
      </c>
      <c r="C466" s="31">
        <v>720.0</v>
      </c>
    </row>
    <row r="467">
      <c r="A467" s="29">
        <v>44662.0</v>
      </c>
      <c r="B467" s="30" t="s">
        <v>14</v>
      </c>
      <c r="C467" s="31">
        <v>540.0</v>
      </c>
    </row>
    <row r="468">
      <c r="A468" s="29">
        <v>44663.0</v>
      </c>
      <c r="B468" s="30" t="s">
        <v>14</v>
      </c>
      <c r="C468" s="31">
        <v>590.0</v>
      </c>
    </row>
    <row r="469">
      <c r="A469" s="29">
        <v>44664.0</v>
      </c>
      <c r="B469" s="30" t="s">
        <v>15</v>
      </c>
      <c r="C469" s="31">
        <v>810.0</v>
      </c>
    </row>
    <row r="470">
      <c r="A470" s="29">
        <v>44665.0</v>
      </c>
      <c r="B470" s="30" t="s">
        <v>16</v>
      </c>
      <c r="C470" s="31" t="s">
        <v>17</v>
      </c>
    </row>
    <row r="471">
      <c r="A471" s="29">
        <v>44666.0</v>
      </c>
      <c r="B471" s="30" t="s">
        <v>13</v>
      </c>
      <c r="C471" s="31">
        <v>990.0</v>
      </c>
    </row>
    <row r="472">
      <c r="A472" s="29">
        <v>44667.0</v>
      </c>
      <c r="B472" s="30" t="s">
        <v>14</v>
      </c>
      <c r="C472" s="31">
        <v>885.0</v>
      </c>
    </row>
    <row r="473">
      <c r="A473" s="29">
        <v>44668.0</v>
      </c>
      <c r="B473" s="30" t="s">
        <v>14</v>
      </c>
      <c r="C473" s="31">
        <v>865.0</v>
      </c>
    </row>
    <row r="474">
      <c r="A474" s="29">
        <v>44669.0</v>
      </c>
      <c r="B474" s="30" t="s">
        <v>15</v>
      </c>
      <c r="C474" s="31">
        <v>615.0</v>
      </c>
    </row>
    <row r="475">
      <c r="A475" s="29">
        <v>44670.0</v>
      </c>
      <c r="B475" s="30" t="s">
        <v>15</v>
      </c>
      <c r="C475" s="31">
        <v>740.0</v>
      </c>
    </row>
    <row r="476">
      <c r="A476" s="29">
        <v>44671.0</v>
      </c>
      <c r="B476" s="30" t="s">
        <v>16</v>
      </c>
      <c r="C476" s="31" t="s">
        <v>17</v>
      </c>
    </row>
    <row r="477">
      <c r="A477" s="29">
        <v>44672.0</v>
      </c>
      <c r="B477" s="30" t="s">
        <v>14</v>
      </c>
      <c r="C477" s="31">
        <v>690.0</v>
      </c>
    </row>
    <row r="478">
      <c r="A478" s="29">
        <v>44673.0</v>
      </c>
      <c r="B478" s="30" t="s">
        <v>14</v>
      </c>
      <c r="C478" s="31">
        <v>920.0</v>
      </c>
    </row>
    <row r="479">
      <c r="A479" s="29">
        <v>44674.0</v>
      </c>
      <c r="B479" s="30" t="s">
        <v>13</v>
      </c>
      <c r="C479" s="31">
        <v>925.0</v>
      </c>
    </row>
    <row r="480">
      <c r="A480" s="29">
        <v>44675.0</v>
      </c>
      <c r="B480" s="30" t="s">
        <v>14</v>
      </c>
      <c r="C480" s="31">
        <v>915.0</v>
      </c>
    </row>
    <row r="481">
      <c r="A481" s="29">
        <v>44676.0</v>
      </c>
      <c r="B481" s="30" t="s">
        <v>14</v>
      </c>
      <c r="C481" s="31">
        <v>650.0</v>
      </c>
    </row>
    <row r="482">
      <c r="A482" s="29">
        <v>44677.0</v>
      </c>
      <c r="B482" s="30" t="s">
        <v>15</v>
      </c>
      <c r="C482" s="31">
        <v>905.0</v>
      </c>
    </row>
    <row r="483">
      <c r="A483" s="29">
        <v>44678.0</v>
      </c>
      <c r="B483" s="30" t="s">
        <v>14</v>
      </c>
      <c r="C483" s="31">
        <v>940.0</v>
      </c>
    </row>
    <row r="484">
      <c r="A484" s="29">
        <v>44679.0</v>
      </c>
      <c r="B484" s="30" t="s">
        <v>15</v>
      </c>
      <c r="C484" s="31">
        <v>770.0</v>
      </c>
    </row>
    <row r="485">
      <c r="A485" s="29">
        <v>44680.0</v>
      </c>
      <c r="B485" s="30" t="s">
        <v>16</v>
      </c>
      <c r="C485" s="31" t="s">
        <v>17</v>
      </c>
    </row>
    <row r="486">
      <c r="A486" s="29">
        <v>44681.0</v>
      </c>
      <c r="B486" s="30" t="s">
        <v>14</v>
      </c>
      <c r="C486" s="31">
        <v>700.0</v>
      </c>
    </row>
    <row r="487">
      <c r="A487" s="29">
        <v>44682.0</v>
      </c>
      <c r="B487" s="30" t="s">
        <v>13</v>
      </c>
      <c r="C487" s="31">
        <v>615.0</v>
      </c>
    </row>
    <row r="488">
      <c r="A488" s="29">
        <v>44683.0</v>
      </c>
      <c r="B488" s="30" t="s">
        <v>14</v>
      </c>
      <c r="C488" s="31">
        <v>810.0</v>
      </c>
    </row>
    <row r="489">
      <c r="A489" s="29">
        <v>44684.0</v>
      </c>
      <c r="B489" s="30" t="s">
        <v>14</v>
      </c>
      <c r="C489" s="31">
        <v>765.0</v>
      </c>
    </row>
    <row r="490">
      <c r="A490" s="29">
        <v>44685.0</v>
      </c>
      <c r="B490" s="30" t="s">
        <v>14</v>
      </c>
      <c r="C490" s="31">
        <v>550.0</v>
      </c>
    </row>
    <row r="491">
      <c r="A491" s="29">
        <v>44686.0</v>
      </c>
      <c r="B491" s="30" t="s">
        <v>15</v>
      </c>
      <c r="C491" s="31">
        <v>585.0</v>
      </c>
    </row>
    <row r="492">
      <c r="A492" s="29">
        <v>44687.0</v>
      </c>
      <c r="B492" s="30" t="s">
        <v>16</v>
      </c>
      <c r="C492" s="31" t="s">
        <v>17</v>
      </c>
    </row>
    <row r="493">
      <c r="A493" s="29">
        <v>44688.0</v>
      </c>
      <c r="B493" s="30" t="s">
        <v>14</v>
      </c>
      <c r="C493" s="31">
        <v>615.0</v>
      </c>
    </row>
    <row r="494">
      <c r="A494" s="29">
        <v>44689.0</v>
      </c>
      <c r="B494" s="30" t="s">
        <v>15</v>
      </c>
      <c r="C494" s="31">
        <v>595.0</v>
      </c>
    </row>
    <row r="495">
      <c r="A495" s="29">
        <v>44690.0</v>
      </c>
      <c r="B495" s="30" t="s">
        <v>14</v>
      </c>
      <c r="C495" s="31">
        <v>965.0</v>
      </c>
    </row>
    <row r="496">
      <c r="A496" s="29">
        <v>44691.0</v>
      </c>
      <c r="B496" s="30" t="s">
        <v>14</v>
      </c>
      <c r="C496" s="31">
        <v>700.0</v>
      </c>
    </row>
    <row r="497">
      <c r="A497" s="29">
        <v>44692.0</v>
      </c>
      <c r="B497" s="30" t="s">
        <v>15</v>
      </c>
      <c r="C497" s="31">
        <v>870.0</v>
      </c>
    </row>
    <row r="498">
      <c r="A498" s="29">
        <v>44693.0</v>
      </c>
      <c r="B498" s="30" t="s">
        <v>14</v>
      </c>
      <c r="C498" s="31">
        <v>730.0</v>
      </c>
    </row>
    <row r="499">
      <c r="A499" s="29">
        <v>44694.0</v>
      </c>
      <c r="B499" s="30" t="s">
        <v>13</v>
      </c>
      <c r="C499" s="31">
        <v>540.0</v>
      </c>
    </row>
    <row r="500">
      <c r="A500" s="29">
        <v>44695.0</v>
      </c>
      <c r="B500" s="30" t="s">
        <v>16</v>
      </c>
      <c r="C500" s="31" t="s">
        <v>17</v>
      </c>
    </row>
    <row r="501">
      <c r="A501" s="29">
        <v>44696.0</v>
      </c>
      <c r="B501" s="30" t="s">
        <v>14</v>
      </c>
      <c r="C501" s="31">
        <v>735.0</v>
      </c>
    </row>
    <row r="502">
      <c r="A502" s="29">
        <v>44697.0</v>
      </c>
      <c r="B502" s="30" t="s">
        <v>14</v>
      </c>
      <c r="C502" s="31">
        <v>895.0</v>
      </c>
    </row>
    <row r="503">
      <c r="A503" s="29">
        <v>44698.0</v>
      </c>
      <c r="B503" s="30" t="s">
        <v>15</v>
      </c>
      <c r="C503" s="31">
        <v>835.0</v>
      </c>
    </row>
    <row r="504">
      <c r="A504" s="29">
        <v>44699.0</v>
      </c>
      <c r="B504" s="30" t="s">
        <v>15</v>
      </c>
      <c r="C504" s="31">
        <v>815.0</v>
      </c>
    </row>
    <row r="505">
      <c r="A505" s="29">
        <v>44700.0</v>
      </c>
      <c r="B505" s="30" t="s">
        <v>16</v>
      </c>
      <c r="C505" s="31" t="s">
        <v>17</v>
      </c>
    </row>
    <row r="506">
      <c r="A506" s="29">
        <v>44701.0</v>
      </c>
      <c r="B506" s="30" t="s">
        <v>14</v>
      </c>
      <c r="C506" s="31">
        <v>990.0</v>
      </c>
    </row>
    <row r="507">
      <c r="A507" s="29">
        <v>44702.0</v>
      </c>
      <c r="B507" s="30" t="s">
        <v>13</v>
      </c>
      <c r="C507" s="31">
        <v>970.0</v>
      </c>
    </row>
    <row r="508">
      <c r="A508" s="29">
        <v>44703.0</v>
      </c>
      <c r="B508" s="30" t="s">
        <v>14</v>
      </c>
      <c r="C508" s="31">
        <v>730.0</v>
      </c>
    </row>
    <row r="509">
      <c r="A509" s="29">
        <v>44704.0</v>
      </c>
      <c r="B509" s="30" t="s">
        <v>14</v>
      </c>
      <c r="C509" s="31">
        <v>830.0</v>
      </c>
    </row>
    <row r="510">
      <c r="A510" s="29">
        <v>44705.0</v>
      </c>
      <c r="B510" s="30" t="s">
        <v>15</v>
      </c>
      <c r="C510" s="31">
        <v>755.0</v>
      </c>
    </row>
    <row r="511">
      <c r="A511" s="29">
        <v>44706.0</v>
      </c>
      <c r="B511" s="30" t="s">
        <v>14</v>
      </c>
      <c r="C511" s="31">
        <v>835.0</v>
      </c>
    </row>
    <row r="512">
      <c r="A512" s="29">
        <v>44707.0</v>
      </c>
      <c r="B512" s="30" t="s">
        <v>15</v>
      </c>
      <c r="C512" s="31">
        <v>910.0</v>
      </c>
    </row>
    <row r="513">
      <c r="A513" s="29">
        <v>44708.0</v>
      </c>
      <c r="B513" s="30" t="s">
        <v>16</v>
      </c>
      <c r="C513" s="31" t="s">
        <v>17</v>
      </c>
    </row>
    <row r="514">
      <c r="A514" s="29">
        <v>44709.0</v>
      </c>
      <c r="B514" s="30" t="s">
        <v>13</v>
      </c>
      <c r="C514" s="31">
        <v>555.0</v>
      </c>
    </row>
    <row r="515">
      <c r="A515" s="29">
        <v>44710.0</v>
      </c>
      <c r="B515" s="30" t="s">
        <v>14</v>
      </c>
      <c r="C515" s="31">
        <v>900.0</v>
      </c>
    </row>
    <row r="516">
      <c r="A516" s="29">
        <v>44711.0</v>
      </c>
      <c r="B516" s="30" t="s">
        <v>14</v>
      </c>
      <c r="C516" s="31">
        <v>545.0</v>
      </c>
    </row>
    <row r="517">
      <c r="A517" s="29">
        <v>44712.0</v>
      </c>
      <c r="B517" s="30" t="s">
        <v>14</v>
      </c>
      <c r="C517" s="31">
        <v>550.0</v>
      </c>
    </row>
    <row r="518">
      <c r="A518" s="29">
        <v>44713.0</v>
      </c>
      <c r="B518" s="30" t="s">
        <v>15</v>
      </c>
      <c r="C518" s="31">
        <v>805.0</v>
      </c>
    </row>
    <row r="519">
      <c r="A519" s="29">
        <v>44714.0</v>
      </c>
      <c r="B519" s="30" t="s">
        <v>15</v>
      </c>
      <c r="C519" s="31">
        <v>725.0</v>
      </c>
    </row>
    <row r="520">
      <c r="A520" s="29">
        <v>44715.0</v>
      </c>
      <c r="B520" s="30" t="s">
        <v>16</v>
      </c>
      <c r="C520" s="31" t="s">
        <v>17</v>
      </c>
    </row>
    <row r="521">
      <c r="A521" s="29">
        <v>44716.0</v>
      </c>
      <c r="B521" s="30" t="s">
        <v>14</v>
      </c>
      <c r="C521" s="31">
        <v>970.0</v>
      </c>
    </row>
    <row r="522">
      <c r="A522" s="29">
        <v>44717.0</v>
      </c>
      <c r="B522" s="30" t="s">
        <v>15</v>
      </c>
      <c r="C522" s="31">
        <v>875.0</v>
      </c>
    </row>
    <row r="523">
      <c r="A523" s="29">
        <v>44718.0</v>
      </c>
      <c r="B523" s="30" t="s">
        <v>14</v>
      </c>
      <c r="C523" s="31">
        <v>825.0</v>
      </c>
    </row>
    <row r="524">
      <c r="A524" s="29">
        <v>44719.0</v>
      </c>
      <c r="B524" s="30" t="s">
        <v>14</v>
      </c>
      <c r="C524" s="31">
        <v>555.0</v>
      </c>
    </row>
    <row r="525">
      <c r="A525" s="29">
        <v>44720.0</v>
      </c>
      <c r="B525" s="30" t="s">
        <v>14</v>
      </c>
      <c r="C525" s="31">
        <v>970.0</v>
      </c>
    </row>
    <row r="526">
      <c r="A526" s="29">
        <v>44721.0</v>
      </c>
      <c r="B526" s="30" t="s">
        <v>15</v>
      </c>
      <c r="C526" s="31">
        <v>995.0</v>
      </c>
    </row>
    <row r="527">
      <c r="A527" s="29">
        <v>44722.0</v>
      </c>
      <c r="B527" s="30" t="s">
        <v>14</v>
      </c>
      <c r="C527" s="31">
        <v>595.0</v>
      </c>
    </row>
    <row r="528">
      <c r="A528" s="29">
        <v>44723.0</v>
      </c>
      <c r="B528" s="30" t="s">
        <v>14</v>
      </c>
      <c r="C528" s="31">
        <v>925.0</v>
      </c>
    </row>
    <row r="529">
      <c r="A529" s="29">
        <v>44724.0</v>
      </c>
      <c r="B529" s="30" t="s">
        <v>15</v>
      </c>
      <c r="C529" s="31">
        <v>640.0</v>
      </c>
    </row>
    <row r="530">
      <c r="A530" s="29">
        <v>44725.0</v>
      </c>
      <c r="B530" s="30" t="s">
        <v>16</v>
      </c>
      <c r="C530" s="31" t="s">
        <v>17</v>
      </c>
    </row>
    <row r="531">
      <c r="A531" s="29">
        <v>44726.0</v>
      </c>
      <c r="B531" s="30" t="s">
        <v>14</v>
      </c>
      <c r="C531" s="31">
        <v>640.0</v>
      </c>
    </row>
    <row r="532">
      <c r="A532" s="29">
        <v>44727.0</v>
      </c>
      <c r="B532" s="30" t="s">
        <v>13</v>
      </c>
      <c r="C532" s="31">
        <v>800.0</v>
      </c>
    </row>
    <row r="533">
      <c r="A533" s="29">
        <v>44728.0</v>
      </c>
      <c r="B533" s="30" t="s">
        <v>14</v>
      </c>
      <c r="C533" s="31">
        <v>955.0</v>
      </c>
    </row>
    <row r="534">
      <c r="A534" s="29">
        <v>44729.0</v>
      </c>
      <c r="B534" s="30" t="s">
        <v>14</v>
      </c>
      <c r="C534" s="31">
        <v>895.0</v>
      </c>
    </row>
    <row r="535">
      <c r="A535" s="29">
        <v>44730.0</v>
      </c>
      <c r="B535" s="30" t="s">
        <v>14</v>
      </c>
      <c r="C535" s="31">
        <v>865.0</v>
      </c>
    </row>
    <row r="536">
      <c r="A536" s="29">
        <v>44731.0</v>
      </c>
      <c r="B536" s="30" t="s">
        <v>15</v>
      </c>
      <c r="C536" s="31">
        <v>545.0</v>
      </c>
    </row>
    <row r="537">
      <c r="A537" s="29">
        <v>44732.0</v>
      </c>
      <c r="B537" s="30" t="s">
        <v>16</v>
      </c>
      <c r="C537" s="31" t="s">
        <v>17</v>
      </c>
    </row>
    <row r="538">
      <c r="A538" s="29">
        <v>44733.0</v>
      </c>
      <c r="B538" s="30" t="s">
        <v>13</v>
      </c>
      <c r="C538" s="31">
        <v>930.0</v>
      </c>
    </row>
    <row r="539">
      <c r="A539" s="29">
        <v>44734.0</v>
      </c>
      <c r="B539" s="30" t="s">
        <v>14</v>
      </c>
      <c r="C539" s="31">
        <v>960.0</v>
      </c>
    </row>
    <row r="540">
      <c r="A540" s="29">
        <v>44735.0</v>
      </c>
      <c r="B540" s="30" t="s">
        <v>14</v>
      </c>
      <c r="C540" s="31">
        <v>655.0</v>
      </c>
    </row>
    <row r="541">
      <c r="A541" s="29">
        <v>44736.0</v>
      </c>
      <c r="B541" s="30" t="s">
        <v>15</v>
      </c>
      <c r="C541" s="31">
        <v>760.0</v>
      </c>
    </row>
    <row r="542">
      <c r="A542" s="29">
        <v>44737.0</v>
      </c>
      <c r="B542" s="30" t="s">
        <v>15</v>
      </c>
      <c r="C542" s="31">
        <v>690.0</v>
      </c>
    </row>
    <row r="543">
      <c r="A543" s="29">
        <v>44738.0</v>
      </c>
      <c r="B543" s="30" t="s">
        <v>16</v>
      </c>
      <c r="C543" s="31" t="s">
        <v>17</v>
      </c>
    </row>
    <row r="544">
      <c r="A544" s="29">
        <v>44739.0</v>
      </c>
      <c r="B544" s="30" t="s">
        <v>14</v>
      </c>
      <c r="C544" s="31">
        <v>755.0</v>
      </c>
    </row>
    <row r="545">
      <c r="A545" s="29">
        <v>44740.0</v>
      </c>
      <c r="B545" s="30" t="s">
        <v>14</v>
      </c>
      <c r="C545" s="31">
        <v>930.0</v>
      </c>
    </row>
    <row r="546">
      <c r="A546" s="29">
        <v>44741.0</v>
      </c>
      <c r="B546" s="30" t="s">
        <v>13</v>
      </c>
      <c r="C546" s="31">
        <v>670.0</v>
      </c>
    </row>
    <row r="547">
      <c r="A547" s="29">
        <v>44742.0</v>
      </c>
      <c r="B547" s="30" t="s">
        <v>14</v>
      </c>
      <c r="C547" s="31">
        <v>830.0</v>
      </c>
    </row>
    <row r="548">
      <c r="A548" s="29">
        <v>44743.0</v>
      </c>
      <c r="B548" s="30" t="s">
        <v>14</v>
      </c>
      <c r="C548" s="31">
        <v>505.0</v>
      </c>
    </row>
    <row r="549">
      <c r="A549" s="29">
        <v>44744.0</v>
      </c>
      <c r="B549" s="30" t="s">
        <v>15</v>
      </c>
      <c r="C549" s="31">
        <v>590.0</v>
      </c>
    </row>
    <row r="550">
      <c r="A550" s="29">
        <v>44745.0</v>
      </c>
      <c r="B550" s="30" t="s">
        <v>14</v>
      </c>
      <c r="C550" s="31">
        <v>835.0</v>
      </c>
    </row>
    <row r="551">
      <c r="A551" s="29">
        <v>44746.0</v>
      </c>
      <c r="B551" s="30" t="s">
        <v>15</v>
      </c>
      <c r="C551" s="31">
        <v>880.0</v>
      </c>
    </row>
    <row r="552">
      <c r="A552" s="29">
        <v>44747.0</v>
      </c>
      <c r="B552" s="30" t="s">
        <v>16</v>
      </c>
      <c r="C552" s="31" t="s">
        <v>17</v>
      </c>
    </row>
    <row r="553">
      <c r="A553" s="29">
        <v>44748.0</v>
      </c>
      <c r="B553" s="30" t="s">
        <v>14</v>
      </c>
      <c r="C553" s="31">
        <v>760.0</v>
      </c>
    </row>
    <row r="554">
      <c r="A554" s="29">
        <v>44749.0</v>
      </c>
      <c r="B554" s="30" t="s">
        <v>13</v>
      </c>
      <c r="C554" s="31">
        <v>705.0</v>
      </c>
    </row>
    <row r="555">
      <c r="A555" s="29">
        <v>44750.0</v>
      </c>
      <c r="B555" s="30" t="s">
        <v>14</v>
      </c>
      <c r="C555" s="31">
        <v>790.0</v>
      </c>
    </row>
    <row r="556">
      <c r="A556" s="29">
        <v>44751.0</v>
      </c>
      <c r="B556" s="30" t="s">
        <v>14</v>
      </c>
      <c r="C556" s="31">
        <v>740.0</v>
      </c>
    </row>
    <row r="557">
      <c r="A557" s="29">
        <v>44752.0</v>
      </c>
      <c r="B557" s="30" t="s">
        <v>14</v>
      </c>
      <c r="C557" s="31">
        <v>510.0</v>
      </c>
    </row>
    <row r="558">
      <c r="A558" s="29">
        <v>44753.0</v>
      </c>
      <c r="B558" s="30" t="s">
        <v>15</v>
      </c>
      <c r="C558" s="31">
        <v>890.0</v>
      </c>
    </row>
    <row r="559">
      <c r="A559" s="29">
        <v>44754.0</v>
      </c>
      <c r="B559" s="30" t="s">
        <v>16</v>
      </c>
      <c r="C559" s="31" t="s">
        <v>17</v>
      </c>
    </row>
    <row r="560">
      <c r="A560" s="29">
        <v>44755.0</v>
      </c>
      <c r="B560" s="30" t="s">
        <v>14</v>
      </c>
      <c r="C560" s="31">
        <v>970.0</v>
      </c>
    </row>
    <row r="561">
      <c r="A561" s="29">
        <v>44756.0</v>
      </c>
      <c r="B561" s="30" t="s">
        <v>15</v>
      </c>
      <c r="C561" s="31">
        <v>745.0</v>
      </c>
    </row>
    <row r="562">
      <c r="A562" s="29">
        <v>44757.0</v>
      </c>
      <c r="B562" s="30" t="s">
        <v>14</v>
      </c>
      <c r="C562" s="31">
        <v>850.0</v>
      </c>
    </row>
    <row r="563">
      <c r="A563" s="29">
        <v>44758.0</v>
      </c>
      <c r="B563" s="30" t="s">
        <v>14</v>
      </c>
      <c r="C563" s="31">
        <v>860.0</v>
      </c>
    </row>
    <row r="564">
      <c r="A564" s="29">
        <v>44759.0</v>
      </c>
      <c r="B564" s="30" t="s">
        <v>15</v>
      </c>
      <c r="C564" s="31">
        <v>710.0</v>
      </c>
    </row>
    <row r="565">
      <c r="A565" s="29">
        <v>44760.0</v>
      </c>
      <c r="B565" s="30" t="s">
        <v>14</v>
      </c>
      <c r="C565" s="31">
        <v>805.0</v>
      </c>
    </row>
    <row r="566">
      <c r="A566" s="29">
        <v>44761.0</v>
      </c>
      <c r="B566" s="30" t="s">
        <v>13</v>
      </c>
      <c r="C566" s="31">
        <v>680.0</v>
      </c>
    </row>
    <row r="567">
      <c r="A567" s="29">
        <v>44762.0</v>
      </c>
      <c r="B567" s="30" t="s">
        <v>16</v>
      </c>
      <c r="C567" s="31" t="s">
        <v>17</v>
      </c>
    </row>
    <row r="568">
      <c r="A568" s="29">
        <v>44763.0</v>
      </c>
      <c r="B568" s="30" t="s">
        <v>14</v>
      </c>
      <c r="C568" s="31">
        <v>660.0</v>
      </c>
    </row>
    <row r="569">
      <c r="A569" s="29">
        <v>44764.0</v>
      </c>
      <c r="B569" s="30" t="s">
        <v>14</v>
      </c>
      <c r="C569" s="31">
        <v>535.0</v>
      </c>
    </row>
    <row r="570">
      <c r="A570" s="29">
        <v>44765.0</v>
      </c>
      <c r="B570" s="30" t="s">
        <v>15</v>
      </c>
      <c r="C570" s="31">
        <v>625.0</v>
      </c>
    </row>
    <row r="571">
      <c r="A571" s="29">
        <v>44766.0</v>
      </c>
      <c r="B571" s="30" t="s">
        <v>15</v>
      </c>
      <c r="C571" s="31">
        <v>760.0</v>
      </c>
    </row>
    <row r="572">
      <c r="A572" s="29">
        <v>44767.0</v>
      </c>
      <c r="B572" s="30" t="s">
        <v>16</v>
      </c>
      <c r="C572" s="31" t="s">
        <v>17</v>
      </c>
    </row>
    <row r="573">
      <c r="A573" s="29">
        <v>44768.0</v>
      </c>
      <c r="B573" s="30" t="s">
        <v>14</v>
      </c>
      <c r="C573" s="31">
        <v>840.0</v>
      </c>
    </row>
    <row r="574">
      <c r="A574" s="29">
        <v>44769.0</v>
      </c>
      <c r="B574" s="30" t="s">
        <v>13</v>
      </c>
      <c r="C574" s="31">
        <v>620.0</v>
      </c>
    </row>
    <row r="575">
      <c r="A575" s="29">
        <v>44770.0</v>
      </c>
      <c r="B575" s="30" t="s">
        <v>14</v>
      </c>
      <c r="C575" s="31">
        <v>935.0</v>
      </c>
    </row>
    <row r="576">
      <c r="A576" s="29">
        <v>44771.0</v>
      </c>
      <c r="B576" s="30" t="s">
        <v>14</v>
      </c>
      <c r="C576" s="31">
        <v>825.0</v>
      </c>
    </row>
    <row r="577">
      <c r="A577" s="32">
        <v>44772.0</v>
      </c>
      <c r="B577" s="30" t="s">
        <v>15</v>
      </c>
      <c r="C577" s="31">
        <v>550.0</v>
      </c>
    </row>
    <row r="578">
      <c r="A578" s="32">
        <f t="shared" ref="A578:A1000" si="1">A577+1</f>
        <v>44773</v>
      </c>
      <c r="B578" s="30" t="s">
        <v>14</v>
      </c>
      <c r="C578" s="31">
        <v>780.0</v>
      </c>
    </row>
    <row r="579">
      <c r="A579" s="32">
        <f t="shared" si="1"/>
        <v>44774</v>
      </c>
      <c r="B579" s="30" t="s">
        <v>15</v>
      </c>
      <c r="C579" s="31">
        <v>675.0</v>
      </c>
    </row>
    <row r="580">
      <c r="A580" s="32">
        <f t="shared" si="1"/>
        <v>44775</v>
      </c>
      <c r="B580" s="30" t="s">
        <v>16</v>
      </c>
      <c r="C580" s="31" t="s">
        <v>17</v>
      </c>
    </row>
    <row r="581">
      <c r="A581" s="32">
        <f t="shared" si="1"/>
        <v>44776</v>
      </c>
      <c r="B581" s="30" t="s">
        <v>13</v>
      </c>
      <c r="C581" s="31">
        <v>790.0</v>
      </c>
    </row>
    <row r="582">
      <c r="A582" s="32">
        <f t="shared" si="1"/>
        <v>44777</v>
      </c>
      <c r="B582" s="30" t="s">
        <v>14</v>
      </c>
      <c r="C582" s="31">
        <v>555.0</v>
      </c>
    </row>
    <row r="583">
      <c r="A583" s="32">
        <f t="shared" si="1"/>
        <v>44778</v>
      </c>
      <c r="B583" s="30" t="s">
        <v>14</v>
      </c>
      <c r="C583" s="31">
        <v>540.0</v>
      </c>
    </row>
    <row r="584">
      <c r="A584" s="32">
        <f t="shared" si="1"/>
        <v>44779</v>
      </c>
      <c r="B584" s="30" t="s">
        <v>14</v>
      </c>
      <c r="C584" s="31">
        <v>690.0</v>
      </c>
    </row>
    <row r="585">
      <c r="A585" s="32">
        <f t="shared" si="1"/>
        <v>44780</v>
      </c>
      <c r="B585" s="30" t="s">
        <v>15</v>
      </c>
      <c r="C585" s="31">
        <v>620.0</v>
      </c>
    </row>
    <row r="586">
      <c r="A586" s="32">
        <f t="shared" si="1"/>
        <v>44781</v>
      </c>
      <c r="B586" s="30" t="s">
        <v>15</v>
      </c>
      <c r="C586" s="31">
        <v>870.0</v>
      </c>
    </row>
    <row r="587">
      <c r="A587" s="32">
        <f t="shared" si="1"/>
        <v>44782</v>
      </c>
      <c r="B587" s="30" t="s">
        <v>16</v>
      </c>
      <c r="C587" s="31" t="s">
        <v>17</v>
      </c>
    </row>
    <row r="588">
      <c r="A588" s="32">
        <f t="shared" si="1"/>
        <v>44783</v>
      </c>
      <c r="B588" s="30" t="s">
        <v>14</v>
      </c>
      <c r="C588" s="31">
        <v>560.0</v>
      </c>
    </row>
    <row r="589">
      <c r="A589" s="32">
        <f t="shared" si="1"/>
        <v>44784</v>
      </c>
      <c r="B589" s="30" t="s">
        <v>15</v>
      </c>
      <c r="C589" s="31">
        <v>550.0</v>
      </c>
    </row>
    <row r="590">
      <c r="A590" s="32">
        <f t="shared" si="1"/>
        <v>44785</v>
      </c>
      <c r="B590" s="30" t="s">
        <v>14</v>
      </c>
      <c r="C590" s="31">
        <v>730.0</v>
      </c>
    </row>
    <row r="591">
      <c r="A591" s="32">
        <f t="shared" si="1"/>
        <v>44786</v>
      </c>
      <c r="B591" s="30" t="s">
        <v>14</v>
      </c>
      <c r="C591" s="31">
        <v>740.0</v>
      </c>
    </row>
    <row r="592">
      <c r="A592" s="32">
        <f t="shared" si="1"/>
        <v>44787</v>
      </c>
      <c r="B592" s="30" t="s">
        <v>14</v>
      </c>
      <c r="C592" s="31">
        <v>950.0</v>
      </c>
    </row>
    <row r="593">
      <c r="A593" s="32">
        <f t="shared" si="1"/>
        <v>44788</v>
      </c>
      <c r="B593" s="30" t="s">
        <v>15</v>
      </c>
      <c r="C593" s="31">
        <v>570.0</v>
      </c>
    </row>
    <row r="594">
      <c r="A594" s="32">
        <f t="shared" si="1"/>
        <v>44789</v>
      </c>
      <c r="B594" s="30" t="s">
        <v>14</v>
      </c>
      <c r="C594" s="31">
        <v>880.0</v>
      </c>
    </row>
    <row r="595">
      <c r="A595" s="32">
        <f t="shared" si="1"/>
        <v>44790</v>
      </c>
      <c r="B595" s="30" t="s">
        <v>14</v>
      </c>
      <c r="C595" s="31">
        <v>965.0</v>
      </c>
    </row>
    <row r="596">
      <c r="A596" s="32">
        <f t="shared" si="1"/>
        <v>44791</v>
      </c>
      <c r="B596" s="30" t="s">
        <v>15</v>
      </c>
      <c r="C596" s="31">
        <v>875.0</v>
      </c>
    </row>
    <row r="597">
      <c r="A597" s="32">
        <f t="shared" si="1"/>
        <v>44792</v>
      </c>
      <c r="B597" s="30" t="s">
        <v>16</v>
      </c>
      <c r="C597" s="31" t="s">
        <v>17</v>
      </c>
    </row>
    <row r="598">
      <c r="A598" s="32">
        <f t="shared" si="1"/>
        <v>44793</v>
      </c>
      <c r="B598" s="30" t="s">
        <v>14</v>
      </c>
      <c r="C598" s="31">
        <v>505.0</v>
      </c>
    </row>
    <row r="599">
      <c r="A599" s="32">
        <f t="shared" si="1"/>
        <v>44794</v>
      </c>
      <c r="B599" s="30" t="s">
        <v>13</v>
      </c>
      <c r="C599" s="31">
        <v>820.0</v>
      </c>
    </row>
    <row r="600">
      <c r="A600" s="32">
        <f t="shared" si="1"/>
        <v>44795</v>
      </c>
      <c r="B600" s="30" t="s">
        <v>14</v>
      </c>
      <c r="C600" s="31">
        <v>975.0</v>
      </c>
    </row>
    <row r="601">
      <c r="A601" s="32">
        <f t="shared" si="1"/>
        <v>44796</v>
      </c>
      <c r="B601" s="30" t="s">
        <v>14</v>
      </c>
      <c r="C601" s="31">
        <v>565.0</v>
      </c>
    </row>
    <row r="602">
      <c r="A602" s="32">
        <f t="shared" si="1"/>
        <v>44797</v>
      </c>
      <c r="B602" s="30" t="s">
        <v>14</v>
      </c>
      <c r="C602" s="31">
        <v>730.0</v>
      </c>
    </row>
    <row r="603">
      <c r="A603" s="32">
        <f t="shared" si="1"/>
        <v>44798</v>
      </c>
      <c r="B603" s="30" t="s">
        <v>15</v>
      </c>
      <c r="C603" s="31">
        <v>915.0</v>
      </c>
    </row>
    <row r="604">
      <c r="A604" s="32">
        <f t="shared" si="1"/>
        <v>44799</v>
      </c>
      <c r="B604" s="30" t="s">
        <v>16</v>
      </c>
      <c r="C604" s="31" t="s">
        <v>17</v>
      </c>
    </row>
    <row r="605">
      <c r="A605" s="32">
        <f t="shared" si="1"/>
        <v>44800</v>
      </c>
      <c r="B605" s="30" t="s">
        <v>13</v>
      </c>
      <c r="C605" s="31">
        <v>765.0</v>
      </c>
    </row>
    <row r="606">
      <c r="A606" s="32">
        <f t="shared" si="1"/>
        <v>44801</v>
      </c>
      <c r="B606" s="30" t="s">
        <v>14</v>
      </c>
      <c r="C606" s="31">
        <v>605.0</v>
      </c>
    </row>
    <row r="607">
      <c r="A607" s="32">
        <f t="shared" si="1"/>
        <v>44802</v>
      </c>
      <c r="B607" s="30" t="s">
        <v>14</v>
      </c>
      <c r="C607" s="31">
        <v>840.0</v>
      </c>
    </row>
    <row r="608">
      <c r="A608" s="32">
        <f t="shared" si="1"/>
        <v>44803</v>
      </c>
      <c r="B608" s="30" t="s">
        <v>15</v>
      </c>
      <c r="C608" s="31">
        <v>705.0</v>
      </c>
    </row>
    <row r="609">
      <c r="A609" s="32">
        <f t="shared" si="1"/>
        <v>44804</v>
      </c>
      <c r="B609" s="30" t="s">
        <v>15</v>
      </c>
      <c r="C609" s="31">
        <v>625.0</v>
      </c>
    </row>
    <row r="610">
      <c r="A610" s="32">
        <f t="shared" si="1"/>
        <v>44805</v>
      </c>
      <c r="B610" s="30" t="s">
        <v>16</v>
      </c>
      <c r="C610" s="31" t="s">
        <v>17</v>
      </c>
    </row>
    <row r="611">
      <c r="A611" s="32">
        <f t="shared" si="1"/>
        <v>44806</v>
      </c>
      <c r="B611" s="30" t="s">
        <v>14</v>
      </c>
      <c r="C611" s="31">
        <v>745.0</v>
      </c>
    </row>
    <row r="612">
      <c r="A612" s="32">
        <f t="shared" si="1"/>
        <v>44807</v>
      </c>
      <c r="B612" s="30" t="s">
        <v>14</v>
      </c>
      <c r="C612" s="31">
        <v>585.0</v>
      </c>
    </row>
    <row r="613">
      <c r="A613" s="32">
        <f t="shared" si="1"/>
        <v>44808</v>
      </c>
      <c r="B613" s="30" t="s">
        <v>13</v>
      </c>
      <c r="C613" s="31">
        <v>620.0</v>
      </c>
    </row>
    <row r="614">
      <c r="A614" s="32">
        <f t="shared" si="1"/>
        <v>44809</v>
      </c>
      <c r="B614" s="30" t="s">
        <v>14</v>
      </c>
      <c r="C614" s="31">
        <v>865.0</v>
      </c>
    </row>
    <row r="615">
      <c r="A615" s="32">
        <f t="shared" si="1"/>
        <v>44810</v>
      </c>
      <c r="B615" s="30" t="s">
        <v>14</v>
      </c>
      <c r="C615" s="31">
        <v>630.0</v>
      </c>
    </row>
    <row r="616">
      <c r="A616" s="32">
        <f t="shared" si="1"/>
        <v>44811</v>
      </c>
      <c r="B616" s="30" t="s">
        <v>15</v>
      </c>
      <c r="C616" s="31">
        <v>940.0</v>
      </c>
    </row>
    <row r="617">
      <c r="A617" s="32">
        <f t="shared" si="1"/>
        <v>44812</v>
      </c>
      <c r="B617" s="30" t="s">
        <v>14</v>
      </c>
      <c r="C617" s="31">
        <v>990.0</v>
      </c>
    </row>
    <row r="618">
      <c r="A618" s="32">
        <f t="shared" si="1"/>
        <v>44813</v>
      </c>
      <c r="B618" s="30" t="s">
        <v>15</v>
      </c>
      <c r="C618" s="31">
        <v>750.0</v>
      </c>
    </row>
    <row r="619">
      <c r="A619" s="32">
        <f t="shared" si="1"/>
        <v>44814</v>
      </c>
      <c r="B619" s="30" t="s">
        <v>16</v>
      </c>
      <c r="C619" s="31" t="s">
        <v>17</v>
      </c>
    </row>
    <row r="620">
      <c r="A620" s="32">
        <f t="shared" si="1"/>
        <v>44815</v>
      </c>
      <c r="B620" s="30" t="s">
        <v>14</v>
      </c>
      <c r="C620" s="31">
        <v>895.0</v>
      </c>
    </row>
    <row r="621">
      <c r="A621" s="32">
        <f t="shared" si="1"/>
        <v>44816</v>
      </c>
      <c r="B621" s="30" t="s">
        <v>13</v>
      </c>
      <c r="C621" s="31">
        <v>680.0</v>
      </c>
    </row>
    <row r="622">
      <c r="A622" s="32">
        <f t="shared" si="1"/>
        <v>44817</v>
      </c>
      <c r="B622" s="30" t="s">
        <v>14</v>
      </c>
      <c r="C622" s="31">
        <v>950.0</v>
      </c>
    </row>
    <row r="623">
      <c r="A623" s="32">
        <f t="shared" si="1"/>
        <v>44818</v>
      </c>
      <c r="B623" s="30" t="s">
        <v>14</v>
      </c>
      <c r="C623" s="31">
        <v>575.0</v>
      </c>
    </row>
    <row r="624">
      <c r="A624" s="32">
        <f t="shared" si="1"/>
        <v>44819</v>
      </c>
      <c r="B624" s="30" t="s">
        <v>14</v>
      </c>
      <c r="C624" s="31">
        <v>585.0</v>
      </c>
    </row>
    <row r="625">
      <c r="A625" s="32">
        <f t="shared" si="1"/>
        <v>44820</v>
      </c>
      <c r="B625" s="30" t="s">
        <v>15</v>
      </c>
      <c r="C625" s="31">
        <v>930.0</v>
      </c>
    </row>
    <row r="626">
      <c r="A626" s="32">
        <f t="shared" si="1"/>
        <v>44821</v>
      </c>
      <c r="B626" s="30" t="s">
        <v>16</v>
      </c>
      <c r="C626" s="31" t="s">
        <v>17</v>
      </c>
    </row>
    <row r="627">
      <c r="A627" s="32">
        <f t="shared" si="1"/>
        <v>44822</v>
      </c>
      <c r="B627" s="30" t="s">
        <v>14</v>
      </c>
      <c r="C627" s="31">
        <v>880.0</v>
      </c>
    </row>
    <row r="628">
      <c r="A628" s="32">
        <f t="shared" si="1"/>
        <v>44823</v>
      </c>
      <c r="B628" s="30" t="s">
        <v>15</v>
      </c>
      <c r="C628" s="31">
        <v>900.0</v>
      </c>
    </row>
    <row r="629">
      <c r="A629" s="32">
        <f t="shared" si="1"/>
        <v>44824</v>
      </c>
      <c r="B629" s="30" t="s">
        <v>14</v>
      </c>
      <c r="C629" s="31">
        <v>690.0</v>
      </c>
    </row>
    <row r="630">
      <c r="A630" s="32">
        <f t="shared" si="1"/>
        <v>44825</v>
      </c>
      <c r="B630" s="30" t="s">
        <v>14</v>
      </c>
      <c r="C630" s="31">
        <v>780.0</v>
      </c>
    </row>
    <row r="631">
      <c r="A631" s="32">
        <f t="shared" si="1"/>
        <v>44826</v>
      </c>
      <c r="B631" s="30" t="s">
        <v>15</v>
      </c>
      <c r="C631" s="31">
        <v>570.0</v>
      </c>
    </row>
    <row r="632">
      <c r="A632" s="32">
        <f t="shared" si="1"/>
        <v>44827</v>
      </c>
      <c r="B632" s="30" t="s">
        <v>14</v>
      </c>
      <c r="C632" s="31">
        <v>795.0</v>
      </c>
    </row>
    <row r="633">
      <c r="A633" s="32">
        <f t="shared" si="1"/>
        <v>44828</v>
      </c>
      <c r="B633" s="30" t="s">
        <v>13</v>
      </c>
      <c r="C633" s="31">
        <v>985.0</v>
      </c>
    </row>
    <row r="634">
      <c r="A634" s="32">
        <f t="shared" si="1"/>
        <v>44829</v>
      </c>
      <c r="B634" s="30" t="s">
        <v>16</v>
      </c>
      <c r="C634" s="31" t="s">
        <v>17</v>
      </c>
    </row>
    <row r="635">
      <c r="A635" s="32">
        <f t="shared" si="1"/>
        <v>44830</v>
      </c>
      <c r="B635" s="30" t="s">
        <v>14</v>
      </c>
      <c r="C635" s="31">
        <v>515.0</v>
      </c>
    </row>
    <row r="636">
      <c r="A636" s="32">
        <f t="shared" si="1"/>
        <v>44831</v>
      </c>
      <c r="B636" s="30" t="s">
        <v>14</v>
      </c>
      <c r="C636" s="31">
        <v>845.0</v>
      </c>
    </row>
    <row r="637">
      <c r="A637" s="32">
        <f t="shared" si="1"/>
        <v>44832</v>
      </c>
      <c r="B637" s="30" t="s">
        <v>15</v>
      </c>
      <c r="C637" s="31">
        <v>620.0</v>
      </c>
    </row>
    <row r="638">
      <c r="A638" s="32">
        <f t="shared" si="1"/>
        <v>44833</v>
      </c>
      <c r="B638" s="30" t="s">
        <v>15</v>
      </c>
      <c r="C638" s="31">
        <v>900.0</v>
      </c>
    </row>
    <row r="639">
      <c r="A639" s="32">
        <f t="shared" si="1"/>
        <v>44834</v>
      </c>
      <c r="B639" s="30" t="s">
        <v>16</v>
      </c>
      <c r="C639" s="31" t="s">
        <v>17</v>
      </c>
    </row>
    <row r="640">
      <c r="A640" s="32">
        <f t="shared" si="1"/>
        <v>44835</v>
      </c>
      <c r="B640" s="30" t="s">
        <v>14</v>
      </c>
      <c r="C640" s="31">
        <v>860.0</v>
      </c>
    </row>
    <row r="641">
      <c r="A641" s="32">
        <f t="shared" si="1"/>
        <v>44836</v>
      </c>
      <c r="B641" s="30" t="s">
        <v>13</v>
      </c>
      <c r="C641" s="31">
        <v>960.0</v>
      </c>
    </row>
    <row r="642">
      <c r="A642" s="32">
        <f t="shared" si="1"/>
        <v>44837</v>
      </c>
      <c r="B642" s="30" t="s">
        <v>14</v>
      </c>
      <c r="C642" s="31">
        <v>930.0</v>
      </c>
    </row>
    <row r="643">
      <c r="A643" s="32">
        <f t="shared" si="1"/>
        <v>44838</v>
      </c>
      <c r="B643" s="30" t="s">
        <v>14</v>
      </c>
      <c r="C643" s="31">
        <v>970.0</v>
      </c>
    </row>
    <row r="644">
      <c r="A644" s="32">
        <f t="shared" si="1"/>
        <v>44839</v>
      </c>
      <c r="B644" s="30" t="s">
        <v>15</v>
      </c>
      <c r="C644" s="31">
        <v>835.0</v>
      </c>
    </row>
    <row r="645">
      <c r="A645" s="32">
        <f t="shared" si="1"/>
        <v>44840</v>
      </c>
      <c r="B645" s="30" t="s">
        <v>14</v>
      </c>
      <c r="C645" s="31">
        <v>915.0</v>
      </c>
    </row>
    <row r="646">
      <c r="A646" s="32">
        <f t="shared" si="1"/>
        <v>44841</v>
      </c>
      <c r="B646" s="30" t="s">
        <v>15</v>
      </c>
      <c r="C646" s="31">
        <v>740.0</v>
      </c>
    </row>
    <row r="647">
      <c r="A647" s="32">
        <f t="shared" si="1"/>
        <v>44842</v>
      </c>
      <c r="B647" s="30" t="s">
        <v>16</v>
      </c>
      <c r="C647" s="31" t="s">
        <v>17</v>
      </c>
    </row>
    <row r="648">
      <c r="A648" s="32">
        <f t="shared" si="1"/>
        <v>44843</v>
      </c>
      <c r="B648" s="30" t="s">
        <v>13</v>
      </c>
      <c r="C648" s="31">
        <v>1000.0</v>
      </c>
    </row>
    <row r="649">
      <c r="A649" s="32">
        <f t="shared" si="1"/>
        <v>44844</v>
      </c>
      <c r="B649" s="30" t="s">
        <v>14</v>
      </c>
      <c r="C649" s="31">
        <v>820.0</v>
      </c>
    </row>
    <row r="650">
      <c r="A650" s="32">
        <f t="shared" si="1"/>
        <v>44845</v>
      </c>
      <c r="B650" s="30" t="s">
        <v>14</v>
      </c>
      <c r="C650" s="31">
        <v>640.0</v>
      </c>
    </row>
    <row r="651">
      <c r="A651" s="32">
        <f t="shared" si="1"/>
        <v>44846</v>
      </c>
      <c r="B651" s="30" t="s">
        <v>14</v>
      </c>
      <c r="C651" s="31">
        <v>995.0</v>
      </c>
    </row>
    <row r="652">
      <c r="A652" s="32">
        <f t="shared" si="1"/>
        <v>44847</v>
      </c>
      <c r="B652" s="30" t="s">
        <v>15</v>
      </c>
      <c r="C652" s="31">
        <v>570.0</v>
      </c>
    </row>
    <row r="653">
      <c r="A653" s="32">
        <f t="shared" si="1"/>
        <v>44848</v>
      </c>
      <c r="B653" s="30" t="s">
        <v>15</v>
      </c>
      <c r="C653" s="31">
        <v>650.0</v>
      </c>
    </row>
    <row r="654">
      <c r="A654" s="32">
        <f t="shared" si="1"/>
        <v>44849</v>
      </c>
      <c r="B654" s="30" t="s">
        <v>16</v>
      </c>
      <c r="C654" s="31" t="s">
        <v>17</v>
      </c>
    </row>
    <row r="655">
      <c r="A655" s="32">
        <f t="shared" si="1"/>
        <v>44850</v>
      </c>
      <c r="B655" s="30" t="s">
        <v>14</v>
      </c>
      <c r="C655" s="31">
        <v>850.0</v>
      </c>
    </row>
    <row r="656">
      <c r="A656" s="32">
        <f t="shared" si="1"/>
        <v>44851</v>
      </c>
      <c r="B656" s="30" t="s">
        <v>15</v>
      </c>
      <c r="C656" s="31">
        <v>680.0</v>
      </c>
    </row>
    <row r="657">
      <c r="A657" s="32">
        <f t="shared" si="1"/>
        <v>44852</v>
      </c>
      <c r="B657" s="30" t="s">
        <v>14</v>
      </c>
      <c r="C657" s="31">
        <v>745.0</v>
      </c>
    </row>
    <row r="658">
      <c r="A658" s="32">
        <f t="shared" si="1"/>
        <v>44853</v>
      </c>
      <c r="B658" s="30" t="s">
        <v>14</v>
      </c>
      <c r="C658" s="31">
        <v>880.0</v>
      </c>
    </row>
    <row r="659">
      <c r="A659" s="32">
        <f t="shared" si="1"/>
        <v>44854</v>
      </c>
      <c r="B659" s="30" t="s">
        <v>14</v>
      </c>
      <c r="C659" s="31">
        <v>730.0</v>
      </c>
    </row>
    <row r="660">
      <c r="A660" s="32">
        <f t="shared" si="1"/>
        <v>44855</v>
      </c>
      <c r="B660" s="30" t="s">
        <v>15</v>
      </c>
      <c r="C660" s="31">
        <v>850.0</v>
      </c>
    </row>
    <row r="661">
      <c r="A661" s="32">
        <f t="shared" si="1"/>
        <v>44856</v>
      </c>
      <c r="B661" s="30" t="s">
        <v>14</v>
      </c>
      <c r="C661" s="31">
        <v>615.0</v>
      </c>
    </row>
    <row r="662">
      <c r="A662" s="32">
        <f t="shared" si="1"/>
        <v>44857</v>
      </c>
      <c r="B662" s="30" t="s">
        <v>14</v>
      </c>
      <c r="C662" s="31">
        <v>800.0</v>
      </c>
    </row>
    <row r="663">
      <c r="A663" s="32">
        <f t="shared" si="1"/>
        <v>44858</v>
      </c>
      <c r="B663" s="30" t="s">
        <v>15</v>
      </c>
      <c r="C663" s="31">
        <v>750.0</v>
      </c>
    </row>
    <row r="664">
      <c r="A664" s="32">
        <f t="shared" si="1"/>
        <v>44859</v>
      </c>
      <c r="B664" s="30" t="s">
        <v>16</v>
      </c>
      <c r="C664" s="31" t="s">
        <v>17</v>
      </c>
    </row>
    <row r="665">
      <c r="A665" s="32">
        <f t="shared" si="1"/>
        <v>44860</v>
      </c>
      <c r="B665" s="30" t="s">
        <v>14</v>
      </c>
      <c r="C665" s="31">
        <v>590.0</v>
      </c>
    </row>
    <row r="666">
      <c r="A666" s="32">
        <f t="shared" si="1"/>
        <v>44861</v>
      </c>
      <c r="B666" s="30" t="s">
        <v>13</v>
      </c>
      <c r="C666" s="31">
        <v>635.0</v>
      </c>
    </row>
    <row r="667">
      <c r="A667" s="32">
        <f t="shared" si="1"/>
        <v>44862</v>
      </c>
      <c r="B667" s="30" t="s">
        <v>14</v>
      </c>
      <c r="C667" s="31">
        <v>890.0</v>
      </c>
    </row>
    <row r="668">
      <c r="A668" s="32">
        <f t="shared" si="1"/>
        <v>44863</v>
      </c>
      <c r="B668" s="30" t="s">
        <v>14</v>
      </c>
      <c r="C668" s="31">
        <v>1000.0</v>
      </c>
    </row>
    <row r="669">
      <c r="A669" s="32">
        <f t="shared" si="1"/>
        <v>44864</v>
      </c>
      <c r="B669" s="30" t="s">
        <v>14</v>
      </c>
      <c r="C669" s="31">
        <v>545.0</v>
      </c>
    </row>
    <row r="670">
      <c r="A670" s="32">
        <f t="shared" si="1"/>
        <v>44865</v>
      </c>
      <c r="B670" s="30" t="s">
        <v>15</v>
      </c>
      <c r="C670" s="31">
        <v>580.0</v>
      </c>
    </row>
    <row r="671">
      <c r="A671" s="32">
        <f t="shared" si="1"/>
        <v>44866</v>
      </c>
      <c r="B671" s="30" t="s">
        <v>16</v>
      </c>
      <c r="C671" s="31" t="s">
        <v>17</v>
      </c>
    </row>
    <row r="672">
      <c r="A672" s="32">
        <f t="shared" si="1"/>
        <v>44867</v>
      </c>
      <c r="B672" s="30" t="s">
        <v>13</v>
      </c>
      <c r="C672" s="31">
        <v>960.0</v>
      </c>
    </row>
    <row r="673">
      <c r="A673" s="32">
        <f t="shared" si="1"/>
        <v>44868</v>
      </c>
      <c r="B673" s="30" t="s">
        <v>14</v>
      </c>
      <c r="C673" s="31">
        <v>785.0</v>
      </c>
    </row>
    <row r="674">
      <c r="A674" s="32">
        <f t="shared" si="1"/>
        <v>44869</v>
      </c>
      <c r="B674" s="30" t="s">
        <v>14</v>
      </c>
      <c r="C674" s="31">
        <v>850.0</v>
      </c>
    </row>
    <row r="675">
      <c r="A675" s="32">
        <f t="shared" si="1"/>
        <v>44870</v>
      </c>
      <c r="B675" s="30" t="s">
        <v>15</v>
      </c>
      <c r="C675" s="31">
        <v>710.0</v>
      </c>
    </row>
    <row r="676">
      <c r="A676" s="32">
        <f t="shared" si="1"/>
        <v>44871</v>
      </c>
      <c r="B676" s="30" t="s">
        <v>15</v>
      </c>
      <c r="C676" s="31">
        <v>935.0</v>
      </c>
    </row>
    <row r="677">
      <c r="A677" s="32">
        <f t="shared" si="1"/>
        <v>44872</v>
      </c>
      <c r="B677" s="30" t="s">
        <v>16</v>
      </c>
      <c r="C677" s="31" t="s">
        <v>17</v>
      </c>
    </row>
    <row r="678">
      <c r="A678" s="32">
        <f t="shared" si="1"/>
        <v>44873</v>
      </c>
      <c r="B678" s="30" t="s">
        <v>14</v>
      </c>
      <c r="C678" s="31">
        <v>775.0</v>
      </c>
    </row>
    <row r="679">
      <c r="A679" s="32">
        <f t="shared" si="1"/>
        <v>44874</v>
      </c>
      <c r="B679" s="30" t="s">
        <v>14</v>
      </c>
      <c r="C679" s="31">
        <v>710.0</v>
      </c>
    </row>
    <row r="680">
      <c r="A680" s="32">
        <f t="shared" si="1"/>
        <v>44875</v>
      </c>
      <c r="B680" s="30" t="s">
        <v>13</v>
      </c>
      <c r="C680" s="31">
        <v>945.0</v>
      </c>
    </row>
    <row r="681">
      <c r="A681" s="32">
        <f t="shared" si="1"/>
        <v>44876</v>
      </c>
      <c r="B681" s="30" t="s">
        <v>14</v>
      </c>
      <c r="C681" s="31">
        <v>715.0</v>
      </c>
    </row>
    <row r="682">
      <c r="A682" s="32">
        <f t="shared" si="1"/>
        <v>44877</v>
      </c>
      <c r="B682" s="30" t="s">
        <v>14</v>
      </c>
      <c r="C682" s="31">
        <v>775.0</v>
      </c>
    </row>
    <row r="683">
      <c r="A683" s="32">
        <f t="shared" si="1"/>
        <v>44878</v>
      </c>
      <c r="B683" s="30" t="s">
        <v>15</v>
      </c>
      <c r="C683" s="31">
        <v>665.0</v>
      </c>
    </row>
    <row r="684">
      <c r="A684" s="32">
        <f t="shared" si="1"/>
        <v>44879</v>
      </c>
      <c r="B684" s="30" t="s">
        <v>14</v>
      </c>
      <c r="C684" s="31">
        <v>790.0</v>
      </c>
    </row>
    <row r="685">
      <c r="A685" s="32">
        <f t="shared" si="1"/>
        <v>44880</v>
      </c>
      <c r="B685" s="30" t="s">
        <v>15</v>
      </c>
      <c r="C685" s="31">
        <v>820.0</v>
      </c>
    </row>
    <row r="686">
      <c r="A686" s="32">
        <f t="shared" si="1"/>
        <v>44881</v>
      </c>
      <c r="B686" s="30" t="s">
        <v>16</v>
      </c>
      <c r="C686" s="31" t="s">
        <v>17</v>
      </c>
    </row>
    <row r="687">
      <c r="A687" s="32">
        <f t="shared" si="1"/>
        <v>44882</v>
      </c>
      <c r="B687" s="30" t="s">
        <v>14</v>
      </c>
      <c r="C687" s="31">
        <v>630.0</v>
      </c>
    </row>
    <row r="688">
      <c r="A688" s="32">
        <f t="shared" si="1"/>
        <v>44883</v>
      </c>
      <c r="B688" s="30" t="s">
        <v>13</v>
      </c>
      <c r="C688" s="31">
        <v>745.0</v>
      </c>
    </row>
    <row r="689">
      <c r="A689" s="32">
        <f t="shared" si="1"/>
        <v>44884</v>
      </c>
      <c r="B689" s="30" t="s">
        <v>14</v>
      </c>
      <c r="C689" s="31">
        <v>850.0</v>
      </c>
    </row>
    <row r="690">
      <c r="A690" s="32">
        <f t="shared" si="1"/>
        <v>44885</v>
      </c>
      <c r="B690" s="30" t="s">
        <v>14</v>
      </c>
      <c r="C690" s="31">
        <v>815.0</v>
      </c>
    </row>
    <row r="691">
      <c r="A691" s="32">
        <f t="shared" si="1"/>
        <v>44886</v>
      </c>
      <c r="B691" s="30" t="s">
        <v>14</v>
      </c>
      <c r="C691" s="31">
        <v>505.0</v>
      </c>
    </row>
    <row r="692">
      <c r="A692" s="32">
        <f t="shared" si="1"/>
        <v>44887</v>
      </c>
      <c r="B692" s="30" t="s">
        <v>15</v>
      </c>
      <c r="C692" s="31">
        <v>590.0</v>
      </c>
    </row>
    <row r="693">
      <c r="A693" s="32">
        <f t="shared" si="1"/>
        <v>44888</v>
      </c>
      <c r="B693" s="30" t="s">
        <v>16</v>
      </c>
      <c r="C693" s="31" t="s">
        <v>17</v>
      </c>
    </row>
    <row r="694">
      <c r="A694" s="32">
        <f t="shared" si="1"/>
        <v>44889</v>
      </c>
      <c r="B694" s="30" t="s">
        <v>14</v>
      </c>
      <c r="C694" s="31">
        <v>630.0</v>
      </c>
    </row>
    <row r="695">
      <c r="A695" s="32">
        <f t="shared" si="1"/>
        <v>44890</v>
      </c>
      <c r="B695" s="30" t="s">
        <v>15</v>
      </c>
      <c r="C695" s="31">
        <v>885.0</v>
      </c>
    </row>
    <row r="696">
      <c r="A696" s="32">
        <f t="shared" si="1"/>
        <v>44891</v>
      </c>
      <c r="B696" s="30" t="s">
        <v>14</v>
      </c>
      <c r="C696" s="31">
        <v>780.0</v>
      </c>
    </row>
    <row r="697">
      <c r="A697" s="32">
        <f t="shared" si="1"/>
        <v>44892</v>
      </c>
      <c r="B697" s="30" t="s">
        <v>14</v>
      </c>
      <c r="C697" s="31">
        <v>875.0</v>
      </c>
    </row>
    <row r="698">
      <c r="A698" s="32">
        <f t="shared" si="1"/>
        <v>44893</v>
      </c>
      <c r="B698" s="30" t="s">
        <v>15</v>
      </c>
      <c r="C698" s="31">
        <v>810.0</v>
      </c>
    </row>
    <row r="699">
      <c r="A699" s="32">
        <f t="shared" si="1"/>
        <v>44894</v>
      </c>
      <c r="B699" s="30" t="s">
        <v>14</v>
      </c>
      <c r="C699" s="31">
        <v>935.0</v>
      </c>
    </row>
    <row r="700">
      <c r="A700" s="32">
        <f t="shared" si="1"/>
        <v>44895</v>
      </c>
      <c r="B700" s="30" t="s">
        <v>13</v>
      </c>
      <c r="C700" s="31">
        <v>620.0</v>
      </c>
    </row>
    <row r="701">
      <c r="A701" s="32">
        <f t="shared" si="1"/>
        <v>44896</v>
      </c>
      <c r="B701" s="30" t="s">
        <v>16</v>
      </c>
      <c r="C701" s="31" t="s">
        <v>17</v>
      </c>
    </row>
    <row r="702">
      <c r="A702" s="32">
        <f t="shared" si="1"/>
        <v>44897</v>
      </c>
      <c r="B702" s="30" t="s">
        <v>14</v>
      </c>
      <c r="C702" s="31">
        <v>830.0</v>
      </c>
    </row>
    <row r="703">
      <c r="A703" s="32">
        <f t="shared" si="1"/>
        <v>44898</v>
      </c>
      <c r="B703" s="30" t="s">
        <v>14</v>
      </c>
      <c r="C703" s="31">
        <v>820.0</v>
      </c>
    </row>
    <row r="704">
      <c r="A704" s="32">
        <f t="shared" si="1"/>
        <v>44899</v>
      </c>
      <c r="B704" s="30" t="s">
        <v>15</v>
      </c>
      <c r="C704" s="31">
        <v>800.0</v>
      </c>
    </row>
    <row r="705">
      <c r="A705" s="32">
        <f t="shared" si="1"/>
        <v>44900</v>
      </c>
      <c r="B705" s="30" t="s">
        <v>15</v>
      </c>
      <c r="C705" s="31">
        <v>905.0</v>
      </c>
    </row>
    <row r="706">
      <c r="A706" s="32">
        <f t="shared" si="1"/>
        <v>44901</v>
      </c>
      <c r="B706" s="30" t="s">
        <v>16</v>
      </c>
      <c r="C706" s="31" t="s">
        <v>17</v>
      </c>
    </row>
    <row r="707">
      <c r="A707" s="32">
        <f t="shared" si="1"/>
        <v>44902</v>
      </c>
      <c r="B707" s="30" t="s">
        <v>14</v>
      </c>
      <c r="C707" s="31">
        <v>775.0</v>
      </c>
    </row>
    <row r="708">
      <c r="A708" s="32">
        <f t="shared" si="1"/>
        <v>44903</v>
      </c>
      <c r="B708" s="30" t="s">
        <v>13</v>
      </c>
      <c r="C708" s="31">
        <v>770.0</v>
      </c>
    </row>
    <row r="709">
      <c r="A709" s="32">
        <f t="shared" si="1"/>
        <v>44904</v>
      </c>
      <c r="B709" s="30" t="s">
        <v>14</v>
      </c>
      <c r="C709" s="31">
        <v>720.0</v>
      </c>
    </row>
    <row r="710">
      <c r="A710" s="32">
        <f t="shared" si="1"/>
        <v>44905</v>
      </c>
      <c r="B710" s="30" t="s">
        <v>14</v>
      </c>
      <c r="C710" s="31">
        <v>860.0</v>
      </c>
    </row>
    <row r="711">
      <c r="A711" s="32">
        <f t="shared" si="1"/>
        <v>44906</v>
      </c>
      <c r="B711" s="30" t="s">
        <v>15</v>
      </c>
      <c r="C711" s="31">
        <v>825.0</v>
      </c>
    </row>
    <row r="712">
      <c r="A712" s="32">
        <f t="shared" si="1"/>
        <v>44907</v>
      </c>
      <c r="B712" s="30" t="s">
        <v>14</v>
      </c>
      <c r="C712" s="31">
        <v>660.0</v>
      </c>
    </row>
    <row r="713">
      <c r="A713" s="32">
        <f t="shared" si="1"/>
        <v>44908</v>
      </c>
      <c r="B713" s="30" t="s">
        <v>15</v>
      </c>
      <c r="C713" s="31">
        <v>730.0</v>
      </c>
    </row>
    <row r="714">
      <c r="A714" s="32">
        <f t="shared" si="1"/>
        <v>44909</v>
      </c>
      <c r="B714" s="30" t="s">
        <v>16</v>
      </c>
      <c r="C714" s="31" t="s">
        <v>17</v>
      </c>
    </row>
    <row r="715">
      <c r="A715" s="32">
        <f t="shared" si="1"/>
        <v>44910</v>
      </c>
      <c r="B715" s="30" t="s">
        <v>13</v>
      </c>
      <c r="C715" s="31">
        <v>575.0</v>
      </c>
    </row>
    <row r="716">
      <c r="A716" s="32">
        <f t="shared" si="1"/>
        <v>44911</v>
      </c>
      <c r="B716" s="30" t="s">
        <v>14</v>
      </c>
      <c r="C716" s="31">
        <v>670.0</v>
      </c>
    </row>
    <row r="717">
      <c r="A717" s="32">
        <f t="shared" si="1"/>
        <v>44912</v>
      </c>
      <c r="B717" s="30" t="s">
        <v>14</v>
      </c>
      <c r="C717" s="31">
        <v>790.0</v>
      </c>
    </row>
    <row r="718">
      <c r="A718" s="32">
        <f t="shared" si="1"/>
        <v>44913</v>
      </c>
      <c r="B718" s="30" t="s">
        <v>14</v>
      </c>
      <c r="C718" s="31">
        <v>570.0</v>
      </c>
    </row>
    <row r="719">
      <c r="A719" s="32">
        <f t="shared" si="1"/>
        <v>44914</v>
      </c>
      <c r="B719" s="30" t="s">
        <v>15</v>
      </c>
      <c r="C719" s="31">
        <v>790.0</v>
      </c>
    </row>
    <row r="720">
      <c r="A720" s="32">
        <f t="shared" si="1"/>
        <v>44915</v>
      </c>
      <c r="B720" s="30" t="s">
        <v>15</v>
      </c>
      <c r="C720" s="31">
        <v>735.0</v>
      </c>
    </row>
    <row r="721">
      <c r="A721" s="32">
        <f t="shared" si="1"/>
        <v>44916</v>
      </c>
      <c r="B721" s="30" t="s">
        <v>16</v>
      </c>
      <c r="C721" s="31" t="s">
        <v>17</v>
      </c>
    </row>
    <row r="722">
      <c r="A722" s="32">
        <f t="shared" si="1"/>
        <v>44917</v>
      </c>
      <c r="B722" s="30" t="s">
        <v>14</v>
      </c>
      <c r="C722" s="31">
        <v>605.0</v>
      </c>
    </row>
    <row r="723">
      <c r="A723" s="32">
        <f t="shared" si="1"/>
        <v>44918</v>
      </c>
      <c r="B723" s="30" t="s">
        <v>15</v>
      </c>
      <c r="C723" s="31">
        <v>835.0</v>
      </c>
    </row>
    <row r="724">
      <c r="A724" s="32">
        <f t="shared" si="1"/>
        <v>44919</v>
      </c>
      <c r="B724" s="30" t="s">
        <v>14</v>
      </c>
      <c r="C724" s="31">
        <v>720.0</v>
      </c>
    </row>
    <row r="725">
      <c r="A725" s="32">
        <f t="shared" si="1"/>
        <v>44920</v>
      </c>
      <c r="B725" s="30" t="s">
        <v>14</v>
      </c>
      <c r="C725" s="31">
        <v>645.0</v>
      </c>
    </row>
    <row r="726">
      <c r="A726" s="32">
        <f t="shared" si="1"/>
        <v>44921</v>
      </c>
      <c r="B726" s="30" t="s">
        <v>14</v>
      </c>
      <c r="C726" s="31">
        <v>565.0</v>
      </c>
    </row>
    <row r="727">
      <c r="A727" s="32">
        <f t="shared" si="1"/>
        <v>44922</v>
      </c>
      <c r="B727" s="30" t="s">
        <v>15</v>
      </c>
      <c r="C727" s="31">
        <v>755.0</v>
      </c>
    </row>
    <row r="728">
      <c r="A728" s="32">
        <f t="shared" si="1"/>
        <v>44923</v>
      </c>
      <c r="B728" s="30" t="s">
        <v>14</v>
      </c>
      <c r="C728" s="31">
        <v>810.0</v>
      </c>
    </row>
    <row r="729">
      <c r="A729" s="32">
        <f t="shared" si="1"/>
        <v>44924</v>
      </c>
      <c r="B729" s="30" t="s">
        <v>14</v>
      </c>
      <c r="C729" s="31">
        <v>660.0</v>
      </c>
    </row>
    <row r="730">
      <c r="A730" s="32">
        <f t="shared" si="1"/>
        <v>44925</v>
      </c>
      <c r="B730" s="30" t="s">
        <v>15</v>
      </c>
      <c r="C730" s="31">
        <v>875.0</v>
      </c>
    </row>
    <row r="731">
      <c r="A731" s="32">
        <f t="shared" si="1"/>
        <v>44926</v>
      </c>
      <c r="B731" s="30" t="s">
        <v>16</v>
      </c>
      <c r="C731" s="31" t="s">
        <v>17</v>
      </c>
    </row>
    <row r="732">
      <c r="A732" s="32">
        <f t="shared" si="1"/>
        <v>44927</v>
      </c>
      <c r="B732" s="30" t="s">
        <v>14</v>
      </c>
      <c r="C732" s="31">
        <v>555.0</v>
      </c>
    </row>
    <row r="733">
      <c r="A733" s="32">
        <f t="shared" si="1"/>
        <v>44928</v>
      </c>
      <c r="B733" s="30" t="s">
        <v>13</v>
      </c>
      <c r="C733" s="31">
        <v>875.0</v>
      </c>
    </row>
    <row r="734">
      <c r="A734" s="32">
        <f t="shared" si="1"/>
        <v>44929</v>
      </c>
      <c r="B734" s="30" t="s">
        <v>14</v>
      </c>
      <c r="C734" s="31">
        <v>820.0</v>
      </c>
    </row>
    <row r="735">
      <c r="A735" s="32">
        <f t="shared" si="1"/>
        <v>44930</v>
      </c>
      <c r="B735" s="30" t="s">
        <v>14</v>
      </c>
      <c r="C735" s="31">
        <v>725.0</v>
      </c>
    </row>
    <row r="736">
      <c r="A736" s="32">
        <f t="shared" si="1"/>
        <v>44931</v>
      </c>
      <c r="B736" s="30" t="s">
        <v>14</v>
      </c>
      <c r="C736" s="31">
        <v>850.0</v>
      </c>
    </row>
    <row r="737">
      <c r="A737" s="32">
        <f t="shared" si="1"/>
        <v>44932</v>
      </c>
      <c r="B737" s="30" t="s">
        <v>15</v>
      </c>
      <c r="C737" s="31">
        <v>925.0</v>
      </c>
    </row>
    <row r="738">
      <c r="A738" s="32">
        <f t="shared" si="1"/>
        <v>44933</v>
      </c>
      <c r="B738" s="30" t="s">
        <v>16</v>
      </c>
      <c r="C738" s="31" t="s">
        <v>17</v>
      </c>
    </row>
    <row r="739">
      <c r="A739" s="32">
        <f t="shared" si="1"/>
        <v>44934</v>
      </c>
      <c r="B739" s="30" t="s">
        <v>13</v>
      </c>
      <c r="C739" s="31">
        <v>985.0</v>
      </c>
    </row>
    <row r="740">
      <c r="A740" s="32">
        <f t="shared" si="1"/>
        <v>44935</v>
      </c>
      <c r="B740" s="30" t="s">
        <v>14</v>
      </c>
      <c r="C740" s="31">
        <v>795.0</v>
      </c>
    </row>
    <row r="741">
      <c r="A741" s="32">
        <f t="shared" si="1"/>
        <v>44936</v>
      </c>
      <c r="B741" s="30" t="s">
        <v>14</v>
      </c>
      <c r="C741" s="31">
        <v>830.0</v>
      </c>
    </row>
    <row r="742">
      <c r="A742" s="32">
        <f t="shared" si="1"/>
        <v>44937</v>
      </c>
      <c r="B742" s="30" t="s">
        <v>15</v>
      </c>
      <c r="C742" s="31">
        <v>985.0</v>
      </c>
    </row>
    <row r="743">
      <c r="A743" s="32">
        <f t="shared" si="1"/>
        <v>44938</v>
      </c>
      <c r="B743" s="30" t="s">
        <v>15</v>
      </c>
      <c r="C743" s="31">
        <v>855.0</v>
      </c>
    </row>
    <row r="744">
      <c r="A744" s="32">
        <f t="shared" si="1"/>
        <v>44939</v>
      </c>
      <c r="B744" s="30" t="s">
        <v>16</v>
      </c>
      <c r="C744" s="31" t="s">
        <v>17</v>
      </c>
    </row>
    <row r="745">
      <c r="A745" s="32">
        <f t="shared" si="1"/>
        <v>44940</v>
      </c>
      <c r="B745" s="30" t="s">
        <v>14</v>
      </c>
      <c r="C745" s="31">
        <v>745.0</v>
      </c>
    </row>
    <row r="746">
      <c r="A746" s="32">
        <f t="shared" si="1"/>
        <v>44941</v>
      </c>
      <c r="B746" s="30" t="s">
        <v>14</v>
      </c>
      <c r="C746" s="31">
        <v>715.0</v>
      </c>
    </row>
    <row r="747">
      <c r="A747" s="32">
        <f t="shared" si="1"/>
        <v>44942</v>
      </c>
      <c r="B747" s="30" t="s">
        <v>13</v>
      </c>
      <c r="C747" s="31">
        <v>615.0</v>
      </c>
    </row>
    <row r="748">
      <c r="A748" s="32">
        <f t="shared" si="1"/>
        <v>44943</v>
      </c>
      <c r="B748" s="30" t="s">
        <v>14</v>
      </c>
      <c r="C748" s="31">
        <v>900.0</v>
      </c>
    </row>
    <row r="749">
      <c r="A749" s="32">
        <f t="shared" si="1"/>
        <v>44944</v>
      </c>
      <c r="B749" s="30" t="s">
        <v>14</v>
      </c>
      <c r="C749" s="31">
        <v>640.0</v>
      </c>
    </row>
    <row r="750">
      <c r="A750" s="32">
        <f t="shared" si="1"/>
        <v>44945</v>
      </c>
      <c r="B750" s="30" t="s">
        <v>15</v>
      </c>
      <c r="C750" s="31">
        <v>775.0</v>
      </c>
    </row>
    <row r="751">
      <c r="A751" s="32">
        <f t="shared" si="1"/>
        <v>44946</v>
      </c>
      <c r="B751" s="30" t="s">
        <v>14</v>
      </c>
      <c r="C751" s="31">
        <v>850.0</v>
      </c>
    </row>
    <row r="752">
      <c r="A752" s="32">
        <f t="shared" si="1"/>
        <v>44947</v>
      </c>
      <c r="B752" s="30" t="s">
        <v>15</v>
      </c>
      <c r="C752" s="31">
        <v>950.0</v>
      </c>
    </row>
    <row r="753">
      <c r="A753" s="32">
        <f t="shared" si="1"/>
        <v>44948</v>
      </c>
      <c r="B753" s="30" t="s">
        <v>16</v>
      </c>
      <c r="C753" s="31" t="s">
        <v>17</v>
      </c>
    </row>
    <row r="754">
      <c r="A754" s="32">
        <f t="shared" si="1"/>
        <v>44949</v>
      </c>
      <c r="B754" s="30" t="s">
        <v>14</v>
      </c>
      <c r="C754" s="31">
        <v>540.0</v>
      </c>
    </row>
    <row r="755">
      <c r="A755" s="32">
        <f t="shared" si="1"/>
        <v>44950</v>
      </c>
      <c r="B755" s="30" t="s">
        <v>13</v>
      </c>
      <c r="C755" s="31">
        <v>920.0</v>
      </c>
    </row>
    <row r="756">
      <c r="A756" s="32">
        <f t="shared" si="1"/>
        <v>44951</v>
      </c>
      <c r="B756" s="30" t="s">
        <v>14</v>
      </c>
      <c r="C756" s="31">
        <v>650.0</v>
      </c>
    </row>
    <row r="757">
      <c r="A757" s="32">
        <f t="shared" si="1"/>
        <v>44952</v>
      </c>
      <c r="B757" s="30" t="s">
        <v>14</v>
      </c>
      <c r="C757" s="31">
        <v>750.0</v>
      </c>
    </row>
    <row r="758">
      <c r="A758" s="32">
        <f t="shared" si="1"/>
        <v>44953</v>
      </c>
      <c r="B758" s="30" t="s">
        <v>14</v>
      </c>
      <c r="C758" s="31">
        <v>760.0</v>
      </c>
    </row>
    <row r="759">
      <c r="A759" s="32">
        <f t="shared" si="1"/>
        <v>44954</v>
      </c>
      <c r="B759" s="30" t="s">
        <v>15</v>
      </c>
      <c r="C759" s="31">
        <v>930.0</v>
      </c>
    </row>
    <row r="760">
      <c r="A760" s="32">
        <f t="shared" si="1"/>
        <v>44955</v>
      </c>
      <c r="B760" s="30" t="s">
        <v>16</v>
      </c>
      <c r="C760" s="31" t="s">
        <v>17</v>
      </c>
    </row>
    <row r="761">
      <c r="A761" s="32">
        <f t="shared" si="1"/>
        <v>44956</v>
      </c>
      <c r="B761" s="30" t="s">
        <v>14</v>
      </c>
      <c r="C761" s="31">
        <v>785.0</v>
      </c>
    </row>
    <row r="762">
      <c r="A762" s="32">
        <f t="shared" si="1"/>
        <v>44957</v>
      </c>
      <c r="B762" s="30" t="s">
        <v>15</v>
      </c>
      <c r="C762" s="31">
        <v>810.0</v>
      </c>
    </row>
    <row r="763">
      <c r="A763" s="32">
        <f t="shared" si="1"/>
        <v>44958</v>
      </c>
      <c r="B763" s="30" t="s">
        <v>14</v>
      </c>
      <c r="C763" s="31">
        <v>710.0</v>
      </c>
    </row>
    <row r="764">
      <c r="A764" s="32">
        <f t="shared" si="1"/>
        <v>44959</v>
      </c>
      <c r="B764" s="30" t="s">
        <v>14</v>
      </c>
      <c r="C764" s="31">
        <v>905.0</v>
      </c>
    </row>
    <row r="765">
      <c r="A765" s="32">
        <f t="shared" si="1"/>
        <v>44960</v>
      </c>
      <c r="B765" s="30" t="s">
        <v>15</v>
      </c>
      <c r="C765" s="31">
        <v>630.0</v>
      </c>
    </row>
    <row r="766">
      <c r="A766" s="32">
        <f t="shared" si="1"/>
        <v>44961</v>
      </c>
      <c r="B766" s="30" t="s">
        <v>14</v>
      </c>
      <c r="C766" s="31">
        <v>740.0</v>
      </c>
    </row>
    <row r="767">
      <c r="A767" s="32">
        <f t="shared" si="1"/>
        <v>44962</v>
      </c>
      <c r="B767" s="30" t="s">
        <v>13</v>
      </c>
      <c r="C767" s="31">
        <v>505.0</v>
      </c>
    </row>
    <row r="768">
      <c r="A768" s="32">
        <f t="shared" si="1"/>
        <v>44963</v>
      </c>
      <c r="B768" s="30" t="s">
        <v>16</v>
      </c>
      <c r="C768" s="31" t="s">
        <v>17</v>
      </c>
    </row>
    <row r="769">
      <c r="A769" s="32">
        <f t="shared" si="1"/>
        <v>44964</v>
      </c>
      <c r="B769" s="30" t="s">
        <v>14</v>
      </c>
      <c r="C769" s="31">
        <v>625.0</v>
      </c>
    </row>
    <row r="770">
      <c r="A770" s="32">
        <f t="shared" si="1"/>
        <v>44965</v>
      </c>
      <c r="B770" s="30" t="s">
        <v>14</v>
      </c>
      <c r="C770" s="31">
        <v>880.0</v>
      </c>
    </row>
    <row r="771">
      <c r="A771" s="32">
        <f t="shared" si="1"/>
        <v>44966</v>
      </c>
      <c r="B771" s="30" t="s">
        <v>15</v>
      </c>
      <c r="C771" s="31">
        <v>915.0</v>
      </c>
    </row>
    <row r="772">
      <c r="A772" s="32">
        <f t="shared" si="1"/>
        <v>44967</v>
      </c>
      <c r="B772" s="30" t="s">
        <v>15</v>
      </c>
      <c r="C772" s="31">
        <v>925.0</v>
      </c>
    </row>
    <row r="773">
      <c r="A773" s="32">
        <f t="shared" si="1"/>
        <v>44968</v>
      </c>
      <c r="B773" s="30" t="s">
        <v>16</v>
      </c>
      <c r="C773" s="31" t="s">
        <v>17</v>
      </c>
    </row>
    <row r="774">
      <c r="A774" s="32">
        <f t="shared" si="1"/>
        <v>44969</v>
      </c>
      <c r="B774" s="30" t="s">
        <v>14</v>
      </c>
      <c r="C774" s="31">
        <v>650.0</v>
      </c>
    </row>
    <row r="775">
      <c r="A775" s="32">
        <f t="shared" si="1"/>
        <v>44970</v>
      </c>
      <c r="B775" s="30" t="s">
        <v>13</v>
      </c>
      <c r="C775" s="31">
        <v>685.0</v>
      </c>
    </row>
    <row r="776">
      <c r="A776" s="32">
        <f t="shared" si="1"/>
        <v>44971</v>
      </c>
      <c r="B776" s="30" t="s">
        <v>14</v>
      </c>
      <c r="C776" s="31">
        <v>815.0</v>
      </c>
    </row>
    <row r="777">
      <c r="A777" s="32">
        <f t="shared" si="1"/>
        <v>44972</v>
      </c>
      <c r="B777" s="30" t="s">
        <v>14</v>
      </c>
      <c r="C777" s="31">
        <v>525.0</v>
      </c>
    </row>
    <row r="778">
      <c r="A778" s="32">
        <f t="shared" si="1"/>
        <v>44973</v>
      </c>
      <c r="B778" s="30" t="s">
        <v>15</v>
      </c>
      <c r="C778" s="31">
        <v>900.0</v>
      </c>
    </row>
    <row r="779">
      <c r="A779" s="32">
        <f t="shared" si="1"/>
        <v>44974</v>
      </c>
      <c r="B779" s="30" t="s">
        <v>14</v>
      </c>
      <c r="C779" s="31">
        <v>765.0</v>
      </c>
    </row>
    <row r="780">
      <c r="A780" s="32">
        <f t="shared" si="1"/>
        <v>44975</v>
      </c>
      <c r="B780" s="30" t="s">
        <v>15</v>
      </c>
      <c r="C780" s="31">
        <v>535.0</v>
      </c>
    </row>
    <row r="781">
      <c r="A781" s="32">
        <f t="shared" si="1"/>
        <v>44976</v>
      </c>
      <c r="B781" s="30" t="s">
        <v>16</v>
      </c>
      <c r="C781" s="31" t="s">
        <v>17</v>
      </c>
    </row>
    <row r="782">
      <c r="A782" s="32">
        <f t="shared" si="1"/>
        <v>44977</v>
      </c>
      <c r="B782" s="30" t="s">
        <v>13</v>
      </c>
      <c r="C782" s="31">
        <v>570.0</v>
      </c>
    </row>
    <row r="783">
      <c r="A783" s="32">
        <f t="shared" si="1"/>
        <v>44978</v>
      </c>
      <c r="B783" s="30" t="s">
        <v>14</v>
      </c>
      <c r="C783" s="31">
        <v>935.0</v>
      </c>
    </row>
    <row r="784">
      <c r="A784" s="32">
        <f t="shared" si="1"/>
        <v>44979</v>
      </c>
      <c r="B784" s="30" t="s">
        <v>14</v>
      </c>
      <c r="C784" s="31">
        <v>980.0</v>
      </c>
    </row>
    <row r="785">
      <c r="A785" s="32">
        <f t="shared" si="1"/>
        <v>44980</v>
      </c>
      <c r="B785" s="30" t="s">
        <v>14</v>
      </c>
      <c r="C785" s="31">
        <v>620.0</v>
      </c>
    </row>
    <row r="786">
      <c r="A786" s="32">
        <f t="shared" si="1"/>
        <v>44981</v>
      </c>
      <c r="B786" s="30" t="s">
        <v>15</v>
      </c>
      <c r="C786" s="31">
        <v>825.0</v>
      </c>
    </row>
    <row r="787">
      <c r="A787" s="32">
        <f t="shared" si="1"/>
        <v>44982</v>
      </c>
      <c r="B787" s="30" t="s">
        <v>15</v>
      </c>
      <c r="C787" s="31">
        <v>555.0</v>
      </c>
    </row>
    <row r="788">
      <c r="A788" s="32">
        <f t="shared" si="1"/>
        <v>44983</v>
      </c>
      <c r="B788" s="30" t="s">
        <v>16</v>
      </c>
      <c r="C788" s="31" t="s">
        <v>17</v>
      </c>
    </row>
    <row r="789">
      <c r="A789" s="32">
        <f t="shared" si="1"/>
        <v>44984</v>
      </c>
      <c r="B789" s="30" t="s">
        <v>14</v>
      </c>
      <c r="C789" s="31">
        <v>935.0</v>
      </c>
    </row>
    <row r="790">
      <c r="A790" s="32">
        <f t="shared" si="1"/>
        <v>44985</v>
      </c>
      <c r="B790" s="30" t="s">
        <v>15</v>
      </c>
      <c r="C790" s="31">
        <v>960.0</v>
      </c>
    </row>
    <row r="791">
      <c r="A791" s="32">
        <f t="shared" si="1"/>
        <v>44986</v>
      </c>
      <c r="B791" s="30" t="s">
        <v>14</v>
      </c>
      <c r="C791" s="31">
        <v>850.0</v>
      </c>
    </row>
    <row r="792">
      <c r="A792" s="32">
        <f t="shared" si="1"/>
        <v>44987</v>
      </c>
      <c r="B792" s="30" t="s">
        <v>14</v>
      </c>
      <c r="C792" s="31">
        <v>770.0</v>
      </c>
    </row>
    <row r="793">
      <c r="A793" s="32">
        <f t="shared" si="1"/>
        <v>44988</v>
      </c>
      <c r="B793" s="30" t="s">
        <v>14</v>
      </c>
      <c r="C793" s="31">
        <v>960.0</v>
      </c>
    </row>
    <row r="794">
      <c r="A794" s="32">
        <f t="shared" si="1"/>
        <v>44989</v>
      </c>
      <c r="B794" s="30" t="s">
        <v>15</v>
      </c>
      <c r="C794" s="31">
        <v>825.0</v>
      </c>
    </row>
    <row r="795">
      <c r="A795" s="32">
        <f t="shared" si="1"/>
        <v>44990</v>
      </c>
      <c r="B795" s="30" t="s">
        <v>14</v>
      </c>
      <c r="C795" s="31">
        <v>660.0</v>
      </c>
    </row>
    <row r="796">
      <c r="A796" s="32">
        <f t="shared" si="1"/>
        <v>44991</v>
      </c>
      <c r="B796" s="30" t="s">
        <v>14</v>
      </c>
      <c r="C796" s="31">
        <v>665.0</v>
      </c>
    </row>
    <row r="797">
      <c r="A797" s="32">
        <f t="shared" si="1"/>
        <v>44992</v>
      </c>
      <c r="B797" s="30" t="s">
        <v>15</v>
      </c>
      <c r="C797" s="31">
        <v>885.0</v>
      </c>
    </row>
    <row r="798">
      <c r="A798" s="32">
        <f t="shared" si="1"/>
        <v>44993</v>
      </c>
      <c r="B798" s="30" t="s">
        <v>16</v>
      </c>
      <c r="C798" s="31" t="s">
        <v>17</v>
      </c>
    </row>
    <row r="799">
      <c r="A799" s="32">
        <f t="shared" si="1"/>
        <v>44994</v>
      </c>
      <c r="B799" s="30" t="s">
        <v>14</v>
      </c>
      <c r="C799" s="31">
        <v>535.0</v>
      </c>
    </row>
    <row r="800">
      <c r="A800" s="32">
        <f t="shared" si="1"/>
        <v>44995</v>
      </c>
      <c r="B800" s="30" t="s">
        <v>13</v>
      </c>
      <c r="C800" s="31">
        <v>635.0</v>
      </c>
    </row>
    <row r="801">
      <c r="A801" s="32">
        <f t="shared" si="1"/>
        <v>44996</v>
      </c>
      <c r="B801" s="30" t="s">
        <v>14</v>
      </c>
      <c r="C801" s="31">
        <v>970.0</v>
      </c>
    </row>
    <row r="802">
      <c r="A802" s="32">
        <f t="shared" si="1"/>
        <v>44997</v>
      </c>
      <c r="B802" s="30" t="s">
        <v>14</v>
      </c>
      <c r="C802" s="31">
        <v>770.0</v>
      </c>
    </row>
    <row r="803">
      <c r="A803" s="32">
        <f t="shared" si="1"/>
        <v>44998</v>
      </c>
      <c r="B803" s="30" t="s">
        <v>14</v>
      </c>
      <c r="C803" s="31">
        <v>750.0</v>
      </c>
    </row>
    <row r="804">
      <c r="A804" s="32">
        <f t="shared" si="1"/>
        <v>44999</v>
      </c>
      <c r="B804" s="30" t="s">
        <v>15</v>
      </c>
      <c r="C804" s="31">
        <v>535.0</v>
      </c>
    </row>
    <row r="805">
      <c r="A805" s="32">
        <f t="shared" si="1"/>
        <v>45000</v>
      </c>
      <c r="B805" s="30" t="s">
        <v>16</v>
      </c>
      <c r="C805" s="31" t="s">
        <v>17</v>
      </c>
    </row>
    <row r="806">
      <c r="A806" s="32">
        <f t="shared" si="1"/>
        <v>45001</v>
      </c>
      <c r="B806" s="30" t="s">
        <v>14</v>
      </c>
      <c r="C806" s="31">
        <v>930.0</v>
      </c>
    </row>
    <row r="807">
      <c r="A807" s="32">
        <f t="shared" si="1"/>
        <v>45002</v>
      </c>
      <c r="B807" s="30" t="s">
        <v>14</v>
      </c>
      <c r="C807" s="31">
        <v>880.0</v>
      </c>
    </row>
    <row r="808">
      <c r="A808" s="32">
        <f t="shared" si="1"/>
        <v>45003</v>
      </c>
      <c r="B808" s="30" t="s">
        <v>14</v>
      </c>
      <c r="C808" s="31">
        <v>815.0</v>
      </c>
    </row>
    <row r="809">
      <c r="A809" s="32">
        <f t="shared" si="1"/>
        <v>45004</v>
      </c>
      <c r="B809" s="30" t="s">
        <v>15</v>
      </c>
      <c r="C809" s="31">
        <v>845.0</v>
      </c>
    </row>
    <row r="810">
      <c r="A810" s="32">
        <f t="shared" si="1"/>
        <v>45005</v>
      </c>
      <c r="B810" s="30" t="s">
        <v>16</v>
      </c>
      <c r="C810" s="31" t="s">
        <v>17</v>
      </c>
    </row>
    <row r="811">
      <c r="A811" s="32">
        <f t="shared" si="1"/>
        <v>45006</v>
      </c>
      <c r="B811" s="30" t="s">
        <v>14</v>
      </c>
      <c r="C811" s="31">
        <v>615.0</v>
      </c>
    </row>
    <row r="812">
      <c r="A812" s="32">
        <f t="shared" si="1"/>
        <v>45007</v>
      </c>
      <c r="B812" s="30" t="s">
        <v>14</v>
      </c>
      <c r="C812" s="31">
        <v>925.0</v>
      </c>
    </row>
    <row r="813">
      <c r="A813" s="32">
        <f t="shared" si="1"/>
        <v>45008</v>
      </c>
      <c r="B813" s="30" t="s">
        <v>15</v>
      </c>
      <c r="C813" s="31">
        <v>860.0</v>
      </c>
    </row>
    <row r="814">
      <c r="A814" s="32">
        <f t="shared" si="1"/>
        <v>45009</v>
      </c>
      <c r="B814" s="30" t="s">
        <v>15</v>
      </c>
      <c r="C814" s="31">
        <v>565.0</v>
      </c>
    </row>
    <row r="815">
      <c r="A815" s="32">
        <f t="shared" si="1"/>
        <v>45010</v>
      </c>
      <c r="B815" s="30" t="s">
        <v>16</v>
      </c>
      <c r="C815" s="31" t="s">
        <v>17</v>
      </c>
    </row>
    <row r="816">
      <c r="A816" s="32">
        <f t="shared" si="1"/>
        <v>45011</v>
      </c>
      <c r="B816" s="30" t="s">
        <v>14</v>
      </c>
      <c r="C816" s="31">
        <v>865.0</v>
      </c>
    </row>
    <row r="817">
      <c r="A817" s="32">
        <f t="shared" si="1"/>
        <v>45012</v>
      </c>
      <c r="B817" s="30" t="s">
        <v>15</v>
      </c>
      <c r="C817" s="31">
        <v>545.0</v>
      </c>
    </row>
    <row r="818">
      <c r="A818" s="32">
        <f t="shared" si="1"/>
        <v>45013</v>
      </c>
      <c r="B818" s="30" t="s">
        <v>14</v>
      </c>
      <c r="C818" s="31">
        <v>980.0</v>
      </c>
    </row>
    <row r="819">
      <c r="A819" s="32">
        <f t="shared" si="1"/>
        <v>45014</v>
      </c>
      <c r="B819" s="30" t="s">
        <v>15</v>
      </c>
      <c r="C819" s="31">
        <v>805.0</v>
      </c>
    </row>
    <row r="820">
      <c r="A820" s="32">
        <f t="shared" si="1"/>
        <v>45015</v>
      </c>
      <c r="B820" s="30" t="s">
        <v>14</v>
      </c>
      <c r="C820" s="31">
        <v>910.0</v>
      </c>
    </row>
    <row r="821">
      <c r="A821" s="32">
        <f t="shared" si="1"/>
        <v>45016</v>
      </c>
      <c r="B821" s="30" t="s">
        <v>13</v>
      </c>
      <c r="C821" s="31">
        <v>865.0</v>
      </c>
    </row>
    <row r="822">
      <c r="A822" s="32">
        <f t="shared" si="1"/>
        <v>45017</v>
      </c>
      <c r="B822" s="30" t="s">
        <v>14</v>
      </c>
      <c r="C822" s="31">
        <v>855.0</v>
      </c>
    </row>
    <row r="823">
      <c r="A823" s="32">
        <f t="shared" si="1"/>
        <v>45018</v>
      </c>
      <c r="B823" s="30" t="s">
        <v>15</v>
      </c>
      <c r="C823" s="31">
        <v>570.0</v>
      </c>
    </row>
    <row r="824">
      <c r="A824" s="32">
        <f t="shared" si="1"/>
        <v>45019</v>
      </c>
      <c r="B824" s="30" t="s">
        <v>16</v>
      </c>
      <c r="C824" s="31" t="s">
        <v>17</v>
      </c>
    </row>
    <row r="825">
      <c r="A825" s="32">
        <f t="shared" si="1"/>
        <v>45020</v>
      </c>
      <c r="B825" s="30" t="s">
        <v>14</v>
      </c>
      <c r="C825" s="31">
        <v>745.0</v>
      </c>
    </row>
    <row r="826">
      <c r="A826" s="32">
        <f t="shared" si="1"/>
        <v>45021</v>
      </c>
      <c r="B826" s="30" t="s">
        <v>15</v>
      </c>
      <c r="C826" s="31">
        <v>685.0</v>
      </c>
    </row>
    <row r="827">
      <c r="A827" s="32">
        <f t="shared" si="1"/>
        <v>45022</v>
      </c>
      <c r="B827" s="30" t="s">
        <v>14</v>
      </c>
      <c r="C827" s="31">
        <v>735.0</v>
      </c>
    </row>
    <row r="828">
      <c r="A828" s="32">
        <f t="shared" si="1"/>
        <v>45023</v>
      </c>
      <c r="B828" s="30" t="s">
        <v>14</v>
      </c>
      <c r="C828" s="31">
        <v>925.0</v>
      </c>
    </row>
    <row r="829">
      <c r="A829" s="32">
        <f t="shared" si="1"/>
        <v>45024</v>
      </c>
      <c r="B829" s="30" t="s">
        <v>15</v>
      </c>
      <c r="C829" s="31">
        <v>1000.0</v>
      </c>
    </row>
    <row r="830">
      <c r="A830" s="32">
        <f t="shared" si="1"/>
        <v>45025</v>
      </c>
      <c r="B830" s="30" t="s">
        <v>14</v>
      </c>
      <c r="C830" s="31">
        <v>615.0</v>
      </c>
    </row>
    <row r="831">
      <c r="A831" s="32">
        <f t="shared" si="1"/>
        <v>45026</v>
      </c>
      <c r="B831" s="30" t="s">
        <v>14</v>
      </c>
      <c r="C831" s="31">
        <v>640.0</v>
      </c>
    </row>
    <row r="832">
      <c r="A832" s="32">
        <f t="shared" si="1"/>
        <v>45027</v>
      </c>
      <c r="B832" s="30" t="s">
        <v>15</v>
      </c>
      <c r="C832" s="31">
        <v>505.0</v>
      </c>
    </row>
    <row r="833">
      <c r="A833" s="32">
        <f t="shared" si="1"/>
        <v>45028</v>
      </c>
      <c r="B833" s="30" t="s">
        <v>16</v>
      </c>
      <c r="C833" s="31" t="s">
        <v>17</v>
      </c>
    </row>
    <row r="834">
      <c r="A834" s="32">
        <f t="shared" si="1"/>
        <v>45029</v>
      </c>
      <c r="B834" s="30" t="s">
        <v>16</v>
      </c>
      <c r="C834" s="31" t="s">
        <v>17</v>
      </c>
    </row>
    <row r="835">
      <c r="A835" s="32">
        <f t="shared" si="1"/>
        <v>45030</v>
      </c>
      <c r="B835" s="30" t="s">
        <v>16</v>
      </c>
      <c r="C835" s="31" t="s">
        <v>17</v>
      </c>
    </row>
    <row r="836">
      <c r="A836" s="32">
        <f t="shared" si="1"/>
        <v>45031</v>
      </c>
      <c r="B836" s="30" t="s">
        <v>16</v>
      </c>
      <c r="C836" s="31" t="s">
        <v>17</v>
      </c>
    </row>
    <row r="837">
      <c r="A837" s="32">
        <f t="shared" si="1"/>
        <v>45032</v>
      </c>
      <c r="B837" s="30" t="s">
        <v>16</v>
      </c>
      <c r="C837" s="31" t="s">
        <v>17</v>
      </c>
    </row>
    <row r="838">
      <c r="A838" s="32">
        <f t="shared" si="1"/>
        <v>45033</v>
      </c>
      <c r="B838" s="30" t="s">
        <v>16</v>
      </c>
      <c r="C838" s="31" t="s">
        <v>17</v>
      </c>
    </row>
    <row r="839">
      <c r="A839" s="32">
        <f t="shared" si="1"/>
        <v>45034</v>
      </c>
      <c r="B839" s="30" t="s">
        <v>13</v>
      </c>
      <c r="C839" s="31">
        <v>720.0</v>
      </c>
    </row>
    <row r="840">
      <c r="A840" s="32">
        <f t="shared" si="1"/>
        <v>45035</v>
      </c>
      <c r="B840" s="30" t="s">
        <v>13</v>
      </c>
      <c r="C840" s="31">
        <v>755.0</v>
      </c>
    </row>
    <row r="841">
      <c r="A841" s="32">
        <f t="shared" si="1"/>
        <v>45036</v>
      </c>
      <c r="B841" s="30" t="s">
        <v>14</v>
      </c>
      <c r="C841" s="31">
        <v>810.0</v>
      </c>
    </row>
    <row r="842">
      <c r="A842" s="32">
        <f t="shared" si="1"/>
        <v>45037</v>
      </c>
      <c r="B842" s="30" t="s">
        <v>14</v>
      </c>
      <c r="C842" s="31">
        <v>670.0</v>
      </c>
    </row>
    <row r="843">
      <c r="A843" s="32">
        <f t="shared" si="1"/>
        <v>45038</v>
      </c>
      <c r="B843" s="30" t="s">
        <v>14</v>
      </c>
      <c r="C843" s="31">
        <v>980.0</v>
      </c>
    </row>
    <row r="844">
      <c r="A844" s="32">
        <f t="shared" si="1"/>
        <v>45039</v>
      </c>
      <c r="B844" s="30" t="s">
        <v>14</v>
      </c>
      <c r="C844" s="31">
        <v>735.0</v>
      </c>
    </row>
    <row r="845">
      <c r="A845" s="32">
        <f t="shared" si="1"/>
        <v>45040</v>
      </c>
      <c r="B845" s="30" t="s">
        <v>14</v>
      </c>
      <c r="C845" s="31">
        <v>555.0</v>
      </c>
    </row>
    <row r="846">
      <c r="A846" s="32">
        <f t="shared" si="1"/>
        <v>45041</v>
      </c>
      <c r="B846" s="30" t="s">
        <v>14</v>
      </c>
      <c r="C846" s="31">
        <v>770.0</v>
      </c>
    </row>
    <row r="847">
      <c r="A847" s="32">
        <f t="shared" si="1"/>
        <v>45042</v>
      </c>
      <c r="B847" s="30" t="s">
        <v>15</v>
      </c>
      <c r="C847" s="31">
        <v>880.0</v>
      </c>
    </row>
    <row r="848">
      <c r="A848" s="32">
        <f t="shared" si="1"/>
        <v>45043</v>
      </c>
      <c r="B848" s="30" t="s">
        <v>14</v>
      </c>
      <c r="C848" s="31">
        <v>830.0</v>
      </c>
    </row>
    <row r="849">
      <c r="A849" s="32">
        <f t="shared" si="1"/>
        <v>45044</v>
      </c>
      <c r="B849" s="30" t="s">
        <v>15</v>
      </c>
      <c r="C849" s="31">
        <v>870.0</v>
      </c>
    </row>
    <row r="850">
      <c r="A850" s="32">
        <f t="shared" si="1"/>
        <v>45045</v>
      </c>
      <c r="B850" s="30" t="s">
        <v>16</v>
      </c>
      <c r="C850" s="31" t="s">
        <v>17</v>
      </c>
    </row>
    <row r="851">
      <c r="A851" s="32">
        <f t="shared" si="1"/>
        <v>45046</v>
      </c>
      <c r="B851" s="30" t="s">
        <v>14</v>
      </c>
      <c r="C851" s="31">
        <v>770.0</v>
      </c>
    </row>
    <row r="852">
      <c r="A852" s="32">
        <f t="shared" si="1"/>
        <v>45047</v>
      </c>
      <c r="B852" s="30" t="s">
        <v>14</v>
      </c>
      <c r="C852" s="31">
        <v>525.0</v>
      </c>
    </row>
    <row r="853">
      <c r="A853" s="32">
        <f t="shared" si="1"/>
        <v>45048</v>
      </c>
      <c r="B853" s="30" t="s">
        <v>15</v>
      </c>
      <c r="C853" s="31">
        <v>610.0</v>
      </c>
    </row>
    <row r="854">
      <c r="A854" s="32">
        <f t="shared" si="1"/>
        <v>45049</v>
      </c>
      <c r="B854" s="30" t="s">
        <v>15</v>
      </c>
      <c r="C854" s="31">
        <v>585.0</v>
      </c>
    </row>
    <row r="855">
      <c r="A855" s="32">
        <f t="shared" si="1"/>
        <v>45050</v>
      </c>
      <c r="B855" s="30" t="s">
        <v>16</v>
      </c>
      <c r="C855" s="31" t="s">
        <v>17</v>
      </c>
    </row>
    <row r="856">
      <c r="A856" s="32">
        <f t="shared" si="1"/>
        <v>45051</v>
      </c>
      <c r="B856" s="30" t="s">
        <v>14</v>
      </c>
      <c r="C856" s="31">
        <v>760.0</v>
      </c>
    </row>
    <row r="857">
      <c r="A857" s="32">
        <f t="shared" si="1"/>
        <v>45052</v>
      </c>
      <c r="B857" s="30" t="s">
        <v>15</v>
      </c>
      <c r="C857" s="31">
        <v>615.0</v>
      </c>
    </row>
    <row r="858">
      <c r="A858" s="32">
        <f t="shared" si="1"/>
        <v>45053</v>
      </c>
      <c r="B858" s="30" t="s">
        <v>14</v>
      </c>
      <c r="C858" s="31">
        <v>630.0</v>
      </c>
    </row>
    <row r="859">
      <c r="A859" s="32">
        <f t="shared" si="1"/>
        <v>45054</v>
      </c>
      <c r="B859" s="30" t="s">
        <v>14</v>
      </c>
      <c r="C859" s="31">
        <v>795.0</v>
      </c>
    </row>
    <row r="860">
      <c r="A860" s="32">
        <f t="shared" si="1"/>
        <v>45055</v>
      </c>
      <c r="B860" s="30" t="s">
        <v>14</v>
      </c>
      <c r="C860" s="31">
        <v>725.0</v>
      </c>
    </row>
    <row r="861">
      <c r="A861" s="32">
        <f t="shared" si="1"/>
        <v>45056</v>
      </c>
      <c r="B861" s="30" t="s">
        <v>15</v>
      </c>
      <c r="C861" s="31">
        <v>540.0</v>
      </c>
    </row>
    <row r="862">
      <c r="A862" s="32">
        <f t="shared" si="1"/>
        <v>45057</v>
      </c>
      <c r="B862" s="30" t="s">
        <v>14</v>
      </c>
      <c r="C862" s="31">
        <v>910.0</v>
      </c>
    </row>
    <row r="863">
      <c r="A863" s="32">
        <f t="shared" si="1"/>
        <v>45058</v>
      </c>
      <c r="B863" s="30" t="s">
        <v>14</v>
      </c>
      <c r="C863" s="31">
        <v>645.0</v>
      </c>
    </row>
    <row r="864">
      <c r="A864" s="32">
        <f t="shared" si="1"/>
        <v>45059</v>
      </c>
      <c r="B864" s="30" t="s">
        <v>15</v>
      </c>
      <c r="C864" s="31">
        <v>860.0</v>
      </c>
    </row>
    <row r="865">
      <c r="A865" s="32">
        <f t="shared" si="1"/>
        <v>45060</v>
      </c>
      <c r="B865" s="30" t="s">
        <v>16</v>
      </c>
      <c r="C865" s="31" t="s">
        <v>17</v>
      </c>
    </row>
    <row r="866">
      <c r="A866" s="32">
        <f t="shared" si="1"/>
        <v>45061</v>
      </c>
      <c r="B866" s="30" t="s">
        <v>14</v>
      </c>
      <c r="C866" s="31">
        <v>675.0</v>
      </c>
    </row>
    <row r="867">
      <c r="A867" s="32">
        <f t="shared" si="1"/>
        <v>45062</v>
      </c>
      <c r="B867" s="30" t="s">
        <v>13</v>
      </c>
      <c r="C867" s="31">
        <v>850.0</v>
      </c>
    </row>
    <row r="868">
      <c r="A868" s="32">
        <f t="shared" si="1"/>
        <v>45063</v>
      </c>
      <c r="B868" s="30" t="s">
        <v>14</v>
      </c>
      <c r="C868" s="31">
        <v>500.0</v>
      </c>
    </row>
    <row r="869">
      <c r="A869" s="32">
        <f t="shared" si="1"/>
        <v>45064</v>
      </c>
      <c r="B869" s="30" t="s">
        <v>14</v>
      </c>
      <c r="C869" s="31">
        <v>810.0</v>
      </c>
    </row>
    <row r="870">
      <c r="A870" s="32">
        <f t="shared" si="1"/>
        <v>45065</v>
      </c>
      <c r="B870" s="30" t="s">
        <v>14</v>
      </c>
      <c r="C870" s="31">
        <v>635.0</v>
      </c>
    </row>
    <row r="871">
      <c r="A871" s="32">
        <f t="shared" si="1"/>
        <v>45066</v>
      </c>
      <c r="B871" s="30" t="s">
        <v>15</v>
      </c>
      <c r="C871" s="31">
        <v>900.0</v>
      </c>
    </row>
    <row r="872">
      <c r="A872" s="32">
        <f t="shared" si="1"/>
        <v>45067</v>
      </c>
      <c r="B872" s="30" t="s">
        <v>16</v>
      </c>
      <c r="C872" s="31" t="s">
        <v>17</v>
      </c>
    </row>
    <row r="873">
      <c r="A873" s="32">
        <f t="shared" si="1"/>
        <v>45068</v>
      </c>
      <c r="B873" s="30" t="s">
        <v>13</v>
      </c>
      <c r="C873" s="31">
        <v>715.0</v>
      </c>
    </row>
    <row r="874">
      <c r="A874" s="32">
        <f t="shared" si="1"/>
        <v>45069</v>
      </c>
      <c r="B874" s="30" t="s">
        <v>14</v>
      </c>
      <c r="C874" s="31">
        <v>895.0</v>
      </c>
    </row>
    <row r="875">
      <c r="A875" s="32">
        <f t="shared" si="1"/>
        <v>45070</v>
      </c>
      <c r="B875" s="30" t="s">
        <v>14</v>
      </c>
      <c r="C875" s="31">
        <v>660.0</v>
      </c>
    </row>
    <row r="876">
      <c r="A876" s="32">
        <f t="shared" si="1"/>
        <v>45071</v>
      </c>
      <c r="B876" s="30" t="s">
        <v>15</v>
      </c>
      <c r="C876" s="31">
        <v>635.0</v>
      </c>
    </row>
    <row r="877">
      <c r="A877" s="32">
        <f t="shared" si="1"/>
        <v>45072</v>
      </c>
      <c r="B877" s="30" t="s">
        <v>15</v>
      </c>
      <c r="C877" s="31">
        <v>625.0</v>
      </c>
    </row>
    <row r="878">
      <c r="A878" s="32">
        <f t="shared" si="1"/>
        <v>45073</v>
      </c>
      <c r="B878" s="30" t="s">
        <v>16</v>
      </c>
      <c r="C878" s="31" t="s">
        <v>17</v>
      </c>
    </row>
    <row r="879">
      <c r="A879" s="32">
        <f t="shared" si="1"/>
        <v>45074</v>
      </c>
      <c r="B879" s="30" t="s">
        <v>14</v>
      </c>
      <c r="C879" s="31">
        <v>920.0</v>
      </c>
    </row>
    <row r="880">
      <c r="A880" s="32">
        <f t="shared" si="1"/>
        <v>45075</v>
      </c>
      <c r="B880" s="30" t="s">
        <v>14</v>
      </c>
      <c r="C880" s="31">
        <v>645.0</v>
      </c>
    </row>
    <row r="881">
      <c r="A881" s="32">
        <f t="shared" si="1"/>
        <v>45076</v>
      </c>
      <c r="B881" s="30" t="s">
        <v>13</v>
      </c>
      <c r="C881" s="31">
        <v>985.0</v>
      </c>
    </row>
    <row r="882">
      <c r="A882" s="32">
        <f t="shared" si="1"/>
        <v>45077</v>
      </c>
      <c r="B882" s="30" t="s">
        <v>14</v>
      </c>
      <c r="C882" s="31">
        <v>890.0</v>
      </c>
    </row>
    <row r="883">
      <c r="A883" s="32">
        <f t="shared" si="1"/>
        <v>45078</v>
      </c>
      <c r="B883" s="30" t="s">
        <v>14</v>
      </c>
      <c r="C883" s="31">
        <v>520.0</v>
      </c>
    </row>
    <row r="884">
      <c r="A884" s="32">
        <f t="shared" si="1"/>
        <v>45079</v>
      </c>
      <c r="B884" s="30" t="s">
        <v>15</v>
      </c>
      <c r="C884" s="31">
        <v>515.0</v>
      </c>
    </row>
    <row r="885">
      <c r="A885" s="32">
        <f t="shared" si="1"/>
        <v>45080</v>
      </c>
      <c r="B885" s="30" t="s">
        <v>14</v>
      </c>
      <c r="C885" s="31">
        <v>575.0</v>
      </c>
    </row>
    <row r="886">
      <c r="A886" s="32">
        <f t="shared" si="1"/>
        <v>45081</v>
      </c>
      <c r="B886" s="30" t="s">
        <v>15</v>
      </c>
      <c r="C886" s="31">
        <v>835.0</v>
      </c>
    </row>
    <row r="887">
      <c r="A887" s="32">
        <f t="shared" si="1"/>
        <v>45082</v>
      </c>
      <c r="B887" s="30" t="s">
        <v>16</v>
      </c>
      <c r="C887" s="31" t="s">
        <v>17</v>
      </c>
    </row>
    <row r="888">
      <c r="A888" s="32">
        <f t="shared" si="1"/>
        <v>45083</v>
      </c>
      <c r="B888" s="30" t="s">
        <v>14</v>
      </c>
      <c r="C888" s="31">
        <v>830.0</v>
      </c>
    </row>
    <row r="889">
      <c r="A889" s="32">
        <f t="shared" si="1"/>
        <v>45084</v>
      </c>
      <c r="B889" s="30" t="s">
        <v>13</v>
      </c>
      <c r="C889" s="31">
        <v>710.0</v>
      </c>
    </row>
    <row r="890">
      <c r="A890" s="32">
        <f t="shared" si="1"/>
        <v>45085</v>
      </c>
      <c r="B890" s="30" t="s">
        <v>14</v>
      </c>
      <c r="C890" s="31">
        <v>970.0</v>
      </c>
    </row>
    <row r="891">
      <c r="A891" s="32">
        <f t="shared" si="1"/>
        <v>45086</v>
      </c>
      <c r="B891" s="30" t="s">
        <v>14</v>
      </c>
      <c r="C891" s="31">
        <v>805.0</v>
      </c>
    </row>
    <row r="892">
      <c r="A892" s="32">
        <f t="shared" si="1"/>
        <v>45087</v>
      </c>
      <c r="B892" s="30" t="s">
        <v>14</v>
      </c>
      <c r="C892" s="31">
        <v>550.0</v>
      </c>
    </row>
    <row r="893">
      <c r="A893" s="32">
        <f t="shared" si="1"/>
        <v>45088</v>
      </c>
      <c r="B893" s="30" t="s">
        <v>15</v>
      </c>
      <c r="C893" s="31">
        <v>830.0</v>
      </c>
    </row>
    <row r="894">
      <c r="A894" s="32">
        <f t="shared" si="1"/>
        <v>45089</v>
      </c>
      <c r="B894" s="30" t="s">
        <v>16</v>
      </c>
      <c r="C894" s="31" t="s">
        <v>17</v>
      </c>
    </row>
    <row r="895">
      <c r="A895" s="32">
        <f t="shared" si="1"/>
        <v>45090</v>
      </c>
      <c r="B895" s="30" t="s">
        <v>14</v>
      </c>
      <c r="C895" s="31">
        <v>500.0</v>
      </c>
    </row>
    <row r="896">
      <c r="A896" s="32">
        <f t="shared" si="1"/>
        <v>45091</v>
      </c>
      <c r="B896" s="30" t="s">
        <v>15</v>
      </c>
      <c r="C896" s="31">
        <v>820.0</v>
      </c>
    </row>
    <row r="897">
      <c r="A897" s="32">
        <f t="shared" si="1"/>
        <v>45092</v>
      </c>
      <c r="B897" s="30" t="s">
        <v>14</v>
      </c>
      <c r="C897" s="31">
        <v>710.0</v>
      </c>
    </row>
    <row r="898">
      <c r="A898" s="32">
        <f t="shared" si="1"/>
        <v>45093</v>
      </c>
      <c r="B898" s="30" t="s">
        <v>14</v>
      </c>
      <c r="C898" s="31">
        <v>645.0</v>
      </c>
    </row>
    <row r="899">
      <c r="A899" s="32">
        <f t="shared" si="1"/>
        <v>45094</v>
      </c>
      <c r="B899" s="30" t="s">
        <v>15</v>
      </c>
      <c r="C899" s="31">
        <v>880.0</v>
      </c>
    </row>
    <row r="900">
      <c r="A900" s="32">
        <f t="shared" si="1"/>
        <v>45095</v>
      </c>
      <c r="B900" s="30" t="s">
        <v>14</v>
      </c>
      <c r="C900" s="31">
        <v>790.0</v>
      </c>
    </row>
    <row r="901">
      <c r="A901" s="32">
        <f t="shared" si="1"/>
        <v>45096</v>
      </c>
      <c r="B901" s="30" t="s">
        <v>13</v>
      </c>
      <c r="C901" s="31">
        <v>685.0</v>
      </c>
    </row>
    <row r="902">
      <c r="A902" s="32">
        <f t="shared" si="1"/>
        <v>45097</v>
      </c>
      <c r="B902" s="30" t="s">
        <v>16</v>
      </c>
      <c r="C902" s="31" t="s">
        <v>17</v>
      </c>
    </row>
    <row r="903">
      <c r="A903" s="32">
        <f t="shared" si="1"/>
        <v>45098</v>
      </c>
      <c r="B903" s="30" t="s">
        <v>14</v>
      </c>
      <c r="C903" s="31">
        <v>820.0</v>
      </c>
    </row>
    <row r="904">
      <c r="A904" s="32">
        <f t="shared" si="1"/>
        <v>45099</v>
      </c>
      <c r="B904" s="30" t="s">
        <v>14</v>
      </c>
      <c r="C904" s="31">
        <v>765.0</v>
      </c>
    </row>
    <row r="905">
      <c r="A905" s="32">
        <f t="shared" si="1"/>
        <v>45100</v>
      </c>
      <c r="B905" s="30" t="s">
        <v>15</v>
      </c>
      <c r="C905" s="31">
        <v>605.0</v>
      </c>
    </row>
    <row r="906">
      <c r="A906" s="32">
        <f t="shared" si="1"/>
        <v>45101</v>
      </c>
      <c r="B906" s="30" t="s">
        <v>15</v>
      </c>
      <c r="C906" s="31">
        <v>925.0</v>
      </c>
    </row>
    <row r="907">
      <c r="A907" s="32">
        <f t="shared" si="1"/>
        <v>45102</v>
      </c>
      <c r="B907" s="30" t="s">
        <v>16</v>
      </c>
      <c r="C907" s="31" t="s">
        <v>17</v>
      </c>
    </row>
    <row r="908">
      <c r="A908" s="32">
        <f t="shared" si="1"/>
        <v>45103</v>
      </c>
      <c r="B908" s="30" t="s">
        <v>14</v>
      </c>
      <c r="C908" s="31">
        <v>575.0</v>
      </c>
    </row>
    <row r="909">
      <c r="A909" s="32">
        <f t="shared" si="1"/>
        <v>45104</v>
      </c>
      <c r="B909" s="30" t="s">
        <v>13</v>
      </c>
      <c r="C909" s="31">
        <v>840.0</v>
      </c>
    </row>
    <row r="910">
      <c r="A910" s="32">
        <f t="shared" si="1"/>
        <v>45105</v>
      </c>
      <c r="B910" s="30" t="s">
        <v>14</v>
      </c>
      <c r="C910" s="31">
        <v>810.0</v>
      </c>
    </row>
    <row r="911">
      <c r="A911" s="32">
        <f t="shared" si="1"/>
        <v>45106</v>
      </c>
      <c r="B911" s="30" t="s">
        <v>14</v>
      </c>
      <c r="C911" s="31">
        <v>635.0</v>
      </c>
    </row>
    <row r="912">
      <c r="A912" s="32">
        <f t="shared" si="1"/>
        <v>45107</v>
      </c>
      <c r="B912" s="30" t="s">
        <v>15</v>
      </c>
      <c r="C912" s="31">
        <v>620.0</v>
      </c>
    </row>
    <row r="913">
      <c r="A913" s="32">
        <f t="shared" si="1"/>
        <v>45108</v>
      </c>
      <c r="B913" s="30" t="s">
        <v>14</v>
      </c>
      <c r="C913" s="31">
        <v>865.0</v>
      </c>
    </row>
    <row r="914">
      <c r="A914" s="32">
        <f t="shared" si="1"/>
        <v>45109</v>
      </c>
      <c r="B914" s="30" t="s">
        <v>15</v>
      </c>
      <c r="C914" s="31">
        <v>705.0</v>
      </c>
    </row>
    <row r="915">
      <c r="A915" s="32">
        <f t="shared" si="1"/>
        <v>45110</v>
      </c>
      <c r="B915" s="30" t="s">
        <v>16</v>
      </c>
      <c r="C915" s="31" t="s">
        <v>17</v>
      </c>
    </row>
    <row r="916">
      <c r="A916" s="32">
        <f t="shared" si="1"/>
        <v>45111</v>
      </c>
      <c r="B916" s="30" t="s">
        <v>13</v>
      </c>
      <c r="C916" s="31">
        <v>810.0</v>
      </c>
    </row>
    <row r="917">
      <c r="A917" s="32">
        <f t="shared" si="1"/>
        <v>45112</v>
      </c>
      <c r="B917" s="30" t="s">
        <v>14</v>
      </c>
      <c r="C917" s="31">
        <v>950.0</v>
      </c>
    </row>
    <row r="918">
      <c r="A918" s="32">
        <f t="shared" si="1"/>
        <v>45113</v>
      </c>
      <c r="B918" s="30" t="s">
        <v>14</v>
      </c>
      <c r="C918" s="31">
        <v>570.0</v>
      </c>
    </row>
    <row r="919">
      <c r="A919" s="32">
        <f t="shared" si="1"/>
        <v>45114</v>
      </c>
      <c r="B919" s="30" t="s">
        <v>14</v>
      </c>
      <c r="C919" s="31">
        <v>635.0</v>
      </c>
    </row>
    <row r="920">
      <c r="A920" s="32">
        <f t="shared" si="1"/>
        <v>45115</v>
      </c>
      <c r="B920" s="30" t="s">
        <v>15</v>
      </c>
      <c r="C920" s="31">
        <v>740.0</v>
      </c>
    </row>
    <row r="921">
      <c r="A921" s="32">
        <f t="shared" si="1"/>
        <v>45116</v>
      </c>
      <c r="B921" s="30" t="s">
        <v>15</v>
      </c>
      <c r="C921" s="31">
        <v>645.0</v>
      </c>
    </row>
    <row r="922">
      <c r="A922" s="32">
        <f t="shared" si="1"/>
        <v>45117</v>
      </c>
      <c r="B922" s="30" t="s">
        <v>16</v>
      </c>
      <c r="C922" s="31" t="s">
        <v>17</v>
      </c>
    </row>
    <row r="923">
      <c r="A923" s="32">
        <f t="shared" si="1"/>
        <v>45118</v>
      </c>
      <c r="B923" s="30" t="s">
        <v>14</v>
      </c>
      <c r="C923" s="31">
        <v>520.0</v>
      </c>
    </row>
    <row r="924">
      <c r="A924" s="32">
        <f t="shared" si="1"/>
        <v>45119</v>
      </c>
      <c r="B924" s="30" t="s">
        <v>15</v>
      </c>
      <c r="C924" s="31">
        <v>925.0</v>
      </c>
    </row>
    <row r="925">
      <c r="A925" s="32">
        <f t="shared" si="1"/>
        <v>45120</v>
      </c>
      <c r="B925" s="30" t="s">
        <v>14</v>
      </c>
      <c r="C925" s="31">
        <v>595.0</v>
      </c>
    </row>
    <row r="926">
      <c r="A926" s="32">
        <f t="shared" si="1"/>
        <v>45121</v>
      </c>
      <c r="B926" s="30" t="s">
        <v>14</v>
      </c>
      <c r="C926" s="31">
        <v>885.0</v>
      </c>
    </row>
    <row r="927">
      <c r="A927" s="32">
        <f t="shared" si="1"/>
        <v>45122</v>
      </c>
      <c r="B927" s="30" t="s">
        <v>14</v>
      </c>
      <c r="C927" s="31">
        <v>585.0</v>
      </c>
    </row>
    <row r="928">
      <c r="A928" s="32">
        <f t="shared" si="1"/>
        <v>45123</v>
      </c>
      <c r="B928" s="30" t="s">
        <v>15</v>
      </c>
      <c r="C928" s="31">
        <v>670.0</v>
      </c>
    </row>
    <row r="929">
      <c r="A929" s="32">
        <f t="shared" si="1"/>
        <v>45124</v>
      </c>
      <c r="B929" s="30" t="s">
        <v>14</v>
      </c>
      <c r="C929" s="31">
        <v>840.0</v>
      </c>
    </row>
    <row r="930">
      <c r="A930" s="32">
        <f t="shared" si="1"/>
        <v>45125</v>
      </c>
      <c r="B930" s="30" t="s">
        <v>14</v>
      </c>
      <c r="C930" s="31">
        <v>870.0</v>
      </c>
    </row>
    <row r="931">
      <c r="A931" s="32">
        <f t="shared" si="1"/>
        <v>45126</v>
      </c>
      <c r="B931" s="30" t="s">
        <v>15</v>
      </c>
      <c r="C931" s="31">
        <v>945.0</v>
      </c>
    </row>
    <row r="932">
      <c r="A932" s="32">
        <f t="shared" si="1"/>
        <v>45127</v>
      </c>
      <c r="B932" s="30" t="s">
        <v>16</v>
      </c>
      <c r="C932" s="31" t="s">
        <v>17</v>
      </c>
    </row>
    <row r="933">
      <c r="A933" s="32">
        <f t="shared" si="1"/>
        <v>45128</v>
      </c>
      <c r="B933" s="30" t="s">
        <v>14</v>
      </c>
      <c r="C933" s="31">
        <v>940.0</v>
      </c>
    </row>
    <row r="934">
      <c r="A934" s="32">
        <f t="shared" si="1"/>
        <v>45129</v>
      </c>
      <c r="B934" s="30" t="s">
        <v>13</v>
      </c>
      <c r="C934" s="31">
        <v>795.0</v>
      </c>
    </row>
    <row r="935">
      <c r="A935" s="32">
        <f t="shared" si="1"/>
        <v>45130</v>
      </c>
      <c r="B935" s="30" t="s">
        <v>14</v>
      </c>
      <c r="C935" s="31">
        <v>520.0</v>
      </c>
    </row>
    <row r="936">
      <c r="A936" s="32">
        <f t="shared" si="1"/>
        <v>45131</v>
      </c>
      <c r="B936" s="30" t="s">
        <v>14</v>
      </c>
      <c r="C936" s="31">
        <v>590.0</v>
      </c>
    </row>
    <row r="937">
      <c r="A937" s="32">
        <f t="shared" si="1"/>
        <v>45132</v>
      </c>
      <c r="B937" s="30" t="s">
        <v>14</v>
      </c>
      <c r="C937" s="31">
        <v>925.0</v>
      </c>
    </row>
    <row r="938">
      <c r="A938" s="32">
        <f t="shared" si="1"/>
        <v>45133</v>
      </c>
      <c r="B938" s="30" t="s">
        <v>15</v>
      </c>
      <c r="C938" s="31">
        <v>520.0</v>
      </c>
    </row>
    <row r="939">
      <c r="A939" s="32">
        <f t="shared" si="1"/>
        <v>45134</v>
      </c>
      <c r="B939" s="30" t="s">
        <v>16</v>
      </c>
      <c r="C939" s="31" t="s">
        <v>17</v>
      </c>
    </row>
    <row r="940">
      <c r="A940" s="32">
        <f t="shared" si="1"/>
        <v>45135</v>
      </c>
      <c r="B940" s="30" t="s">
        <v>13</v>
      </c>
      <c r="C940" s="31">
        <v>710.0</v>
      </c>
    </row>
    <row r="941">
      <c r="A941" s="32">
        <f t="shared" si="1"/>
        <v>45136</v>
      </c>
      <c r="B941" s="30" t="s">
        <v>14</v>
      </c>
      <c r="C941" s="31">
        <v>975.0</v>
      </c>
    </row>
    <row r="942">
      <c r="A942" s="32">
        <f t="shared" si="1"/>
        <v>45137</v>
      </c>
      <c r="B942" s="30" t="s">
        <v>14</v>
      </c>
      <c r="C942" s="31">
        <v>725.0</v>
      </c>
    </row>
    <row r="943">
      <c r="A943" s="32">
        <f t="shared" si="1"/>
        <v>45138</v>
      </c>
      <c r="B943" s="30" t="s">
        <v>15</v>
      </c>
      <c r="C943" s="31">
        <v>970.0</v>
      </c>
    </row>
    <row r="944">
      <c r="A944" s="32">
        <f t="shared" si="1"/>
        <v>45139</v>
      </c>
      <c r="B944" s="30" t="s">
        <v>15</v>
      </c>
      <c r="C944" s="31">
        <v>740.0</v>
      </c>
    </row>
    <row r="945">
      <c r="A945" s="32">
        <f t="shared" si="1"/>
        <v>45140</v>
      </c>
      <c r="B945" s="30" t="s">
        <v>16</v>
      </c>
      <c r="C945" s="31" t="s">
        <v>17</v>
      </c>
    </row>
    <row r="946">
      <c r="A946" s="32">
        <f t="shared" si="1"/>
        <v>45141</v>
      </c>
      <c r="B946" s="30" t="s">
        <v>14</v>
      </c>
      <c r="C946" s="31">
        <v>700.0</v>
      </c>
    </row>
    <row r="947">
      <c r="A947" s="32">
        <f t="shared" si="1"/>
        <v>45142</v>
      </c>
      <c r="B947" s="30" t="s">
        <v>14</v>
      </c>
      <c r="C947" s="31">
        <v>835.0</v>
      </c>
    </row>
    <row r="948">
      <c r="A948" s="32">
        <f t="shared" si="1"/>
        <v>45143</v>
      </c>
      <c r="B948" s="30" t="s">
        <v>13</v>
      </c>
      <c r="C948" s="31">
        <v>720.0</v>
      </c>
    </row>
    <row r="949">
      <c r="A949" s="32">
        <f t="shared" si="1"/>
        <v>45144</v>
      </c>
      <c r="B949" s="30" t="s">
        <v>14</v>
      </c>
      <c r="C949" s="31">
        <v>910.0</v>
      </c>
    </row>
    <row r="950">
      <c r="A950" s="32">
        <f t="shared" si="1"/>
        <v>45145</v>
      </c>
      <c r="B950" s="30" t="s">
        <v>14</v>
      </c>
      <c r="C950" s="31">
        <v>925.0</v>
      </c>
    </row>
    <row r="951">
      <c r="A951" s="32">
        <f t="shared" si="1"/>
        <v>45146</v>
      </c>
      <c r="B951" s="30" t="s">
        <v>15</v>
      </c>
      <c r="C951" s="31">
        <v>615.0</v>
      </c>
    </row>
    <row r="952">
      <c r="A952" s="32">
        <f t="shared" si="1"/>
        <v>45147</v>
      </c>
      <c r="B952" s="30" t="s">
        <v>14</v>
      </c>
      <c r="C952" s="31">
        <v>510.0</v>
      </c>
    </row>
    <row r="953">
      <c r="A953" s="32">
        <f t="shared" si="1"/>
        <v>45148</v>
      </c>
      <c r="B953" s="30" t="s">
        <v>15</v>
      </c>
      <c r="C953" s="31">
        <v>505.0</v>
      </c>
    </row>
    <row r="954">
      <c r="A954" s="32">
        <f t="shared" si="1"/>
        <v>45149</v>
      </c>
      <c r="B954" s="30" t="s">
        <v>16</v>
      </c>
      <c r="C954" s="31" t="s">
        <v>17</v>
      </c>
    </row>
    <row r="955">
      <c r="A955" s="32">
        <f t="shared" si="1"/>
        <v>45150</v>
      </c>
      <c r="B955" s="30" t="s">
        <v>14</v>
      </c>
      <c r="C955" s="31">
        <v>820.0</v>
      </c>
    </row>
    <row r="956">
      <c r="A956" s="32">
        <f t="shared" si="1"/>
        <v>45151</v>
      </c>
      <c r="B956" s="30" t="s">
        <v>13</v>
      </c>
      <c r="C956" s="31">
        <v>640.0</v>
      </c>
    </row>
    <row r="957">
      <c r="A957" s="32">
        <f t="shared" si="1"/>
        <v>45152</v>
      </c>
      <c r="B957" s="30" t="s">
        <v>14</v>
      </c>
      <c r="C957" s="31">
        <v>800.0</v>
      </c>
    </row>
    <row r="958">
      <c r="A958" s="32">
        <f t="shared" si="1"/>
        <v>45153</v>
      </c>
      <c r="B958" s="30" t="s">
        <v>14</v>
      </c>
      <c r="C958" s="31">
        <v>565.0</v>
      </c>
    </row>
    <row r="959">
      <c r="A959" s="32">
        <f t="shared" si="1"/>
        <v>45154</v>
      </c>
      <c r="B959" s="30" t="s">
        <v>14</v>
      </c>
      <c r="C959" s="31">
        <v>560.0</v>
      </c>
    </row>
    <row r="960">
      <c r="A960" s="32">
        <f t="shared" si="1"/>
        <v>45155</v>
      </c>
      <c r="B960" s="30" t="s">
        <v>15</v>
      </c>
      <c r="C960" s="31">
        <v>775.0</v>
      </c>
    </row>
    <row r="961">
      <c r="A961" s="32">
        <f t="shared" si="1"/>
        <v>45156</v>
      </c>
      <c r="B961" s="30" t="s">
        <v>16</v>
      </c>
      <c r="C961" s="31" t="s">
        <v>17</v>
      </c>
    </row>
    <row r="962">
      <c r="A962" s="32">
        <f t="shared" si="1"/>
        <v>45157</v>
      </c>
      <c r="B962" s="30" t="s">
        <v>14</v>
      </c>
      <c r="C962" s="31">
        <v>980.0</v>
      </c>
    </row>
    <row r="963">
      <c r="A963" s="32">
        <f t="shared" si="1"/>
        <v>45158</v>
      </c>
      <c r="B963" s="30" t="s">
        <v>15</v>
      </c>
      <c r="C963" s="31">
        <v>855.0</v>
      </c>
    </row>
    <row r="964">
      <c r="A964" s="32">
        <f t="shared" si="1"/>
        <v>45159</v>
      </c>
      <c r="B964" s="30" t="s">
        <v>14</v>
      </c>
      <c r="C964" s="31">
        <v>860.0</v>
      </c>
    </row>
    <row r="965">
      <c r="A965" s="32">
        <f t="shared" si="1"/>
        <v>45160</v>
      </c>
      <c r="B965" s="30" t="s">
        <v>14</v>
      </c>
      <c r="C965" s="31">
        <v>715.0</v>
      </c>
    </row>
    <row r="966">
      <c r="A966" s="32">
        <f t="shared" si="1"/>
        <v>45161</v>
      </c>
      <c r="B966" s="30" t="s">
        <v>15</v>
      </c>
      <c r="C966" s="31">
        <v>825.0</v>
      </c>
    </row>
    <row r="967">
      <c r="A967" s="32">
        <f t="shared" si="1"/>
        <v>45162</v>
      </c>
      <c r="B967" s="30" t="s">
        <v>14</v>
      </c>
      <c r="C967" s="31">
        <v>735.0</v>
      </c>
    </row>
    <row r="968">
      <c r="A968" s="32">
        <f t="shared" si="1"/>
        <v>45163</v>
      </c>
      <c r="B968" s="30" t="s">
        <v>13</v>
      </c>
      <c r="C968" s="31">
        <v>925.0</v>
      </c>
    </row>
    <row r="969">
      <c r="A969" s="32">
        <f t="shared" si="1"/>
        <v>45164</v>
      </c>
      <c r="B969" s="30" t="s">
        <v>16</v>
      </c>
      <c r="C969" s="31" t="s">
        <v>17</v>
      </c>
    </row>
    <row r="970">
      <c r="A970" s="32">
        <f t="shared" si="1"/>
        <v>45165</v>
      </c>
      <c r="B970" s="30" t="s">
        <v>14</v>
      </c>
      <c r="C970" s="31">
        <v>995.0</v>
      </c>
    </row>
    <row r="971">
      <c r="A971" s="32">
        <f t="shared" si="1"/>
        <v>45166</v>
      </c>
      <c r="B971" s="30" t="s">
        <v>14</v>
      </c>
      <c r="C971" s="31">
        <v>845.0</v>
      </c>
    </row>
    <row r="972">
      <c r="A972" s="32">
        <f t="shared" si="1"/>
        <v>45167</v>
      </c>
      <c r="B972" s="30" t="s">
        <v>15</v>
      </c>
      <c r="C972" s="31">
        <v>935.0</v>
      </c>
    </row>
    <row r="973">
      <c r="A973" s="32">
        <f t="shared" si="1"/>
        <v>45168</v>
      </c>
      <c r="B973" s="30" t="s">
        <v>15</v>
      </c>
      <c r="C973" s="31">
        <v>900.0</v>
      </c>
    </row>
    <row r="974">
      <c r="A974" s="32">
        <f t="shared" si="1"/>
        <v>45169</v>
      </c>
      <c r="B974" s="30" t="s">
        <v>16</v>
      </c>
      <c r="C974" s="31" t="s">
        <v>17</v>
      </c>
    </row>
    <row r="975">
      <c r="A975" s="32">
        <f t="shared" si="1"/>
        <v>45170</v>
      </c>
      <c r="B975" s="30" t="s">
        <v>14</v>
      </c>
      <c r="C975" s="31">
        <v>835.0</v>
      </c>
    </row>
    <row r="976">
      <c r="A976" s="32">
        <f t="shared" si="1"/>
        <v>45171</v>
      </c>
      <c r="B976" s="30" t="s">
        <v>13</v>
      </c>
      <c r="C976" s="31">
        <v>895.0</v>
      </c>
    </row>
    <row r="977">
      <c r="A977" s="32">
        <f t="shared" si="1"/>
        <v>45172</v>
      </c>
      <c r="B977" s="30" t="s">
        <v>14</v>
      </c>
      <c r="C977" s="31">
        <v>825.0</v>
      </c>
    </row>
    <row r="978">
      <c r="A978" s="32">
        <f t="shared" si="1"/>
        <v>45173</v>
      </c>
      <c r="B978" s="30" t="s">
        <v>14</v>
      </c>
      <c r="C978" s="31">
        <v>990.0</v>
      </c>
    </row>
    <row r="979">
      <c r="A979" s="32">
        <f t="shared" si="1"/>
        <v>45174</v>
      </c>
      <c r="B979" s="30" t="s">
        <v>15</v>
      </c>
      <c r="C979" s="31">
        <v>805.0</v>
      </c>
    </row>
    <row r="980">
      <c r="A980" s="32">
        <f t="shared" si="1"/>
        <v>45175</v>
      </c>
      <c r="B980" s="30" t="s">
        <v>14</v>
      </c>
      <c r="C980" s="31">
        <v>860.0</v>
      </c>
    </row>
    <row r="981">
      <c r="A981" s="32">
        <f t="shared" si="1"/>
        <v>45176</v>
      </c>
      <c r="B981" s="30" t="s">
        <v>15</v>
      </c>
      <c r="C981" s="31">
        <v>845.0</v>
      </c>
    </row>
    <row r="982">
      <c r="A982" s="32">
        <f t="shared" si="1"/>
        <v>45177</v>
      </c>
      <c r="B982" s="30" t="s">
        <v>16</v>
      </c>
      <c r="C982" s="31" t="s">
        <v>17</v>
      </c>
    </row>
    <row r="983">
      <c r="A983" s="32">
        <f t="shared" si="1"/>
        <v>45178</v>
      </c>
      <c r="B983" s="30" t="s">
        <v>13</v>
      </c>
      <c r="C983" s="31">
        <v>750.0</v>
      </c>
    </row>
    <row r="984">
      <c r="A984" s="32">
        <f t="shared" si="1"/>
        <v>45179</v>
      </c>
      <c r="B984" s="30" t="s">
        <v>14</v>
      </c>
      <c r="C984" s="31">
        <v>940.0</v>
      </c>
    </row>
    <row r="985">
      <c r="A985" s="32">
        <f t="shared" si="1"/>
        <v>45180</v>
      </c>
      <c r="B985" s="30" t="s">
        <v>14</v>
      </c>
      <c r="C985" s="31">
        <v>920.0</v>
      </c>
    </row>
    <row r="986">
      <c r="A986" s="32">
        <f t="shared" si="1"/>
        <v>45181</v>
      </c>
      <c r="B986" s="30" t="s">
        <v>14</v>
      </c>
      <c r="C986" s="31">
        <v>555.0</v>
      </c>
    </row>
    <row r="987">
      <c r="A987" s="32">
        <f t="shared" si="1"/>
        <v>45182</v>
      </c>
      <c r="B987" s="30" t="s">
        <v>15</v>
      </c>
      <c r="C987" s="31">
        <v>620.0</v>
      </c>
    </row>
    <row r="988">
      <c r="A988" s="32">
        <f t="shared" si="1"/>
        <v>45183</v>
      </c>
      <c r="B988" s="30" t="s">
        <v>15</v>
      </c>
      <c r="C988" s="31">
        <v>615.0</v>
      </c>
    </row>
    <row r="989">
      <c r="A989" s="32">
        <f t="shared" si="1"/>
        <v>45184</v>
      </c>
      <c r="B989" s="30" t="s">
        <v>16</v>
      </c>
      <c r="C989" s="31" t="s">
        <v>17</v>
      </c>
    </row>
    <row r="990">
      <c r="A990" s="32">
        <f t="shared" si="1"/>
        <v>45185</v>
      </c>
      <c r="B990" s="30" t="s">
        <v>14</v>
      </c>
      <c r="C990" s="31">
        <v>520.0</v>
      </c>
    </row>
    <row r="991">
      <c r="A991" s="32">
        <f t="shared" si="1"/>
        <v>45186</v>
      </c>
      <c r="B991" s="30" t="s">
        <v>15</v>
      </c>
      <c r="C991" s="31">
        <v>940.0</v>
      </c>
    </row>
    <row r="992">
      <c r="A992" s="32">
        <f t="shared" si="1"/>
        <v>45187</v>
      </c>
      <c r="B992" s="30" t="s">
        <v>14</v>
      </c>
      <c r="C992" s="31">
        <v>640.0</v>
      </c>
    </row>
    <row r="993">
      <c r="A993" s="32">
        <f t="shared" si="1"/>
        <v>45188</v>
      </c>
      <c r="B993" s="30" t="s">
        <v>14</v>
      </c>
      <c r="C993" s="31">
        <v>685.0</v>
      </c>
    </row>
    <row r="994">
      <c r="A994" s="32">
        <f t="shared" si="1"/>
        <v>45189</v>
      </c>
      <c r="B994" s="30" t="s">
        <v>14</v>
      </c>
      <c r="C994" s="31">
        <v>985.0</v>
      </c>
    </row>
    <row r="995">
      <c r="A995" s="32">
        <f t="shared" si="1"/>
        <v>45190</v>
      </c>
      <c r="B995" s="30" t="s">
        <v>15</v>
      </c>
      <c r="C995" s="31">
        <v>760.0</v>
      </c>
    </row>
    <row r="996">
      <c r="A996" s="32">
        <f t="shared" si="1"/>
        <v>45191</v>
      </c>
      <c r="B996" s="30" t="s">
        <v>14</v>
      </c>
      <c r="C996" s="31">
        <v>780.0</v>
      </c>
    </row>
    <row r="997">
      <c r="A997" s="32">
        <f t="shared" si="1"/>
        <v>45192</v>
      </c>
      <c r="B997" s="30" t="s">
        <v>14</v>
      </c>
      <c r="C997" s="31">
        <v>990.0</v>
      </c>
    </row>
    <row r="998">
      <c r="A998" s="32">
        <f t="shared" si="1"/>
        <v>45193</v>
      </c>
      <c r="B998" s="30" t="s">
        <v>15</v>
      </c>
      <c r="C998" s="31">
        <v>845.0</v>
      </c>
    </row>
    <row r="999">
      <c r="A999" s="32">
        <f t="shared" si="1"/>
        <v>45194</v>
      </c>
      <c r="B999" s="30" t="s">
        <v>16</v>
      </c>
      <c r="C999" s="31" t="s">
        <v>17</v>
      </c>
    </row>
    <row r="1000">
      <c r="A1000" s="32">
        <f t="shared" si="1"/>
        <v>45195</v>
      </c>
      <c r="B1000" s="30" t="s">
        <v>14</v>
      </c>
      <c r="C1000" s="31">
        <v>710.0</v>
      </c>
    </row>
    <row r="1001">
      <c r="A1001" s="32"/>
    </row>
    <row r="1002">
      <c r="A1002" s="32"/>
    </row>
    <row r="1003">
      <c r="A1003" s="32"/>
    </row>
    <row r="1004">
      <c r="A1004" s="32"/>
    </row>
    <row r="1005">
      <c r="A1005" s="32"/>
    </row>
    <row r="1006">
      <c r="A1006" s="32"/>
    </row>
    <row r="1007">
      <c r="A1007" s="32"/>
    </row>
    <row r="1008">
      <c r="A1008" s="32"/>
    </row>
    <row r="1009">
      <c r="A1009" s="32"/>
    </row>
    <row r="1010">
      <c r="A1010" s="32"/>
    </row>
    <row r="1011">
      <c r="A1011" s="32"/>
    </row>
    <row r="1012">
      <c r="A1012" s="32"/>
    </row>
    <row r="1013">
      <c r="A1013" s="32"/>
    </row>
    <row r="1014">
      <c r="A1014" s="32"/>
    </row>
    <row r="1015">
      <c r="A1015" s="32"/>
    </row>
    <row r="1016">
      <c r="A1016" s="32"/>
    </row>
    <row r="1017">
      <c r="A1017" s="32"/>
    </row>
    <row r="1018">
      <c r="A1018" s="32"/>
    </row>
    <row r="1019">
      <c r="A1019" s="32"/>
    </row>
    <row r="1020">
      <c r="A1020" s="32"/>
    </row>
    <row r="1021">
      <c r="A1021" s="32"/>
    </row>
    <row r="1022">
      <c r="A1022" s="32"/>
    </row>
    <row r="1023">
      <c r="A1023" s="32"/>
    </row>
    <row r="1024">
      <c r="A1024" s="32"/>
    </row>
    <row r="1025">
      <c r="A1025" s="32"/>
    </row>
    <row r="1026">
      <c r="A1026" s="32"/>
    </row>
    <row r="1027">
      <c r="A1027" s="32"/>
    </row>
    <row r="1028">
      <c r="A1028" s="32"/>
    </row>
    <row r="1029">
      <c r="A1029" s="32"/>
    </row>
    <row r="1030">
      <c r="A1030" s="32"/>
    </row>
    <row r="1031">
      <c r="A1031" s="32"/>
    </row>
    <row r="1032">
      <c r="A1032" s="32"/>
    </row>
    <row r="1033">
      <c r="A1033" s="32"/>
    </row>
    <row r="1034">
      <c r="A1034" s="32"/>
    </row>
    <row r="1035">
      <c r="A1035" s="32"/>
    </row>
    <row r="1036">
      <c r="A1036" s="32"/>
    </row>
    <row r="1037">
      <c r="A1037" s="32"/>
    </row>
    <row r="1038">
      <c r="A1038" s="32"/>
    </row>
    <row r="1039">
      <c r="A1039" s="32"/>
    </row>
    <row r="1040">
      <c r="A1040" s="32"/>
    </row>
    <row r="1041">
      <c r="A1041" s="32"/>
    </row>
    <row r="1042">
      <c r="A1042" s="32"/>
    </row>
    <row r="1043">
      <c r="A1043" s="32"/>
    </row>
    <row r="1044">
      <c r="A1044" s="32"/>
    </row>
    <row r="1045">
      <c r="A1045" s="32"/>
    </row>
    <row r="1046">
      <c r="A1046" s="32"/>
    </row>
    <row r="1047">
      <c r="A1047" s="32"/>
    </row>
    <row r="1048">
      <c r="A1048" s="32"/>
    </row>
    <row r="1049">
      <c r="A1049" s="32"/>
    </row>
    <row r="1050">
      <c r="A1050" s="32"/>
    </row>
    <row r="1051">
      <c r="A1051" s="32"/>
    </row>
    <row r="1052">
      <c r="A1052" s="32"/>
    </row>
    <row r="1053">
      <c r="A1053" s="32"/>
    </row>
    <row r="1054">
      <c r="A1054" s="32"/>
    </row>
    <row r="1055">
      <c r="A1055" s="32"/>
    </row>
    <row r="1056">
      <c r="A1056" s="32"/>
    </row>
    <row r="1057">
      <c r="A1057" s="32"/>
    </row>
    <row r="1058">
      <c r="A1058" s="32"/>
    </row>
    <row r="1059">
      <c r="A1059" s="32"/>
    </row>
    <row r="1060">
      <c r="A1060" s="32"/>
    </row>
    <row r="1061">
      <c r="A1061" s="32"/>
    </row>
    <row r="1062">
      <c r="A1062" s="32"/>
    </row>
    <row r="1063">
      <c r="A1063" s="32"/>
    </row>
    <row r="1064">
      <c r="A1064" s="32"/>
    </row>
    <row r="1065">
      <c r="A1065" s="32"/>
    </row>
    <row r="1066">
      <c r="A1066" s="32"/>
    </row>
    <row r="1067">
      <c r="A1067" s="32"/>
    </row>
    <row r="1068">
      <c r="A1068" s="32"/>
    </row>
    <row r="1069">
      <c r="A1069" s="32"/>
    </row>
    <row r="1070">
      <c r="A1070" s="32"/>
    </row>
    <row r="1071">
      <c r="A1071" s="32"/>
    </row>
    <row r="1072">
      <c r="A1072" s="32"/>
    </row>
    <row r="1073">
      <c r="A1073" s="32"/>
    </row>
    <row r="1074">
      <c r="A1074" s="32"/>
    </row>
    <row r="1075">
      <c r="A1075" s="32"/>
    </row>
    <row r="1076">
      <c r="A1076" s="32"/>
    </row>
    <row r="1077">
      <c r="A1077" s="32"/>
    </row>
    <row r="1078">
      <c r="A1078" s="32"/>
    </row>
    <row r="1079">
      <c r="A1079" s="32"/>
    </row>
    <row r="1080">
      <c r="A1080" s="32"/>
    </row>
    <row r="1081">
      <c r="A1081" s="32"/>
    </row>
    <row r="1082">
      <c r="A1082" s="32"/>
    </row>
    <row r="1083">
      <c r="A1083" s="32"/>
    </row>
    <row r="1084">
      <c r="A1084" s="32"/>
    </row>
    <row r="1085">
      <c r="A1085" s="32"/>
    </row>
    <row r="1086">
      <c r="A1086" s="32"/>
    </row>
    <row r="1087">
      <c r="A1087" s="32"/>
    </row>
    <row r="1088">
      <c r="A1088" s="32"/>
    </row>
    <row r="1089">
      <c r="A1089" s="32"/>
    </row>
    <row r="1090">
      <c r="A1090" s="32"/>
    </row>
    <row r="1091">
      <c r="A1091" s="32"/>
    </row>
    <row r="1092">
      <c r="A1092" s="32"/>
    </row>
    <row r="1093">
      <c r="A1093" s="32"/>
    </row>
    <row r="1094">
      <c r="A1094" s="32"/>
    </row>
    <row r="1095">
      <c r="A1095" s="32"/>
    </row>
    <row r="1096">
      <c r="A1096" s="32"/>
    </row>
    <row r="1097">
      <c r="A1097" s="32"/>
    </row>
    <row r="1098">
      <c r="A1098" s="32"/>
    </row>
    <row r="1099">
      <c r="A1099" s="32"/>
    </row>
    <row r="1100">
      <c r="A1100" s="32"/>
    </row>
    <row r="1101">
      <c r="A1101" s="32"/>
    </row>
    <row r="1102">
      <c r="A1102" s="32"/>
    </row>
    <row r="1103">
      <c r="A1103" s="32"/>
    </row>
    <row r="1104">
      <c r="A1104" s="32"/>
    </row>
    <row r="1105">
      <c r="A1105" s="32"/>
    </row>
    <row r="1106">
      <c r="A1106" s="32"/>
    </row>
    <row r="1107">
      <c r="A1107" s="32"/>
    </row>
    <row r="1108">
      <c r="A1108" s="32"/>
    </row>
    <row r="1109">
      <c r="A1109" s="32"/>
    </row>
    <row r="1110">
      <c r="A1110" s="32"/>
    </row>
    <row r="1111">
      <c r="A1111" s="32"/>
    </row>
    <row r="1112">
      <c r="A1112" s="32"/>
    </row>
    <row r="1113">
      <c r="A1113" s="32"/>
    </row>
    <row r="1114">
      <c r="A1114" s="32"/>
    </row>
    <row r="1115">
      <c r="A1115" s="32"/>
    </row>
    <row r="1116">
      <c r="A1116" s="32"/>
    </row>
    <row r="1117">
      <c r="A1117" s="32"/>
    </row>
    <row r="1118">
      <c r="A1118" s="32"/>
    </row>
    <row r="1119">
      <c r="A1119" s="32"/>
    </row>
    <row r="1120">
      <c r="A1120" s="32"/>
    </row>
    <row r="1121">
      <c r="A1121" s="32"/>
    </row>
    <row r="1122">
      <c r="A1122" s="32"/>
    </row>
    <row r="1123">
      <c r="A1123" s="32"/>
    </row>
    <row r="1124">
      <c r="A1124" s="32"/>
    </row>
    <row r="1125">
      <c r="A1125" s="32"/>
    </row>
    <row r="1126">
      <c r="A1126" s="32"/>
    </row>
    <row r="1127">
      <c r="A1127" s="32"/>
    </row>
    <row r="1128">
      <c r="A1128" s="32"/>
    </row>
    <row r="1129">
      <c r="A1129" s="32"/>
    </row>
    <row r="1130">
      <c r="A1130" s="32"/>
    </row>
    <row r="1131">
      <c r="A1131" s="32"/>
    </row>
    <row r="1132">
      <c r="A1132" s="32"/>
    </row>
    <row r="1133">
      <c r="A1133" s="32"/>
    </row>
    <row r="1134">
      <c r="A1134" s="32"/>
    </row>
    <row r="1135">
      <c r="A1135" s="32"/>
    </row>
    <row r="1136">
      <c r="A1136" s="32"/>
    </row>
    <row r="1137">
      <c r="A1137" s="32"/>
    </row>
    <row r="1138">
      <c r="A1138" s="32"/>
    </row>
    <row r="1139">
      <c r="A1139" s="32"/>
    </row>
    <row r="1140">
      <c r="A1140" s="32"/>
    </row>
    <row r="1141">
      <c r="A1141" s="32"/>
    </row>
    <row r="1142">
      <c r="A1142" s="32"/>
    </row>
    <row r="1143">
      <c r="A1143" s="32"/>
    </row>
    <row r="1144">
      <c r="A1144" s="32"/>
    </row>
    <row r="1145">
      <c r="A1145" s="32"/>
    </row>
    <row r="1146">
      <c r="A1146" s="32"/>
    </row>
    <row r="1147">
      <c r="A1147" s="32"/>
    </row>
    <row r="1148">
      <c r="A1148" s="32"/>
    </row>
    <row r="1149">
      <c r="A1149" s="32"/>
    </row>
    <row r="1150">
      <c r="A1150" s="32"/>
    </row>
    <row r="1151">
      <c r="A1151" s="32"/>
    </row>
    <row r="1152">
      <c r="A1152" s="32"/>
    </row>
    <row r="1153">
      <c r="A1153" s="32"/>
    </row>
    <row r="1154">
      <c r="A1154" s="32"/>
    </row>
    <row r="1155">
      <c r="A1155" s="32"/>
    </row>
    <row r="1156">
      <c r="A1156" s="32"/>
    </row>
    <row r="1157">
      <c r="A1157" s="32"/>
    </row>
    <row r="1158">
      <c r="A1158" s="32"/>
    </row>
    <row r="1159">
      <c r="A1159" s="32"/>
    </row>
    <row r="1160">
      <c r="A1160" s="32"/>
    </row>
    <row r="1161">
      <c r="A1161" s="32"/>
    </row>
    <row r="1162">
      <c r="A1162" s="32"/>
    </row>
    <row r="1163">
      <c r="A1163" s="32"/>
    </row>
    <row r="1164">
      <c r="A1164" s="32"/>
    </row>
    <row r="1165">
      <c r="A1165" s="32"/>
    </row>
    <row r="1166">
      <c r="A1166" s="32"/>
    </row>
    <row r="1167">
      <c r="A1167" s="32"/>
    </row>
    <row r="1168">
      <c r="A1168" s="32"/>
    </row>
    <row r="1169">
      <c r="A1169" s="32"/>
    </row>
    <row r="1170">
      <c r="A1170" s="32"/>
    </row>
    <row r="1171">
      <c r="A1171" s="32"/>
    </row>
    <row r="1172">
      <c r="A1172" s="32"/>
    </row>
    <row r="1173">
      <c r="A1173" s="32"/>
    </row>
    <row r="1174">
      <c r="A1174" s="32"/>
    </row>
    <row r="1175">
      <c r="A1175" s="32"/>
    </row>
    <row r="1176">
      <c r="A1176" s="32"/>
    </row>
    <row r="1177">
      <c r="A1177" s="32"/>
    </row>
    <row r="1178">
      <c r="A1178" s="32"/>
    </row>
    <row r="1179">
      <c r="A1179" s="32"/>
    </row>
    <row r="1180">
      <c r="A1180" s="32"/>
    </row>
    <row r="1181">
      <c r="A1181" s="32"/>
    </row>
    <row r="1182">
      <c r="A1182" s="32"/>
    </row>
    <row r="1183">
      <c r="A1183" s="32"/>
    </row>
    <row r="1184">
      <c r="A1184" s="32"/>
    </row>
    <row r="1185">
      <c r="A1185" s="32"/>
    </row>
    <row r="1186">
      <c r="A1186" s="32"/>
    </row>
    <row r="1187">
      <c r="A1187" s="32"/>
    </row>
    <row r="1188">
      <c r="A1188" s="32"/>
    </row>
    <row r="1189">
      <c r="A1189" s="32"/>
    </row>
    <row r="1190">
      <c r="A1190" s="32"/>
    </row>
    <row r="1191">
      <c r="A1191" s="32"/>
    </row>
    <row r="1192">
      <c r="A1192" s="32"/>
    </row>
    <row r="1193">
      <c r="A1193" s="32"/>
    </row>
    <row r="1194">
      <c r="A1194" s="32"/>
    </row>
    <row r="1195">
      <c r="A1195" s="32"/>
    </row>
    <row r="1196">
      <c r="A1196" s="32"/>
    </row>
    <row r="1197">
      <c r="A1197" s="32"/>
    </row>
    <row r="1198">
      <c r="A1198" s="32"/>
    </row>
    <row r="1199">
      <c r="A1199" s="32"/>
    </row>
    <row r="1200">
      <c r="A1200" s="32"/>
    </row>
    <row r="1201">
      <c r="A1201" s="32"/>
    </row>
    <row r="1202">
      <c r="A1202" s="32"/>
    </row>
    <row r="1203">
      <c r="A1203" s="32"/>
    </row>
    <row r="1204">
      <c r="A1204" s="32"/>
    </row>
    <row r="1205">
      <c r="A1205" s="32"/>
    </row>
    <row r="1206">
      <c r="A1206" s="32"/>
    </row>
    <row r="1207">
      <c r="A1207" s="32"/>
    </row>
    <row r="1208">
      <c r="A1208" s="32"/>
    </row>
    <row r="1209">
      <c r="A1209" s="32"/>
    </row>
    <row r="1210">
      <c r="A1210" s="32"/>
    </row>
    <row r="1211">
      <c r="A1211" s="32"/>
    </row>
    <row r="1212">
      <c r="A1212" s="32"/>
    </row>
    <row r="1213">
      <c r="A1213" s="32"/>
    </row>
    <row r="1214">
      <c r="A1214" s="32"/>
    </row>
    <row r="1215">
      <c r="A1215" s="32"/>
    </row>
    <row r="1216">
      <c r="A1216" s="32"/>
    </row>
    <row r="1217">
      <c r="A1217" s="32"/>
    </row>
    <row r="1218">
      <c r="A1218" s="32"/>
    </row>
    <row r="1219">
      <c r="A1219" s="32"/>
    </row>
    <row r="1220">
      <c r="A1220" s="32"/>
    </row>
    <row r="1221">
      <c r="A1221" s="32"/>
    </row>
    <row r="1222">
      <c r="A1222" s="32"/>
    </row>
    <row r="1223">
      <c r="A1223" s="32"/>
    </row>
    <row r="1224">
      <c r="A1224" s="32"/>
    </row>
    <row r="1225">
      <c r="A1225" s="32"/>
    </row>
    <row r="1226">
      <c r="A1226" s="32"/>
    </row>
    <row r="1227">
      <c r="A1227" s="32"/>
    </row>
    <row r="1228">
      <c r="A1228" s="32"/>
    </row>
    <row r="1229">
      <c r="A1229" s="32"/>
    </row>
    <row r="1230">
      <c r="A1230" s="32"/>
    </row>
    <row r="1231">
      <c r="A1231" s="32"/>
    </row>
    <row r="1232">
      <c r="A1232" s="32"/>
    </row>
    <row r="1233">
      <c r="A1233" s="32"/>
    </row>
    <row r="1234">
      <c r="A1234" s="32"/>
    </row>
    <row r="1235">
      <c r="A1235" s="32"/>
    </row>
    <row r="1236">
      <c r="A1236" s="32"/>
    </row>
    <row r="1237">
      <c r="A1237" s="32"/>
    </row>
    <row r="1238">
      <c r="A1238" s="32"/>
    </row>
    <row r="1239">
      <c r="A1239" s="32"/>
    </row>
    <row r="1240">
      <c r="A1240" s="32"/>
    </row>
    <row r="1241">
      <c r="A1241" s="32"/>
    </row>
    <row r="1242">
      <c r="A1242" s="32"/>
    </row>
    <row r="1243">
      <c r="A1243" s="32"/>
    </row>
    <row r="1244">
      <c r="A1244" s="32"/>
    </row>
    <row r="1245">
      <c r="A1245" s="32"/>
    </row>
    <row r="1246">
      <c r="A1246" s="32"/>
    </row>
    <row r="1247">
      <c r="A1247" s="32"/>
    </row>
    <row r="1248">
      <c r="A1248" s="32"/>
    </row>
    <row r="1249">
      <c r="A1249" s="32"/>
    </row>
    <row r="1250">
      <c r="A1250" s="32"/>
    </row>
    <row r="1251">
      <c r="A1251" s="32"/>
    </row>
    <row r="1252">
      <c r="A1252" s="32"/>
    </row>
    <row r="1253">
      <c r="A1253" s="32"/>
    </row>
    <row r="1254">
      <c r="A1254" s="32"/>
    </row>
    <row r="1255">
      <c r="A1255" s="32"/>
    </row>
    <row r="1256">
      <c r="A1256" s="32"/>
    </row>
    <row r="1257">
      <c r="A1257" s="32"/>
    </row>
    <row r="1258">
      <c r="A1258" s="32"/>
    </row>
    <row r="1259">
      <c r="A1259" s="32"/>
    </row>
    <row r="1260">
      <c r="A1260" s="32"/>
    </row>
    <row r="1261">
      <c r="A1261" s="32"/>
    </row>
    <row r="1262">
      <c r="A1262" s="32"/>
    </row>
    <row r="1263">
      <c r="A1263" s="32"/>
    </row>
    <row r="1264">
      <c r="A1264" s="32"/>
    </row>
    <row r="1265">
      <c r="A1265" s="32"/>
    </row>
    <row r="1266">
      <c r="A1266" s="32"/>
    </row>
    <row r="1267">
      <c r="A1267" s="32"/>
    </row>
    <row r="1268">
      <c r="A1268" s="32"/>
    </row>
    <row r="1269">
      <c r="A1269" s="32"/>
    </row>
    <row r="1270">
      <c r="A1270" s="32"/>
    </row>
    <row r="1271">
      <c r="A1271" s="32"/>
    </row>
    <row r="1272">
      <c r="A1272" s="32"/>
    </row>
    <row r="1273">
      <c r="A1273" s="32"/>
    </row>
    <row r="1274">
      <c r="A1274" s="32"/>
    </row>
    <row r="1275">
      <c r="A1275" s="32"/>
    </row>
    <row r="1276">
      <c r="A1276" s="32"/>
    </row>
    <row r="1277">
      <c r="A1277" s="32"/>
    </row>
    <row r="1278">
      <c r="A1278" s="32"/>
    </row>
    <row r="1279">
      <c r="A1279" s="32"/>
    </row>
    <row r="1280">
      <c r="A1280" s="32"/>
    </row>
    <row r="1281">
      <c r="A1281" s="32"/>
    </row>
    <row r="1282">
      <c r="A1282" s="32"/>
    </row>
    <row r="1283">
      <c r="A1283" s="32"/>
    </row>
    <row r="1284">
      <c r="A1284" s="32"/>
    </row>
    <row r="1285">
      <c r="A1285" s="32"/>
    </row>
    <row r="1286">
      <c r="A1286" s="32"/>
    </row>
    <row r="1287">
      <c r="A1287" s="32"/>
    </row>
    <row r="1288">
      <c r="A1288" s="32"/>
    </row>
    <row r="1289">
      <c r="A1289" s="32"/>
    </row>
    <row r="1290">
      <c r="A1290" s="32"/>
    </row>
    <row r="1291">
      <c r="A1291" s="32"/>
    </row>
    <row r="1292">
      <c r="A1292" s="32"/>
    </row>
    <row r="1293">
      <c r="A1293" s="32"/>
    </row>
    <row r="1294">
      <c r="A1294" s="32"/>
    </row>
    <row r="1295">
      <c r="A1295" s="32"/>
    </row>
    <row r="1296">
      <c r="A1296" s="32"/>
    </row>
    <row r="1297">
      <c r="A1297" s="32"/>
    </row>
    <row r="1298">
      <c r="A1298" s="32"/>
    </row>
    <row r="1299">
      <c r="A1299" s="32"/>
    </row>
    <row r="1300">
      <c r="A1300" s="32"/>
    </row>
    <row r="1301">
      <c r="A1301" s="32"/>
    </row>
    <row r="1302">
      <c r="A1302" s="32"/>
    </row>
    <row r="1303">
      <c r="A1303" s="32"/>
    </row>
    <row r="1304">
      <c r="A1304" s="32"/>
    </row>
    <row r="1305">
      <c r="A1305" s="32"/>
    </row>
    <row r="1306">
      <c r="A1306" s="32"/>
    </row>
    <row r="1307">
      <c r="A1307" s="32"/>
    </row>
    <row r="1308">
      <c r="A1308" s="32"/>
    </row>
    <row r="1309">
      <c r="A1309" s="32"/>
    </row>
    <row r="1310">
      <c r="A1310" s="32"/>
    </row>
    <row r="1311">
      <c r="A1311" s="32"/>
    </row>
    <row r="1312">
      <c r="A1312" s="32"/>
    </row>
    <row r="1313">
      <c r="A1313" s="32"/>
    </row>
    <row r="1314">
      <c r="A1314" s="32"/>
    </row>
    <row r="1315">
      <c r="A1315" s="32"/>
    </row>
    <row r="1316">
      <c r="A1316" s="32"/>
    </row>
    <row r="1317">
      <c r="A1317" s="32"/>
    </row>
    <row r="1318">
      <c r="A1318" s="32"/>
    </row>
    <row r="1319">
      <c r="A1319" s="32"/>
    </row>
    <row r="1320">
      <c r="A1320" s="32"/>
    </row>
    <row r="1321">
      <c r="A1321" s="32"/>
    </row>
    <row r="1322">
      <c r="A1322" s="32"/>
    </row>
    <row r="1323">
      <c r="A1323" s="32"/>
    </row>
    <row r="1324">
      <c r="A1324" s="32"/>
    </row>
    <row r="1325">
      <c r="A1325" s="32"/>
    </row>
    <row r="1326">
      <c r="A1326" s="32"/>
    </row>
    <row r="1327">
      <c r="A1327" s="32"/>
    </row>
    <row r="1328">
      <c r="A1328" s="32"/>
    </row>
    <row r="1329">
      <c r="A1329" s="32"/>
    </row>
    <row r="1330">
      <c r="A1330" s="32"/>
    </row>
    <row r="1331">
      <c r="A1331" s="32"/>
    </row>
    <row r="1332">
      <c r="A1332" s="32"/>
    </row>
    <row r="1333">
      <c r="A1333" s="32"/>
    </row>
    <row r="1334">
      <c r="A1334" s="32"/>
    </row>
    <row r="1335">
      <c r="A1335" s="32"/>
    </row>
    <row r="1336">
      <c r="A1336" s="32"/>
    </row>
    <row r="1337">
      <c r="A1337" s="32"/>
    </row>
    <row r="1338">
      <c r="A1338" s="32"/>
    </row>
    <row r="1339">
      <c r="A1339" s="32"/>
    </row>
    <row r="1340">
      <c r="A1340" s="32"/>
    </row>
    <row r="1341">
      <c r="A1341" s="32"/>
    </row>
    <row r="1342">
      <c r="A1342" s="32"/>
    </row>
    <row r="1343">
      <c r="A1343" s="32"/>
    </row>
    <row r="1344">
      <c r="A1344" s="32"/>
    </row>
    <row r="1345">
      <c r="A1345" s="32"/>
    </row>
    <row r="1346">
      <c r="A1346" s="32"/>
    </row>
    <row r="1347">
      <c r="A1347" s="32"/>
    </row>
    <row r="1348">
      <c r="A1348" s="32"/>
    </row>
    <row r="1349">
      <c r="A1349" s="32"/>
    </row>
    <row r="1350">
      <c r="A1350" s="32"/>
    </row>
    <row r="1351">
      <c r="A1351" s="32"/>
    </row>
    <row r="1352">
      <c r="A1352" s="32"/>
    </row>
    <row r="1353">
      <c r="A1353" s="32"/>
    </row>
    <row r="1354">
      <c r="A1354" s="32"/>
    </row>
    <row r="1355">
      <c r="A1355" s="32"/>
    </row>
    <row r="1356">
      <c r="A1356" s="32"/>
    </row>
    <row r="1357">
      <c r="A1357" s="32"/>
    </row>
    <row r="1358">
      <c r="A1358" s="32"/>
    </row>
    <row r="1359">
      <c r="A1359" s="32"/>
    </row>
    <row r="1360">
      <c r="A1360" s="32"/>
    </row>
    <row r="1361">
      <c r="A1361" s="32"/>
    </row>
    <row r="1362">
      <c r="A1362" s="32"/>
    </row>
    <row r="1363">
      <c r="A1363" s="32"/>
    </row>
    <row r="1364">
      <c r="A1364" s="32"/>
    </row>
    <row r="1365">
      <c r="A1365" s="32"/>
    </row>
    <row r="1366">
      <c r="A1366" s="32"/>
    </row>
    <row r="1367">
      <c r="A1367" s="32"/>
    </row>
    <row r="1368">
      <c r="A1368" s="32"/>
    </row>
    <row r="1369">
      <c r="A1369" s="32"/>
    </row>
    <row r="1370">
      <c r="A1370" s="32"/>
    </row>
    <row r="1371">
      <c r="A1371" s="32"/>
    </row>
    <row r="1372">
      <c r="A1372" s="32"/>
    </row>
    <row r="1373">
      <c r="A1373" s="32"/>
    </row>
    <row r="1374">
      <c r="A1374" s="32"/>
    </row>
    <row r="1375">
      <c r="A1375" s="32"/>
    </row>
    <row r="1376">
      <c r="A1376" s="32"/>
    </row>
    <row r="1377">
      <c r="A1377" s="32"/>
    </row>
    <row r="1378">
      <c r="A1378" s="32"/>
    </row>
    <row r="1379">
      <c r="A1379" s="32"/>
    </row>
    <row r="1380">
      <c r="A1380" s="32"/>
    </row>
    <row r="1381">
      <c r="A1381" s="32"/>
    </row>
    <row r="1382">
      <c r="A1382" s="32"/>
    </row>
    <row r="1383">
      <c r="A1383" s="32"/>
    </row>
    <row r="1384">
      <c r="A1384" s="32"/>
    </row>
    <row r="1385">
      <c r="A1385" s="32"/>
    </row>
    <row r="1386">
      <c r="A1386" s="32"/>
    </row>
    <row r="1387">
      <c r="A1387" s="32"/>
    </row>
    <row r="1388">
      <c r="A1388" s="32"/>
    </row>
    <row r="1389">
      <c r="A1389" s="32"/>
    </row>
    <row r="1390">
      <c r="A1390" s="32"/>
    </row>
    <row r="1391">
      <c r="A1391" s="32"/>
    </row>
    <row r="1392">
      <c r="A1392" s="32"/>
    </row>
    <row r="1393">
      <c r="A1393" s="32"/>
    </row>
    <row r="1394">
      <c r="A1394" s="32"/>
    </row>
    <row r="1395">
      <c r="A1395" s="32"/>
    </row>
    <row r="1396">
      <c r="A1396" s="32"/>
    </row>
    <row r="1397">
      <c r="A1397" s="32"/>
    </row>
    <row r="1398">
      <c r="A1398" s="32"/>
    </row>
    <row r="1399">
      <c r="A1399" s="32"/>
    </row>
    <row r="1400">
      <c r="A1400" s="32"/>
    </row>
    <row r="1401">
      <c r="A1401" s="32"/>
    </row>
    <row r="1402">
      <c r="A1402" s="32"/>
    </row>
    <row r="1403">
      <c r="A1403" s="32"/>
    </row>
    <row r="1404">
      <c r="A1404" s="32"/>
    </row>
    <row r="1405">
      <c r="A1405" s="32"/>
    </row>
    <row r="1406">
      <c r="A1406" s="32"/>
    </row>
    <row r="1407">
      <c r="A1407" s="32"/>
    </row>
    <row r="1408">
      <c r="A1408" s="32"/>
    </row>
    <row r="1409">
      <c r="A1409" s="32"/>
    </row>
    <row r="1410">
      <c r="A1410" s="32"/>
    </row>
    <row r="1411">
      <c r="A1411" s="32"/>
    </row>
    <row r="1412">
      <c r="A1412" s="32"/>
    </row>
    <row r="1413">
      <c r="A1413" s="32"/>
    </row>
    <row r="1414">
      <c r="A1414" s="32"/>
    </row>
    <row r="1415">
      <c r="A1415" s="32"/>
    </row>
    <row r="1416">
      <c r="A1416" s="32"/>
    </row>
    <row r="1417">
      <c r="A1417" s="32"/>
    </row>
    <row r="1418">
      <c r="A1418" s="32"/>
    </row>
    <row r="1419">
      <c r="A1419" s="32"/>
    </row>
    <row r="1420">
      <c r="A1420" s="32"/>
    </row>
    <row r="1421">
      <c r="A1421" s="32"/>
    </row>
    <row r="1422">
      <c r="A1422" s="32"/>
    </row>
    <row r="1423">
      <c r="A1423" s="32"/>
    </row>
    <row r="1424">
      <c r="A1424" s="32"/>
    </row>
    <row r="1425">
      <c r="A1425" s="32"/>
    </row>
    <row r="1426">
      <c r="A1426" s="32"/>
    </row>
    <row r="1427">
      <c r="A1427" s="32"/>
    </row>
    <row r="1428">
      <c r="A1428" s="32"/>
    </row>
    <row r="1429">
      <c r="A1429" s="32"/>
    </row>
    <row r="1430">
      <c r="A1430" s="32"/>
    </row>
    <row r="1431">
      <c r="A1431" s="32"/>
    </row>
    <row r="1432">
      <c r="A1432" s="32"/>
    </row>
    <row r="1433">
      <c r="A1433" s="32"/>
    </row>
    <row r="1434">
      <c r="A1434" s="32"/>
    </row>
    <row r="1435">
      <c r="A1435" s="32"/>
    </row>
    <row r="1436">
      <c r="A1436" s="32"/>
    </row>
    <row r="1437">
      <c r="A1437" s="32"/>
    </row>
    <row r="1438">
      <c r="A1438" s="32"/>
    </row>
    <row r="1439">
      <c r="A1439" s="32"/>
    </row>
    <row r="1440">
      <c r="A1440" s="32"/>
    </row>
    <row r="1441">
      <c r="A1441" s="32"/>
    </row>
    <row r="1442">
      <c r="A1442" s="32"/>
    </row>
    <row r="1443">
      <c r="A1443" s="32"/>
    </row>
    <row r="1444">
      <c r="A1444" s="32"/>
    </row>
    <row r="1445">
      <c r="A1445" s="32"/>
    </row>
    <row r="1446">
      <c r="A1446" s="32"/>
    </row>
    <row r="1447">
      <c r="A1447" s="32"/>
    </row>
    <row r="1448">
      <c r="A1448" s="32"/>
    </row>
    <row r="1449">
      <c r="A1449" s="32"/>
    </row>
    <row r="1450">
      <c r="A1450" s="32"/>
    </row>
    <row r="1451">
      <c r="A1451" s="32"/>
    </row>
    <row r="1452">
      <c r="A1452" s="32"/>
    </row>
    <row r="1453">
      <c r="A1453" s="32"/>
    </row>
    <row r="1454">
      <c r="A1454" s="32"/>
    </row>
    <row r="1455">
      <c r="A1455" s="32"/>
    </row>
    <row r="1456">
      <c r="A1456" s="32"/>
    </row>
    <row r="1457">
      <c r="A1457" s="32"/>
    </row>
    <row r="1458">
      <c r="A1458" s="32"/>
    </row>
    <row r="1459">
      <c r="A1459" s="32"/>
    </row>
    <row r="1460">
      <c r="A1460" s="32"/>
    </row>
    <row r="1461">
      <c r="A1461" s="32"/>
    </row>
    <row r="1462">
      <c r="A1462" s="32"/>
    </row>
    <row r="1463">
      <c r="A1463" s="32"/>
    </row>
    <row r="1464">
      <c r="A1464" s="32"/>
    </row>
    <row r="1465">
      <c r="A1465" s="32"/>
    </row>
    <row r="1466">
      <c r="A1466" s="32"/>
    </row>
    <row r="1467">
      <c r="A1467" s="32"/>
    </row>
    <row r="1468">
      <c r="A1468" s="32"/>
    </row>
    <row r="1469">
      <c r="A1469" s="32"/>
    </row>
    <row r="1470">
      <c r="A1470" s="32"/>
    </row>
    <row r="1471">
      <c r="A1471" s="32"/>
    </row>
    <row r="1472">
      <c r="A1472" s="32"/>
    </row>
    <row r="1473">
      <c r="A1473" s="32"/>
    </row>
    <row r="1474">
      <c r="A1474" s="32"/>
    </row>
    <row r="1475">
      <c r="A1475" s="32"/>
    </row>
    <row r="1476">
      <c r="A1476" s="32"/>
    </row>
    <row r="1477">
      <c r="A1477" s="32"/>
    </row>
    <row r="1478">
      <c r="A1478" s="32"/>
    </row>
    <row r="1479">
      <c r="A1479" s="32"/>
    </row>
    <row r="1480">
      <c r="A1480" s="32"/>
    </row>
    <row r="1481">
      <c r="A1481" s="32"/>
    </row>
    <row r="1482">
      <c r="A1482" s="32"/>
    </row>
    <row r="1483">
      <c r="A1483" s="32"/>
    </row>
    <row r="1484">
      <c r="A1484" s="32"/>
    </row>
    <row r="1485">
      <c r="A1485" s="32"/>
    </row>
    <row r="1486">
      <c r="A1486" s="32"/>
    </row>
    <row r="1487">
      <c r="A1487" s="32"/>
    </row>
    <row r="1488">
      <c r="A1488" s="32"/>
    </row>
    <row r="1489">
      <c r="A1489" s="32"/>
    </row>
    <row r="1490">
      <c r="A1490" s="32"/>
    </row>
    <row r="1491">
      <c r="A1491" s="32"/>
    </row>
    <row r="1492">
      <c r="A1492" s="32"/>
    </row>
    <row r="1493">
      <c r="A1493" s="32"/>
    </row>
    <row r="1494">
      <c r="A1494" s="32"/>
    </row>
    <row r="1495">
      <c r="A1495" s="32"/>
    </row>
    <row r="1496">
      <c r="A1496" s="32"/>
    </row>
    <row r="1497">
      <c r="A1497" s="32"/>
    </row>
    <row r="1498">
      <c r="A1498" s="32"/>
    </row>
    <row r="1499">
      <c r="A1499" s="32"/>
    </row>
    <row r="1500">
      <c r="A1500" s="32"/>
    </row>
    <row r="1501">
      <c r="A1501" s="32"/>
    </row>
    <row r="1502">
      <c r="A1502" s="32"/>
    </row>
    <row r="1503">
      <c r="A1503" s="32"/>
    </row>
    <row r="1504">
      <c r="A1504" s="32"/>
    </row>
    <row r="1505">
      <c r="A1505" s="32"/>
    </row>
    <row r="1506">
      <c r="A1506" s="32"/>
    </row>
    <row r="1507">
      <c r="A1507" s="32"/>
    </row>
    <row r="1508">
      <c r="A1508" s="32"/>
    </row>
    <row r="1509">
      <c r="A1509" s="32"/>
    </row>
    <row r="1510">
      <c r="A1510" s="32"/>
    </row>
    <row r="1511">
      <c r="A1511" s="32"/>
    </row>
    <row r="1512">
      <c r="A1512" s="32"/>
    </row>
    <row r="1513">
      <c r="A1513" s="32"/>
    </row>
    <row r="1514">
      <c r="A1514" s="32"/>
    </row>
    <row r="1515">
      <c r="A1515" s="32"/>
    </row>
    <row r="1516">
      <c r="A1516" s="32"/>
    </row>
    <row r="1517">
      <c r="A1517" s="32"/>
    </row>
    <row r="1518">
      <c r="A1518" s="32"/>
    </row>
    <row r="1519">
      <c r="A1519" s="32"/>
    </row>
    <row r="1520">
      <c r="A1520" s="32"/>
    </row>
    <row r="1521">
      <c r="A1521" s="32"/>
    </row>
    <row r="1522">
      <c r="A1522" s="32"/>
    </row>
    <row r="1523">
      <c r="A1523" s="32"/>
    </row>
    <row r="1524">
      <c r="A1524" s="32"/>
    </row>
    <row r="1525">
      <c r="A1525" s="32"/>
    </row>
    <row r="1526">
      <c r="A1526" s="32"/>
    </row>
    <row r="1527">
      <c r="A1527" s="32"/>
    </row>
    <row r="1528">
      <c r="A1528" s="32"/>
    </row>
    <row r="1529">
      <c r="A1529" s="32"/>
    </row>
    <row r="1530">
      <c r="A1530" s="32"/>
    </row>
    <row r="1531">
      <c r="A1531" s="32"/>
    </row>
    <row r="1532">
      <c r="A1532" s="32"/>
    </row>
    <row r="1533">
      <c r="A1533" s="32"/>
    </row>
    <row r="1534">
      <c r="A1534" s="32"/>
    </row>
    <row r="1535">
      <c r="A1535" s="32"/>
    </row>
    <row r="1536">
      <c r="A1536" s="32"/>
    </row>
    <row r="1537">
      <c r="A1537" s="32"/>
    </row>
    <row r="1538">
      <c r="A1538" s="32"/>
    </row>
    <row r="1539">
      <c r="A1539" s="32"/>
    </row>
    <row r="1540">
      <c r="A1540" s="32"/>
    </row>
    <row r="1541">
      <c r="A1541" s="32"/>
    </row>
    <row r="1542">
      <c r="A1542" s="32"/>
    </row>
    <row r="1543">
      <c r="A1543" s="32"/>
    </row>
    <row r="1544">
      <c r="A1544" s="32"/>
    </row>
    <row r="1545">
      <c r="A1545" s="32"/>
    </row>
    <row r="1546">
      <c r="A1546" s="32"/>
    </row>
    <row r="1547">
      <c r="A1547" s="32"/>
    </row>
    <row r="1548">
      <c r="A1548" s="32"/>
    </row>
    <row r="1549">
      <c r="A1549" s="32"/>
    </row>
    <row r="1550">
      <c r="A1550" s="32"/>
    </row>
    <row r="1551">
      <c r="A1551" s="32"/>
    </row>
    <row r="1552">
      <c r="A1552" s="32"/>
    </row>
    <row r="1553">
      <c r="A1553" s="32"/>
    </row>
    <row r="1554">
      <c r="A1554" s="32"/>
    </row>
    <row r="1555">
      <c r="A1555" s="32"/>
    </row>
    <row r="1556">
      <c r="A1556" s="32"/>
    </row>
    <row r="1557">
      <c r="A1557" s="32"/>
    </row>
    <row r="1558">
      <c r="A1558" s="32"/>
    </row>
    <row r="1559">
      <c r="A1559" s="32"/>
    </row>
    <row r="1560">
      <c r="A1560" s="32"/>
    </row>
    <row r="1561">
      <c r="A1561" s="32"/>
    </row>
    <row r="1562">
      <c r="A1562" s="32"/>
    </row>
    <row r="1563">
      <c r="A1563" s="32"/>
    </row>
    <row r="1564">
      <c r="A1564" s="32"/>
    </row>
    <row r="1565">
      <c r="A1565" s="32"/>
    </row>
    <row r="1566">
      <c r="A1566" s="32"/>
    </row>
    <row r="1567">
      <c r="A1567" s="32"/>
    </row>
    <row r="1568">
      <c r="A1568" s="32"/>
    </row>
    <row r="1569">
      <c r="A1569" s="32"/>
    </row>
    <row r="1570">
      <c r="A1570" s="32"/>
    </row>
    <row r="1571">
      <c r="A1571" s="32"/>
    </row>
    <row r="1572">
      <c r="A1572" s="32"/>
    </row>
    <row r="1573">
      <c r="A1573" s="32"/>
    </row>
    <row r="1574">
      <c r="A1574" s="32"/>
    </row>
    <row r="1575">
      <c r="A1575" s="32"/>
    </row>
    <row r="1576">
      <c r="A1576" s="32"/>
    </row>
    <row r="1577">
      <c r="A1577" s="32"/>
    </row>
    <row r="1578">
      <c r="A1578" s="32"/>
    </row>
    <row r="1579">
      <c r="A1579" s="32"/>
    </row>
    <row r="1580">
      <c r="A1580" s="32"/>
    </row>
    <row r="1581">
      <c r="A1581" s="32"/>
    </row>
    <row r="1582">
      <c r="A1582" s="32"/>
    </row>
    <row r="1583">
      <c r="A1583" s="32"/>
    </row>
    <row r="1584">
      <c r="A1584" s="32"/>
    </row>
    <row r="1585">
      <c r="A1585" s="32"/>
    </row>
    <row r="1586">
      <c r="A1586" s="32"/>
    </row>
    <row r="1587">
      <c r="A1587" s="32"/>
    </row>
    <row r="1588">
      <c r="A1588" s="32"/>
    </row>
    <row r="1589">
      <c r="A1589" s="32"/>
    </row>
    <row r="1590">
      <c r="A1590" s="32"/>
    </row>
    <row r="1591">
      <c r="A1591" s="32"/>
    </row>
    <row r="1592">
      <c r="A1592" s="32"/>
    </row>
    <row r="1593">
      <c r="A1593" s="32"/>
    </row>
    <row r="1594">
      <c r="A1594" s="32"/>
    </row>
    <row r="1595">
      <c r="A1595" s="32"/>
    </row>
    <row r="1596">
      <c r="A1596" s="32"/>
    </row>
    <row r="1597">
      <c r="A1597" s="32"/>
    </row>
    <row r="1598">
      <c r="A1598" s="32"/>
    </row>
    <row r="1599">
      <c r="A1599" s="32"/>
    </row>
    <row r="1600">
      <c r="A1600" s="32"/>
    </row>
    <row r="1601">
      <c r="A1601" s="32"/>
    </row>
    <row r="1602">
      <c r="A1602" s="32"/>
    </row>
    <row r="1603">
      <c r="A1603" s="32"/>
    </row>
    <row r="1604">
      <c r="A1604" s="32"/>
    </row>
    <row r="1605">
      <c r="A1605" s="32"/>
    </row>
    <row r="1606">
      <c r="A1606" s="32"/>
    </row>
    <row r="1607">
      <c r="A1607" s="32"/>
    </row>
    <row r="1608">
      <c r="A1608" s="32"/>
    </row>
    <row r="1609">
      <c r="A1609" s="32"/>
    </row>
    <row r="1610">
      <c r="A1610" s="32"/>
    </row>
    <row r="1611">
      <c r="A1611" s="32"/>
    </row>
    <row r="1612">
      <c r="A1612" s="32"/>
    </row>
    <row r="1613">
      <c r="A1613" s="32"/>
    </row>
    <row r="1614">
      <c r="A1614" s="32"/>
    </row>
    <row r="1615">
      <c r="A1615" s="32"/>
    </row>
    <row r="1616">
      <c r="A1616" s="32"/>
    </row>
    <row r="1617">
      <c r="A1617" s="32"/>
    </row>
    <row r="1618">
      <c r="A1618" s="32"/>
    </row>
    <row r="1619">
      <c r="A1619" s="32"/>
    </row>
    <row r="1620">
      <c r="A1620" s="32"/>
    </row>
    <row r="1621">
      <c r="A1621" s="32"/>
    </row>
    <row r="1622">
      <c r="A1622" s="32"/>
    </row>
    <row r="1623">
      <c r="A1623" s="32"/>
    </row>
    <row r="1624">
      <c r="A1624" s="32"/>
    </row>
    <row r="1625">
      <c r="A1625" s="32"/>
    </row>
    <row r="1626">
      <c r="A1626" s="32"/>
    </row>
    <row r="1627">
      <c r="A1627" s="32"/>
    </row>
    <row r="1628">
      <c r="A1628" s="32"/>
    </row>
    <row r="1629">
      <c r="A1629" s="32"/>
    </row>
    <row r="1630">
      <c r="A1630" s="32"/>
    </row>
    <row r="1631">
      <c r="A1631" s="32"/>
    </row>
    <row r="1632">
      <c r="A1632" s="32"/>
    </row>
    <row r="1633">
      <c r="A1633" s="32"/>
    </row>
    <row r="1634">
      <c r="A1634" s="32"/>
    </row>
    <row r="1635">
      <c r="A1635" s="32"/>
    </row>
    <row r="1636">
      <c r="A1636" s="32"/>
    </row>
    <row r="1637">
      <c r="A1637" s="32"/>
    </row>
    <row r="1638">
      <c r="A1638" s="32"/>
    </row>
    <row r="1639">
      <c r="A1639" s="32"/>
    </row>
    <row r="1640">
      <c r="A1640" s="32"/>
    </row>
    <row r="1641">
      <c r="A1641" s="32"/>
    </row>
    <row r="1642">
      <c r="A1642" s="32"/>
    </row>
    <row r="1643">
      <c r="A1643" s="32"/>
    </row>
    <row r="1644">
      <c r="A1644" s="32"/>
    </row>
    <row r="1645">
      <c r="A1645" s="32"/>
    </row>
    <row r="1646">
      <c r="A1646" s="32"/>
    </row>
    <row r="1647">
      <c r="A1647" s="32"/>
    </row>
    <row r="1648">
      <c r="A1648" s="32"/>
    </row>
    <row r="1649">
      <c r="A1649" s="32"/>
    </row>
    <row r="1650">
      <c r="A1650" s="32"/>
    </row>
    <row r="1651">
      <c r="A1651" s="32"/>
    </row>
    <row r="1652">
      <c r="A1652" s="32"/>
    </row>
    <row r="1653">
      <c r="A1653" s="32"/>
    </row>
    <row r="1654">
      <c r="A1654" s="32"/>
    </row>
    <row r="1655">
      <c r="A1655" s="32"/>
    </row>
    <row r="1656">
      <c r="A1656" s="32"/>
    </row>
    <row r="1657">
      <c r="A1657" s="32"/>
    </row>
    <row r="1658">
      <c r="A1658" s="32"/>
    </row>
    <row r="1659">
      <c r="A1659" s="32"/>
    </row>
    <row r="1660">
      <c r="A1660" s="32"/>
    </row>
    <row r="1661">
      <c r="A1661" s="32"/>
    </row>
    <row r="1662">
      <c r="A1662" s="32"/>
    </row>
    <row r="1663">
      <c r="A1663" s="32"/>
    </row>
    <row r="1664">
      <c r="A1664" s="32"/>
    </row>
    <row r="1665">
      <c r="A1665" s="32"/>
    </row>
    <row r="1666">
      <c r="A1666" s="32"/>
    </row>
    <row r="1667">
      <c r="A1667" s="32"/>
    </row>
    <row r="1668">
      <c r="A1668" s="32"/>
    </row>
    <row r="1669">
      <c r="A1669" s="32"/>
    </row>
    <row r="1670">
      <c r="A1670" s="32"/>
    </row>
    <row r="1671">
      <c r="A1671" s="32"/>
    </row>
    <row r="1672">
      <c r="A1672" s="32"/>
    </row>
    <row r="1673">
      <c r="A1673" s="32"/>
    </row>
    <row r="1674">
      <c r="A1674" s="32"/>
    </row>
    <row r="1675">
      <c r="A1675" s="32"/>
    </row>
    <row r="1676">
      <c r="A1676" s="32"/>
    </row>
    <row r="1677">
      <c r="A1677" s="32"/>
    </row>
    <row r="1678">
      <c r="A1678" s="32"/>
    </row>
    <row r="1679">
      <c r="A1679" s="32"/>
    </row>
    <row r="1680">
      <c r="A1680" s="32"/>
    </row>
    <row r="1681">
      <c r="A1681" s="32"/>
    </row>
    <row r="1682">
      <c r="A1682" s="32"/>
    </row>
    <row r="1683">
      <c r="A1683" s="32"/>
    </row>
    <row r="1684">
      <c r="A1684" s="32"/>
    </row>
    <row r="1685">
      <c r="A1685" s="32"/>
    </row>
    <row r="1686">
      <c r="A1686" s="32"/>
    </row>
    <row r="1687">
      <c r="A1687" s="32"/>
    </row>
    <row r="1688">
      <c r="A1688" s="32"/>
    </row>
    <row r="1689">
      <c r="A1689" s="32"/>
    </row>
    <row r="1690">
      <c r="A1690" s="32"/>
    </row>
    <row r="1691">
      <c r="A1691" s="32"/>
    </row>
    <row r="1692">
      <c r="A1692" s="32"/>
    </row>
    <row r="1693">
      <c r="A1693" s="32"/>
    </row>
    <row r="1694">
      <c r="A1694" s="32"/>
    </row>
    <row r="1695">
      <c r="A1695" s="32"/>
    </row>
    <row r="1696">
      <c r="A1696" s="32"/>
    </row>
    <row r="1697">
      <c r="A1697" s="32"/>
    </row>
    <row r="1698">
      <c r="A1698" s="32"/>
    </row>
    <row r="1699">
      <c r="A1699" s="32"/>
    </row>
    <row r="1700">
      <c r="A1700" s="32"/>
    </row>
    <row r="1701">
      <c r="A1701" s="32"/>
    </row>
    <row r="1702">
      <c r="A1702" s="32"/>
    </row>
    <row r="1703">
      <c r="A1703" s="32"/>
    </row>
    <row r="1704">
      <c r="A1704" s="32"/>
    </row>
    <row r="1705">
      <c r="A1705" s="32"/>
    </row>
    <row r="1706">
      <c r="A1706" s="32"/>
    </row>
    <row r="1707">
      <c r="A1707" s="32"/>
    </row>
    <row r="1708">
      <c r="A1708" s="32"/>
    </row>
    <row r="1709">
      <c r="A1709" s="32"/>
    </row>
    <row r="1710">
      <c r="A1710" s="32"/>
    </row>
    <row r="1711">
      <c r="A1711" s="32"/>
    </row>
    <row r="1712">
      <c r="A1712" s="32"/>
    </row>
    <row r="1713">
      <c r="A1713" s="32"/>
    </row>
    <row r="1714">
      <c r="A1714" s="32"/>
    </row>
    <row r="1715">
      <c r="A1715" s="32"/>
    </row>
    <row r="1716">
      <c r="A1716" s="32"/>
    </row>
    <row r="1717">
      <c r="A1717" s="32"/>
    </row>
    <row r="1718">
      <c r="A1718" s="32"/>
    </row>
    <row r="1719">
      <c r="A1719" s="32"/>
    </row>
    <row r="1720">
      <c r="A1720" s="32"/>
    </row>
    <row r="1721">
      <c r="A1721" s="32"/>
    </row>
    <row r="1722">
      <c r="A1722" s="32"/>
    </row>
    <row r="1723">
      <c r="A1723" s="32"/>
    </row>
    <row r="1724">
      <c r="A1724" s="32"/>
    </row>
    <row r="1725">
      <c r="A1725" s="32"/>
    </row>
    <row r="1726">
      <c r="A1726" s="32"/>
    </row>
    <row r="1727">
      <c r="A1727" s="32"/>
    </row>
    <row r="1728">
      <c r="A1728" s="32"/>
    </row>
    <row r="1729">
      <c r="A1729" s="32"/>
    </row>
    <row r="1730">
      <c r="A1730" s="32"/>
    </row>
    <row r="1731">
      <c r="A1731" s="32"/>
    </row>
    <row r="1732">
      <c r="A1732" s="32"/>
    </row>
    <row r="1733">
      <c r="A1733" s="32"/>
    </row>
    <row r="1734">
      <c r="A1734" s="32"/>
    </row>
    <row r="1735">
      <c r="A1735" s="32"/>
    </row>
    <row r="1736">
      <c r="A1736" s="32"/>
    </row>
    <row r="1737">
      <c r="A1737" s="32"/>
    </row>
    <row r="1738">
      <c r="A1738" s="32"/>
    </row>
    <row r="1739">
      <c r="A1739" s="32"/>
    </row>
    <row r="1740">
      <c r="A1740" s="32"/>
    </row>
    <row r="1741">
      <c r="A1741" s="32"/>
    </row>
    <row r="1742">
      <c r="A1742" s="32"/>
    </row>
    <row r="1743">
      <c r="A1743" s="32"/>
    </row>
    <row r="1744">
      <c r="A1744" s="32"/>
    </row>
    <row r="1745">
      <c r="A1745" s="32"/>
    </row>
    <row r="1746">
      <c r="A1746" s="32"/>
    </row>
    <row r="1747">
      <c r="A1747" s="32"/>
    </row>
    <row r="1748">
      <c r="A1748" s="32"/>
    </row>
    <row r="1749">
      <c r="A1749" s="32"/>
    </row>
    <row r="1750">
      <c r="A1750" s="32"/>
    </row>
    <row r="1751">
      <c r="A1751" s="32"/>
    </row>
    <row r="1752">
      <c r="A1752" s="32"/>
    </row>
    <row r="1753">
      <c r="A1753" s="32"/>
    </row>
    <row r="1754">
      <c r="A1754" s="32"/>
    </row>
    <row r="1755">
      <c r="A1755" s="32"/>
    </row>
    <row r="1756">
      <c r="A1756" s="32"/>
    </row>
    <row r="1757">
      <c r="A1757" s="32"/>
    </row>
    <row r="1758">
      <c r="A1758" s="32"/>
    </row>
    <row r="1759">
      <c r="A1759" s="32"/>
    </row>
    <row r="1760">
      <c r="A1760" s="32"/>
    </row>
    <row r="1761">
      <c r="A1761" s="32"/>
    </row>
    <row r="1762">
      <c r="A1762" s="32"/>
    </row>
    <row r="1763">
      <c r="A1763" s="32"/>
    </row>
    <row r="1764">
      <c r="A1764" s="32"/>
    </row>
    <row r="1765">
      <c r="A1765" s="32"/>
    </row>
    <row r="1766">
      <c r="A1766" s="32"/>
    </row>
    <row r="1767">
      <c r="A1767" s="32"/>
    </row>
    <row r="1768">
      <c r="A1768" s="32"/>
    </row>
    <row r="1769">
      <c r="A1769" s="32"/>
    </row>
    <row r="1770">
      <c r="A1770" s="32"/>
    </row>
    <row r="1771">
      <c r="A1771" s="32"/>
    </row>
    <row r="1772">
      <c r="A1772" s="32"/>
    </row>
    <row r="1773">
      <c r="A1773" s="32"/>
    </row>
    <row r="1774">
      <c r="A1774" s="32"/>
    </row>
    <row r="1775">
      <c r="A1775" s="32"/>
    </row>
    <row r="1776">
      <c r="A1776" s="32"/>
    </row>
    <row r="1777">
      <c r="A1777" s="32"/>
    </row>
    <row r="1778">
      <c r="A1778" s="32"/>
    </row>
    <row r="1779">
      <c r="A1779" s="32"/>
    </row>
    <row r="1780">
      <c r="A1780" s="32"/>
    </row>
    <row r="1781">
      <c r="A1781" s="32"/>
    </row>
    <row r="1782">
      <c r="A1782" s="32"/>
    </row>
    <row r="1783">
      <c r="A1783" s="32"/>
    </row>
    <row r="1784">
      <c r="A1784" s="32"/>
    </row>
    <row r="1785">
      <c r="A1785" s="32"/>
    </row>
    <row r="1786">
      <c r="A1786" s="32"/>
    </row>
    <row r="1787">
      <c r="A1787" s="32"/>
    </row>
    <row r="1788">
      <c r="A1788" s="32"/>
    </row>
    <row r="1789">
      <c r="A1789" s="32"/>
    </row>
    <row r="1790">
      <c r="A1790" s="32"/>
    </row>
    <row r="1791">
      <c r="A1791" s="32"/>
    </row>
    <row r="1792">
      <c r="A1792" s="32"/>
    </row>
    <row r="1793">
      <c r="A1793" s="32"/>
    </row>
    <row r="1794">
      <c r="A1794" s="32"/>
    </row>
    <row r="1795">
      <c r="A1795" s="32"/>
    </row>
    <row r="1796">
      <c r="A1796" s="32"/>
    </row>
    <row r="1797">
      <c r="A1797" s="32"/>
    </row>
    <row r="1798">
      <c r="A1798" s="32"/>
    </row>
    <row r="1799">
      <c r="A1799" s="32"/>
    </row>
    <row r="1800">
      <c r="A1800" s="32"/>
    </row>
    <row r="1801">
      <c r="A1801" s="32"/>
    </row>
    <row r="1802">
      <c r="A1802" s="32"/>
    </row>
    <row r="1803">
      <c r="A1803" s="32"/>
    </row>
    <row r="1804">
      <c r="A1804" s="32"/>
    </row>
    <row r="1805">
      <c r="A1805" s="32"/>
    </row>
    <row r="1806">
      <c r="A1806" s="32"/>
    </row>
    <row r="1807">
      <c r="A1807" s="32"/>
    </row>
    <row r="1808">
      <c r="A1808" s="32"/>
    </row>
    <row r="1809">
      <c r="A1809" s="32"/>
    </row>
    <row r="1810">
      <c r="A1810" s="32"/>
    </row>
    <row r="1811">
      <c r="A1811" s="32"/>
    </row>
    <row r="1812">
      <c r="A1812" s="32"/>
    </row>
    <row r="1813">
      <c r="A1813" s="32"/>
    </row>
    <row r="1814">
      <c r="A1814" s="32"/>
    </row>
    <row r="1815">
      <c r="A1815" s="32"/>
    </row>
    <row r="1816">
      <c r="A1816" s="32"/>
    </row>
    <row r="1817">
      <c r="A1817" s="32"/>
    </row>
    <row r="1818">
      <c r="A1818" s="32"/>
    </row>
    <row r="1819">
      <c r="A1819" s="32"/>
    </row>
    <row r="1820">
      <c r="A1820" s="32"/>
    </row>
    <row r="1821">
      <c r="A1821" s="32"/>
    </row>
    <row r="1822">
      <c r="A1822" s="32"/>
    </row>
    <row r="1823">
      <c r="A1823" s="32"/>
    </row>
    <row r="1824">
      <c r="A1824" s="32"/>
    </row>
    <row r="1825">
      <c r="A1825" s="32"/>
    </row>
    <row r="1826">
      <c r="A1826" s="32"/>
    </row>
    <row r="1827">
      <c r="A1827" s="32"/>
    </row>
    <row r="1828">
      <c r="A1828" s="32"/>
    </row>
    <row r="1829">
      <c r="A1829" s="32"/>
    </row>
    <row r="1830">
      <c r="A1830" s="32"/>
    </row>
    <row r="1831">
      <c r="A1831" s="32"/>
    </row>
    <row r="1832">
      <c r="A1832" s="32"/>
    </row>
    <row r="1833">
      <c r="A1833" s="32"/>
    </row>
    <row r="1834">
      <c r="A1834" s="32"/>
    </row>
    <row r="1835">
      <c r="A1835" s="32"/>
    </row>
    <row r="1836">
      <c r="A1836" s="32"/>
    </row>
    <row r="1837">
      <c r="A1837" s="32"/>
    </row>
    <row r="1838">
      <c r="A1838" s="32"/>
    </row>
    <row r="1839">
      <c r="A1839" s="32"/>
    </row>
    <row r="1840">
      <c r="A1840" s="32"/>
    </row>
    <row r="1841">
      <c r="A1841" s="32"/>
    </row>
    <row r="1842">
      <c r="A1842" s="32"/>
    </row>
    <row r="1843">
      <c r="A1843" s="32"/>
    </row>
    <row r="1844">
      <c r="A1844" s="32"/>
    </row>
    <row r="1845">
      <c r="A1845" s="32"/>
    </row>
    <row r="1846">
      <c r="A1846" s="32"/>
    </row>
    <row r="1847">
      <c r="A1847" s="32"/>
    </row>
    <row r="1848">
      <c r="A1848" s="32"/>
    </row>
    <row r="1849">
      <c r="A1849" s="32"/>
    </row>
    <row r="1850">
      <c r="A1850" s="32"/>
    </row>
    <row r="1851">
      <c r="A1851" s="32"/>
    </row>
    <row r="1852">
      <c r="A1852" s="32"/>
    </row>
    <row r="1853">
      <c r="A1853" s="32"/>
    </row>
    <row r="1854">
      <c r="A1854" s="32"/>
    </row>
    <row r="1855">
      <c r="A1855" s="32"/>
    </row>
    <row r="1856">
      <c r="A1856" s="32"/>
    </row>
    <row r="1857">
      <c r="A1857" s="32"/>
    </row>
    <row r="1858">
      <c r="A1858" s="32"/>
    </row>
    <row r="1859">
      <c r="A1859" s="32"/>
    </row>
    <row r="1860">
      <c r="A1860" s="32"/>
    </row>
    <row r="1861">
      <c r="A1861" s="32"/>
    </row>
    <row r="1862">
      <c r="A1862" s="32"/>
    </row>
    <row r="1863">
      <c r="A1863" s="32"/>
    </row>
    <row r="1864">
      <c r="A1864" s="32"/>
    </row>
    <row r="1865">
      <c r="A1865" s="32"/>
    </row>
    <row r="1866">
      <c r="A1866" s="32"/>
    </row>
    <row r="1867">
      <c r="A1867" s="32"/>
    </row>
    <row r="1868">
      <c r="A1868" s="32"/>
    </row>
    <row r="1869">
      <c r="A1869" s="32"/>
    </row>
    <row r="1870">
      <c r="A1870" s="32"/>
    </row>
    <row r="1871">
      <c r="A1871" s="32"/>
    </row>
    <row r="1872">
      <c r="A1872" s="32"/>
    </row>
    <row r="1873">
      <c r="A1873" s="32"/>
    </row>
    <row r="1874">
      <c r="A1874" s="32"/>
    </row>
    <row r="1875">
      <c r="A1875" s="32"/>
    </row>
    <row r="1876">
      <c r="A1876" s="32"/>
    </row>
    <row r="1877">
      <c r="A1877" s="32"/>
    </row>
    <row r="1878">
      <c r="A1878" s="32"/>
    </row>
    <row r="1879">
      <c r="A1879" s="32"/>
    </row>
    <row r="1880">
      <c r="A1880" s="32"/>
    </row>
    <row r="1881">
      <c r="A1881" s="32"/>
    </row>
    <row r="1882">
      <c r="A1882" s="32"/>
    </row>
    <row r="1883">
      <c r="A1883" s="32"/>
    </row>
    <row r="1884">
      <c r="A1884" s="32"/>
    </row>
    <row r="1885">
      <c r="A1885" s="32"/>
    </row>
    <row r="1886">
      <c r="A1886" s="32"/>
    </row>
    <row r="1887">
      <c r="A1887" s="32"/>
    </row>
    <row r="1888">
      <c r="A1888" s="32"/>
    </row>
    <row r="1889">
      <c r="A1889" s="32"/>
    </row>
    <row r="1890">
      <c r="A1890" s="32"/>
    </row>
    <row r="1891">
      <c r="A1891" s="32"/>
    </row>
    <row r="1892">
      <c r="A1892" s="32"/>
    </row>
    <row r="1893">
      <c r="A1893" s="32"/>
    </row>
    <row r="1894">
      <c r="A1894" s="32"/>
    </row>
    <row r="1895">
      <c r="A1895" s="32"/>
    </row>
    <row r="1896">
      <c r="A1896" s="32"/>
    </row>
    <row r="1897">
      <c r="A1897" s="32"/>
    </row>
    <row r="1898">
      <c r="A1898" s="32"/>
    </row>
    <row r="1899">
      <c r="A1899" s="32"/>
    </row>
    <row r="1900">
      <c r="A1900" s="32"/>
    </row>
    <row r="1901">
      <c r="A1901" s="32"/>
    </row>
    <row r="1902">
      <c r="A1902" s="32"/>
    </row>
    <row r="1903">
      <c r="A1903" s="32"/>
    </row>
    <row r="1904">
      <c r="A1904" s="32"/>
    </row>
    <row r="1905">
      <c r="A1905" s="32"/>
    </row>
    <row r="1906">
      <c r="A1906" s="32"/>
    </row>
    <row r="1907">
      <c r="A1907" s="32"/>
    </row>
    <row r="1908">
      <c r="A1908" s="32"/>
    </row>
    <row r="1909">
      <c r="A1909" s="32"/>
    </row>
    <row r="1910">
      <c r="A1910" s="32"/>
    </row>
    <row r="1911">
      <c r="A1911" s="32"/>
    </row>
    <row r="1912">
      <c r="A1912" s="32"/>
    </row>
    <row r="1913">
      <c r="A1913" s="32"/>
    </row>
    <row r="1914">
      <c r="A1914" s="32"/>
    </row>
    <row r="1915">
      <c r="A1915" s="32"/>
    </row>
    <row r="1916">
      <c r="A1916" s="32"/>
    </row>
    <row r="1917">
      <c r="A1917" s="32"/>
    </row>
    <row r="1918">
      <c r="A1918" s="32"/>
    </row>
    <row r="1919">
      <c r="A1919" s="32"/>
    </row>
    <row r="1920">
      <c r="A1920" s="32"/>
    </row>
    <row r="1921">
      <c r="A1921" s="32"/>
    </row>
    <row r="1922">
      <c r="A1922" s="32"/>
    </row>
    <row r="1923">
      <c r="A1923" s="32"/>
    </row>
    <row r="1924">
      <c r="A1924" s="32"/>
    </row>
    <row r="1925">
      <c r="A1925" s="32"/>
    </row>
    <row r="1926">
      <c r="A1926" s="32"/>
    </row>
    <row r="1927">
      <c r="A1927" s="32"/>
    </row>
    <row r="1928">
      <c r="A1928" s="32"/>
    </row>
    <row r="1929">
      <c r="A1929" s="32"/>
    </row>
    <row r="1930">
      <c r="A1930" s="32"/>
    </row>
    <row r="1931">
      <c r="A1931" s="32"/>
    </row>
    <row r="1932">
      <c r="A1932" s="32"/>
    </row>
    <row r="1933">
      <c r="A1933" s="32"/>
    </row>
    <row r="1934">
      <c r="A1934" s="32"/>
    </row>
    <row r="1935">
      <c r="A1935" s="32"/>
    </row>
    <row r="1936">
      <c r="A1936" s="32"/>
    </row>
    <row r="1937">
      <c r="A1937" s="32"/>
    </row>
    <row r="1938">
      <c r="A1938" s="32"/>
    </row>
    <row r="1939">
      <c r="A1939" s="32"/>
    </row>
    <row r="1940">
      <c r="A1940" s="32"/>
    </row>
    <row r="1941">
      <c r="A1941" s="32"/>
    </row>
    <row r="1942">
      <c r="A1942" s="32"/>
    </row>
    <row r="1943">
      <c r="A1943" s="32"/>
    </row>
    <row r="1944">
      <c r="A1944" s="32"/>
    </row>
    <row r="1945">
      <c r="A1945" s="32"/>
    </row>
    <row r="1946">
      <c r="A1946" s="32"/>
    </row>
    <row r="1947">
      <c r="A1947" s="32"/>
    </row>
    <row r="1948">
      <c r="A1948" s="32"/>
    </row>
    <row r="1949">
      <c r="A1949" s="32"/>
    </row>
    <row r="1950">
      <c r="A1950" s="32"/>
    </row>
    <row r="1951">
      <c r="A1951" s="32"/>
    </row>
    <row r="1952">
      <c r="A1952" s="32"/>
    </row>
    <row r="1953">
      <c r="A1953" s="32"/>
    </row>
    <row r="1954">
      <c r="A1954" s="32"/>
    </row>
    <row r="1955">
      <c r="A1955" s="32"/>
    </row>
    <row r="1956">
      <c r="A1956" s="32"/>
    </row>
    <row r="1957">
      <c r="A1957" s="32"/>
    </row>
    <row r="1958">
      <c r="A1958" s="32"/>
    </row>
    <row r="1959">
      <c r="A1959" s="32"/>
    </row>
    <row r="1960">
      <c r="A1960" s="32"/>
    </row>
    <row r="1961">
      <c r="A1961" s="32"/>
    </row>
    <row r="1962">
      <c r="A1962" s="32"/>
    </row>
    <row r="1963">
      <c r="A1963" s="32"/>
    </row>
    <row r="1964">
      <c r="A1964" s="32"/>
    </row>
    <row r="1965">
      <c r="A1965" s="32"/>
    </row>
    <row r="1966">
      <c r="A1966" s="32"/>
    </row>
    <row r="1968">
      <c r="A1968" s="32"/>
    </row>
    <row r="1969">
      <c r="A1969" s="32"/>
    </row>
    <row r="1970">
      <c r="A1970" s="32"/>
    </row>
    <row r="1971">
      <c r="A1971" s="32"/>
    </row>
    <row r="1972">
      <c r="A1972" s="32"/>
    </row>
    <row r="1973">
      <c r="A1973" s="32"/>
    </row>
    <row r="1974">
      <c r="A1974" s="32"/>
    </row>
    <row r="1975">
      <c r="A1975" s="32"/>
    </row>
    <row r="1976">
      <c r="A1976" s="32"/>
    </row>
    <row r="1977">
      <c r="A1977" s="32"/>
    </row>
    <row r="1978">
      <c r="A1978" s="32"/>
    </row>
    <row r="1979">
      <c r="A1979" s="32"/>
    </row>
    <row r="1980">
      <c r="A1980" s="32"/>
    </row>
    <row r="1981">
      <c r="A1981" s="32"/>
    </row>
    <row r="1982">
      <c r="A1982" s="32"/>
    </row>
    <row r="1983">
      <c r="A1983" s="32"/>
    </row>
    <row r="1984">
      <c r="A1984" s="32"/>
    </row>
    <row r="1985">
      <c r="A1985" s="32"/>
    </row>
    <row r="1986">
      <c r="A1986" s="32"/>
    </row>
    <row r="1987">
      <c r="A1987" s="32"/>
    </row>
    <row r="1988">
      <c r="A1988" s="32"/>
    </row>
    <row r="1989">
      <c r="A1989" s="32"/>
    </row>
    <row r="1990">
      <c r="A1990" s="32"/>
    </row>
    <row r="1991">
      <c r="A1991" s="32"/>
    </row>
    <row r="1992">
      <c r="A1992" s="32"/>
    </row>
    <row r="1993">
      <c r="A1993" s="32"/>
    </row>
    <row r="1994">
      <c r="A1994" s="32"/>
    </row>
    <row r="1995">
      <c r="A1995" s="32"/>
    </row>
    <row r="1996">
      <c r="A1996" s="32"/>
    </row>
    <row r="1997">
      <c r="A1997" s="32"/>
    </row>
    <row r="1998">
      <c r="A1998" s="32"/>
    </row>
    <row r="1999">
      <c r="A1999" s="32"/>
    </row>
    <row r="2000">
      <c r="A2000" s="32"/>
    </row>
    <row r="2001">
      <c r="A2001" s="32"/>
    </row>
    <row r="2002">
      <c r="A2002" s="32"/>
    </row>
    <row r="2003">
      <c r="A2003" s="32"/>
    </row>
    <row r="2004">
      <c r="A2004" s="32"/>
    </row>
    <row r="2005">
      <c r="A2005" s="32"/>
    </row>
    <row r="2006">
      <c r="A2006" s="3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10</v>
      </c>
      <c r="B1" s="28" t="s">
        <v>11</v>
      </c>
      <c r="C1" s="28" t="s">
        <v>12</v>
      </c>
      <c r="D1" s="28" t="s">
        <v>18</v>
      </c>
    </row>
    <row r="2">
      <c r="A2" s="29">
        <v>44197.0</v>
      </c>
      <c r="B2" s="30" t="s">
        <v>13</v>
      </c>
      <c r="C2" s="31">
        <v>670.0</v>
      </c>
      <c r="D2" s="31">
        <f t="shared" ref="D2:D2006" si="1">IF(A2="","",1)</f>
        <v>1</v>
      </c>
    </row>
    <row r="3">
      <c r="A3" s="29">
        <v>44198.0</v>
      </c>
      <c r="B3" s="30" t="s">
        <v>14</v>
      </c>
      <c r="C3" s="31">
        <v>590.0</v>
      </c>
      <c r="D3" s="31">
        <f t="shared" si="1"/>
        <v>1</v>
      </c>
    </row>
    <row r="4">
      <c r="A4" s="29">
        <v>44199.0</v>
      </c>
      <c r="B4" s="30" t="s">
        <v>14</v>
      </c>
      <c r="C4" s="31">
        <v>615.0</v>
      </c>
      <c r="D4" s="31">
        <f t="shared" si="1"/>
        <v>1</v>
      </c>
    </row>
    <row r="5">
      <c r="A5" s="29">
        <v>44200.0</v>
      </c>
      <c r="B5" s="30" t="s">
        <v>15</v>
      </c>
      <c r="C5" s="31">
        <v>745.0</v>
      </c>
      <c r="D5" s="31">
        <f t="shared" si="1"/>
        <v>1</v>
      </c>
    </row>
    <row r="6">
      <c r="A6" s="29">
        <v>44201.0</v>
      </c>
      <c r="B6" s="30" t="s">
        <v>15</v>
      </c>
      <c r="C6" s="31">
        <v>870.0</v>
      </c>
      <c r="D6" s="31">
        <f t="shared" si="1"/>
        <v>1</v>
      </c>
    </row>
    <row r="7">
      <c r="A7" s="29">
        <v>44202.0</v>
      </c>
      <c r="B7" s="30" t="s">
        <v>16</v>
      </c>
      <c r="C7" s="31" t="s">
        <v>17</v>
      </c>
      <c r="D7" s="31">
        <f t="shared" si="1"/>
        <v>1</v>
      </c>
    </row>
    <row r="8">
      <c r="A8" s="29">
        <v>44203.0</v>
      </c>
      <c r="B8" s="30" t="s">
        <v>14</v>
      </c>
      <c r="C8" s="31">
        <v>705.0</v>
      </c>
      <c r="D8" s="31">
        <f t="shared" si="1"/>
        <v>1</v>
      </c>
    </row>
    <row r="9">
      <c r="A9" s="29">
        <v>44204.0</v>
      </c>
      <c r="B9" s="30" t="s">
        <v>14</v>
      </c>
      <c r="C9" s="31">
        <v>930.0</v>
      </c>
      <c r="D9" s="31">
        <f t="shared" si="1"/>
        <v>1</v>
      </c>
    </row>
    <row r="10">
      <c r="A10" s="29">
        <v>44205.0</v>
      </c>
      <c r="B10" s="30" t="s">
        <v>13</v>
      </c>
      <c r="C10" s="31">
        <v>750.0</v>
      </c>
      <c r="D10" s="31">
        <f t="shared" si="1"/>
        <v>1</v>
      </c>
    </row>
    <row r="11">
      <c r="A11" s="29">
        <v>44206.0</v>
      </c>
      <c r="B11" s="30" t="s">
        <v>14</v>
      </c>
      <c r="C11" s="31">
        <v>595.0</v>
      </c>
      <c r="D11" s="31">
        <f t="shared" si="1"/>
        <v>1</v>
      </c>
    </row>
    <row r="12">
      <c r="A12" s="29">
        <v>44207.0</v>
      </c>
      <c r="B12" s="30" t="s">
        <v>14</v>
      </c>
      <c r="C12" s="31">
        <v>580.0</v>
      </c>
      <c r="D12" s="31">
        <f t="shared" si="1"/>
        <v>1</v>
      </c>
    </row>
    <row r="13">
      <c r="A13" s="29">
        <v>44208.0</v>
      </c>
      <c r="B13" s="30" t="s">
        <v>15</v>
      </c>
      <c r="C13" s="31">
        <v>695.0</v>
      </c>
      <c r="D13" s="31">
        <f t="shared" si="1"/>
        <v>1</v>
      </c>
    </row>
    <row r="14">
      <c r="A14" s="29">
        <v>44209.0</v>
      </c>
      <c r="B14" s="30" t="s">
        <v>14</v>
      </c>
      <c r="C14" s="31">
        <v>885.0</v>
      </c>
      <c r="D14" s="31">
        <f t="shared" si="1"/>
        <v>1</v>
      </c>
    </row>
    <row r="15">
      <c r="A15" s="29">
        <v>44210.0</v>
      </c>
      <c r="B15" s="30" t="s">
        <v>15</v>
      </c>
      <c r="C15" s="31">
        <v>865.0</v>
      </c>
      <c r="D15" s="31">
        <f t="shared" si="1"/>
        <v>1</v>
      </c>
    </row>
    <row r="16">
      <c r="A16" s="29">
        <v>44211.0</v>
      </c>
      <c r="B16" s="30" t="s">
        <v>16</v>
      </c>
      <c r="C16" s="31" t="s">
        <v>17</v>
      </c>
      <c r="D16" s="31">
        <f t="shared" si="1"/>
        <v>1</v>
      </c>
    </row>
    <row r="17">
      <c r="A17" s="29">
        <v>44212.0</v>
      </c>
      <c r="B17" s="30" t="s">
        <v>14</v>
      </c>
      <c r="C17" s="31">
        <v>550.0</v>
      </c>
      <c r="D17" s="31">
        <f t="shared" si="1"/>
        <v>1</v>
      </c>
    </row>
    <row r="18">
      <c r="A18" s="29">
        <v>44213.0</v>
      </c>
      <c r="B18" s="30" t="s">
        <v>13</v>
      </c>
      <c r="C18" s="31">
        <v>705.0</v>
      </c>
      <c r="D18" s="31">
        <f t="shared" si="1"/>
        <v>1</v>
      </c>
    </row>
    <row r="19">
      <c r="A19" s="29">
        <v>44214.0</v>
      </c>
      <c r="B19" s="30" t="s">
        <v>14</v>
      </c>
      <c r="C19" s="31">
        <v>765.0</v>
      </c>
      <c r="D19" s="31">
        <f t="shared" si="1"/>
        <v>1</v>
      </c>
    </row>
    <row r="20">
      <c r="A20" s="29">
        <v>44215.0</v>
      </c>
      <c r="B20" s="30" t="s">
        <v>14</v>
      </c>
      <c r="C20" s="31">
        <v>530.0</v>
      </c>
      <c r="D20" s="31">
        <f t="shared" si="1"/>
        <v>1</v>
      </c>
    </row>
    <row r="21">
      <c r="A21" s="29">
        <v>44216.0</v>
      </c>
      <c r="B21" s="30" t="s">
        <v>14</v>
      </c>
      <c r="C21" s="31">
        <v>975.0</v>
      </c>
      <c r="D21" s="31">
        <f t="shared" si="1"/>
        <v>1</v>
      </c>
    </row>
    <row r="22">
      <c r="A22" s="29">
        <v>44217.0</v>
      </c>
      <c r="B22" s="30" t="s">
        <v>15</v>
      </c>
      <c r="C22" s="31">
        <v>860.0</v>
      </c>
      <c r="D22" s="31">
        <f t="shared" si="1"/>
        <v>1</v>
      </c>
    </row>
    <row r="23">
      <c r="A23" s="29">
        <v>44218.0</v>
      </c>
      <c r="B23" s="30" t="s">
        <v>16</v>
      </c>
      <c r="C23" s="31" t="s">
        <v>17</v>
      </c>
      <c r="D23" s="31">
        <f t="shared" si="1"/>
        <v>1</v>
      </c>
    </row>
    <row r="24">
      <c r="A24" s="29">
        <v>44219.0</v>
      </c>
      <c r="B24" s="30" t="s">
        <v>14</v>
      </c>
      <c r="C24" s="31">
        <v>690.0</v>
      </c>
      <c r="D24" s="31">
        <f t="shared" si="1"/>
        <v>1</v>
      </c>
    </row>
    <row r="25">
      <c r="A25" s="29">
        <v>44220.0</v>
      </c>
      <c r="B25" s="30" t="s">
        <v>15</v>
      </c>
      <c r="C25" s="31">
        <v>540.0</v>
      </c>
      <c r="D25" s="31">
        <f t="shared" si="1"/>
        <v>1</v>
      </c>
    </row>
    <row r="26">
      <c r="A26" s="29">
        <v>44221.0</v>
      </c>
      <c r="B26" s="30" t="s">
        <v>14</v>
      </c>
      <c r="C26" s="31">
        <v>895.0</v>
      </c>
      <c r="D26" s="31">
        <f t="shared" si="1"/>
        <v>1</v>
      </c>
    </row>
    <row r="27">
      <c r="A27" s="29">
        <v>44222.0</v>
      </c>
      <c r="B27" s="30" t="s">
        <v>14</v>
      </c>
      <c r="C27" s="31">
        <v>500.0</v>
      </c>
      <c r="D27" s="31">
        <f t="shared" si="1"/>
        <v>1</v>
      </c>
    </row>
    <row r="28">
      <c r="A28" s="29">
        <v>44223.0</v>
      </c>
      <c r="B28" s="30" t="s">
        <v>15</v>
      </c>
      <c r="C28" s="31">
        <v>610.0</v>
      </c>
      <c r="D28" s="31">
        <f t="shared" si="1"/>
        <v>1</v>
      </c>
    </row>
    <row r="29">
      <c r="A29" s="29">
        <v>44224.0</v>
      </c>
      <c r="B29" s="30" t="s">
        <v>14</v>
      </c>
      <c r="C29" s="31">
        <v>900.0</v>
      </c>
      <c r="D29" s="31">
        <f t="shared" si="1"/>
        <v>1</v>
      </c>
    </row>
    <row r="30">
      <c r="A30" s="29">
        <v>44225.0</v>
      </c>
      <c r="B30" s="30" t="s">
        <v>13</v>
      </c>
      <c r="C30" s="31">
        <v>930.0</v>
      </c>
      <c r="D30" s="31">
        <f t="shared" si="1"/>
        <v>1</v>
      </c>
    </row>
    <row r="31">
      <c r="A31" s="29">
        <v>44226.0</v>
      </c>
      <c r="B31" s="30" t="s">
        <v>16</v>
      </c>
      <c r="C31" s="31" t="s">
        <v>17</v>
      </c>
      <c r="D31" s="31">
        <f t="shared" si="1"/>
        <v>1</v>
      </c>
    </row>
    <row r="32">
      <c r="A32" s="29">
        <v>44227.0</v>
      </c>
      <c r="B32" s="30" t="s">
        <v>14</v>
      </c>
      <c r="C32" s="31">
        <v>755.0</v>
      </c>
      <c r="D32" s="31">
        <f t="shared" si="1"/>
        <v>1</v>
      </c>
    </row>
    <row r="33">
      <c r="A33" s="29">
        <v>44228.0</v>
      </c>
      <c r="B33" s="30" t="s">
        <v>14</v>
      </c>
      <c r="C33" s="31">
        <v>780.0</v>
      </c>
      <c r="D33" s="31">
        <f t="shared" si="1"/>
        <v>1</v>
      </c>
    </row>
    <row r="34">
      <c r="A34" s="29">
        <v>44229.0</v>
      </c>
      <c r="B34" s="30" t="s">
        <v>15</v>
      </c>
      <c r="C34" s="31">
        <v>925.0</v>
      </c>
      <c r="D34" s="31">
        <f t="shared" si="1"/>
        <v>1</v>
      </c>
    </row>
    <row r="35">
      <c r="A35" s="29">
        <v>44230.0</v>
      </c>
      <c r="B35" s="30" t="s">
        <v>15</v>
      </c>
      <c r="C35" s="31">
        <v>915.0</v>
      </c>
      <c r="D35" s="31">
        <f t="shared" si="1"/>
        <v>1</v>
      </c>
    </row>
    <row r="36">
      <c r="A36" s="29">
        <v>44231.0</v>
      </c>
      <c r="B36" s="30" t="s">
        <v>16</v>
      </c>
      <c r="C36" s="31" t="s">
        <v>17</v>
      </c>
      <c r="D36" s="31">
        <f t="shared" si="1"/>
        <v>1</v>
      </c>
    </row>
    <row r="37">
      <c r="A37" s="29">
        <v>44232.0</v>
      </c>
      <c r="B37" s="30" t="s">
        <v>14</v>
      </c>
      <c r="C37" s="31">
        <v>755.0</v>
      </c>
      <c r="D37" s="31">
        <f t="shared" si="1"/>
        <v>1</v>
      </c>
    </row>
    <row r="38">
      <c r="A38" s="29">
        <v>44233.0</v>
      </c>
      <c r="B38" s="30" t="s">
        <v>13</v>
      </c>
      <c r="C38" s="31">
        <v>510.0</v>
      </c>
      <c r="D38" s="31">
        <f t="shared" si="1"/>
        <v>1</v>
      </c>
    </row>
    <row r="39">
      <c r="A39" s="29">
        <v>44234.0</v>
      </c>
      <c r="B39" s="30" t="s">
        <v>14</v>
      </c>
      <c r="C39" s="31">
        <v>965.0</v>
      </c>
      <c r="D39" s="31">
        <f t="shared" si="1"/>
        <v>1</v>
      </c>
    </row>
    <row r="40">
      <c r="A40" s="29">
        <v>44235.0</v>
      </c>
      <c r="B40" s="30" t="s">
        <v>14</v>
      </c>
      <c r="C40" s="31">
        <v>545.0</v>
      </c>
      <c r="D40" s="31">
        <f t="shared" si="1"/>
        <v>1</v>
      </c>
    </row>
    <row r="41">
      <c r="A41" s="29">
        <v>44236.0</v>
      </c>
      <c r="B41" s="30" t="s">
        <v>15</v>
      </c>
      <c r="C41" s="31">
        <v>715.0</v>
      </c>
      <c r="D41" s="31">
        <f t="shared" si="1"/>
        <v>1</v>
      </c>
    </row>
    <row r="42">
      <c r="A42" s="29">
        <v>44237.0</v>
      </c>
      <c r="B42" s="30" t="s">
        <v>14</v>
      </c>
      <c r="C42" s="31">
        <v>630.0</v>
      </c>
      <c r="D42" s="31">
        <f t="shared" si="1"/>
        <v>1</v>
      </c>
    </row>
    <row r="43">
      <c r="A43" s="29">
        <v>44238.0</v>
      </c>
      <c r="B43" s="30" t="s">
        <v>15</v>
      </c>
      <c r="C43" s="31">
        <v>780.0</v>
      </c>
      <c r="D43" s="31">
        <f t="shared" si="1"/>
        <v>1</v>
      </c>
    </row>
    <row r="44">
      <c r="A44" s="29">
        <v>44239.0</v>
      </c>
      <c r="B44" s="30" t="s">
        <v>16</v>
      </c>
      <c r="C44" s="31" t="s">
        <v>17</v>
      </c>
      <c r="D44" s="31">
        <f t="shared" si="1"/>
        <v>1</v>
      </c>
    </row>
    <row r="45">
      <c r="A45" s="29">
        <v>44240.0</v>
      </c>
      <c r="B45" s="30" t="s">
        <v>13</v>
      </c>
      <c r="C45" s="31">
        <v>975.0</v>
      </c>
      <c r="D45" s="31">
        <f t="shared" si="1"/>
        <v>1</v>
      </c>
    </row>
    <row r="46">
      <c r="A46" s="29">
        <v>44241.0</v>
      </c>
      <c r="B46" s="30" t="s">
        <v>14</v>
      </c>
      <c r="C46" s="31">
        <v>865.0</v>
      </c>
      <c r="D46" s="31">
        <f t="shared" si="1"/>
        <v>1</v>
      </c>
    </row>
    <row r="47">
      <c r="A47" s="29">
        <v>44242.0</v>
      </c>
      <c r="B47" s="30" t="s">
        <v>14</v>
      </c>
      <c r="C47" s="31">
        <v>1000.0</v>
      </c>
      <c r="D47" s="31">
        <f t="shared" si="1"/>
        <v>1</v>
      </c>
    </row>
    <row r="48">
      <c r="A48" s="29">
        <v>44243.0</v>
      </c>
      <c r="B48" s="30" t="s">
        <v>14</v>
      </c>
      <c r="C48" s="31">
        <v>805.0</v>
      </c>
      <c r="D48" s="31">
        <f t="shared" si="1"/>
        <v>1</v>
      </c>
    </row>
    <row r="49">
      <c r="A49" s="29">
        <v>44244.0</v>
      </c>
      <c r="B49" s="30" t="s">
        <v>15</v>
      </c>
      <c r="C49" s="31">
        <v>980.0</v>
      </c>
      <c r="D49" s="31">
        <f t="shared" si="1"/>
        <v>1</v>
      </c>
    </row>
    <row r="50">
      <c r="A50" s="29">
        <v>44245.0</v>
      </c>
      <c r="B50" s="30" t="s">
        <v>15</v>
      </c>
      <c r="C50" s="31">
        <v>850.0</v>
      </c>
      <c r="D50" s="31">
        <f t="shared" si="1"/>
        <v>1</v>
      </c>
    </row>
    <row r="51">
      <c r="A51" s="29">
        <v>44246.0</v>
      </c>
      <c r="B51" s="30" t="s">
        <v>16</v>
      </c>
      <c r="C51" s="31" t="s">
        <v>17</v>
      </c>
      <c r="D51" s="31">
        <f t="shared" si="1"/>
        <v>1</v>
      </c>
    </row>
    <row r="52">
      <c r="A52" s="29">
        <v>44247.0</v>
      </c>
      <c r="B52" s="30" t="s">
        <v>14</v>
      </c>
      <c r="C52" s="31">
        <v>605.0</v>
      </c>
      <c r="D52" s="31">
        <f t="shared" si="1"/>
        <v>1</v>
      </c>
    </row>
    <row r="53">
      <c r="A53" s="29">
        <v>44248.0</v>
      </c>
      <c r="B53" s="30" t="s">
        <v>15</v>
      </c>
      <c r="C53" s="31">
        <v>570.0</v>
      </c>
      <c r="D53" s="31">
        <f t="shared" si="1"/>
        <v>1</v>
      </c>
    </row>
    <row r="54">
      <c r="A54" s="29">
        <v>44249.0</v>
      </c>
      <c r="B54" s="30" t="s">
        <v>14</v>
      </c>
      <c r="C54" s="31">
        <v>860.0</v>
      </c>
      <c r="D54" s="31">
        <f t="shared" si="1"/>
        <v>1</v>
      </c>
    </row>
    <row r="55">
      <c r="A55" s="29">
        <v>44250.0</v>
      </c>
      <c r="B55" s="30" t="s">
        <v>14</v>
      </c>
      <c r="C55" s="31">
        <v>790.0</v>
      </c>
      <c r="D55" s="31">
        <f t="shared" si="1"/>
        <v>1</v>
      </c>
    </row>
    <row r="56">
      <c r="A56" s="29">
        <v>44251.0</v>
      </c>
      <c r="B56" s="30" t="s">
        <v>14</v>
      </c>
      <c r="C56" s="31">
        <v>660.0</v>
      </c>
      <c r="D56" s="31">
        <f t="shared" si="1"/>
        <v>1</v>
      </c>
    </row>
    <row r="57">
      <c r="A57" s="29">
        <v>44252.0</v>
      </c>
      <c r="B57" s="30" t="s">
        <v>15</v>
      </c>
      <c r="C57" s="31">
        <v>570.0</v>
      </c>
      <c r="D57" s="31">
        <f t="shared" si="1"/>
        <v>1</v>
      </c>
    </row>
    <row r="58">
      <c r="A58" s="29">
        <v>44253.0</v>
      </c>
      <c r="B58" s="30" t="s">
        <v>14</v>
      </c>
      <c r="C58" s="31">
        <v>785.0</v>
      </c>
      <c r="D58" s="31">
        <f t="shared" si="1"/>
        <v>1</v>
      </c>
    </row>
    <row r="59">
      <c r="A59" s="29">
        <v>44254.0</v>
      </c>
      <c r="B59" s="30" t="s">
        <v>14</v>
      </c>
      <c r="C59" s="31">
        <v>925.0</v>
      </c>
      <c r="D59" s="31">
        <f t="shared" si="1"/>
        <v>1</v>
      </c>
    </row>
    <row r="60">
      <c r="A60" s="29">
        <v>44255.0</v>
      </c>
      <c r="B60" s="30" t="s">
        <v>15</v>
      </c>
      <c r="C60" s="31">
        <v>885.0</v>
      </c>
      <c r="D60" s="31">
        <f t="shared" si="1"/>
        <v>1</v>
      </c>
    </row>
    <row r="61">
      <c r="A61" s="29">
        <v>44256.0</v>
      </c>
      <c r="B61" s="30" t="s">
        <v>16</v>
      </c>
      <c r="C61" s="31" t="s">
        <v>17</v>
      </c>
      <c r="D61" s="31">
        <f t="shared" si="1"/>
        <v>1</v>
      </c>
    </row>
    <row r="62">
      <c r="A62" s="29">
        <v>44257.0</v>
      </c>
      <c r="B62" s="30" t="s">
        <v>14</v>
      </c>
      <c r="C62" s="31">
        <v>740.0</v>
      </c>
      <c r="D62" s="31">
        <f t="shared" si="1"/>
        <v>1</v>
      </c>
    </row>
    <row r="63">
      <c r="A63" s="29">
        <v>44258.0</v>
      </c>
      <c r="B63" s="30" t="s">
        <v>13</v>
      </c>
      <c r="C63" s="31">
        <v>540.0</v>
      </c>
      <c r="D63" s="31">
        <f t="shared" si="1"/>
        <v>1</v>
      </c>
    </row>
    <row r="64">
      <c r="A64" s="29">
        <v>44259.0</v>
      </c>
      <c r="B64" s="30" t="s">
        <v>14</v>
      </c>
      <c r="C64" s="31">
        <v>785.0</v>
      </c>
      <c r="D64" s="31">
        <f t="shared" si="1"/>
        <v>1</v>
      </c>
    </row>
    <row r="65">
      <c r="A65" s="29">
        <v>44260.0</v>
      </c>
      <c r="B65" s="30" t="s">
        <v>14</v>
      </c>
      <c r="C65" s="31">
        <v>995.0</v>
      </c>
      <c r="D65" s="31">
        <f t="shared" si="1"/>
        <v>1</v>
      </c>
    </row>
    <row r="66">
      <c r="A66" s="29">
        <v>44261.0</v>
      </c>
      <c r="B66" s="30" t="s">
        <v>14</v>
      </c>
      <c r="C66" s="31">
        <v>650.0</v>
      </c>
      <c r="D66" s="31">
        <f t="shared" si="1"/>
        <v>1</v>
      </c>
    </row>
    <row r="67">
      <c r="A67" s="29">
        <v>44262.0</v>
      </c>
      <c r="B67" s="30" t="s">
        <v>15</v>
      </c>
      <c r="C67" s="31">
        <v>755.0</v>
      </c>
      <c r="D67" s="31">
        <f t="shared" si="1"/>
        <v>1</v>
      </c>
    </row>
    <row r="68">
      <c r="A68" s="29">
        <v>44263.0</v>
      </c>
      <c r="B68" s="30" t="s">
        <v>16</v>
      </c>
      <c r="C68" s="31" t="s">
        <v>17</v>
      </c>
      <c r="D68" s="31">
        <f t="shared" si="1"/>
        <v>1</v>
      </c>
    </row>
    <row r="69">
      <c r="A69" s="29">
        <v>44264.0</v>
      </c>
      <c r="B69" s="30" t="s">
        <v>13</v>
      </c>
      <c r="C69" s="31">
        <v>845.0</v>
      </c>
      <c r="D69" s="31">
        <f t="shared" si="1"/>
        <v>1</v>
      </c>
    </row>
    <row r="70">
      <c r="A70" s="29">
        <v>44265.0</v>
      </c>
      <c r="B70" s="30" t="s">
        <v>14</v>
      </c>
      <c r="C70" s="31">
        <v>880.0</v>
      </c>
      <c r="D70" s="31">
        <f t="shared" si="1"/>
        <v>1</v>
      </c>
    </row>
    <row r="71">
      <c r="A71" s="29">
        <v>44266.0</v>
      </c>
      <c r="B71" s="30" t="s">
        <v>14</v>
      </c>
      <c r="C71" s="31">
        <v>965.0</v>
      </c>
      <c r="D71" s="31">
        <f t="shared" si="1"/>
        <v>1</v>
      </c>
    </row>
    <row r="72">
      <c r="A72" s="29">
        <v>44267.0</v>
      </c>
      <c r="B72" s="30" t="s">
        <v>15</v>
      </c>
      <c r="C72" s="31">
        <v>725.0</v>
      </c>
      <c r="D72" s="31">
        <f t="shared" si="1"/>
        <v>1</v>
      </c>
    </row>
    <row r="73">
      <c r="A73" s="29">
        <v>44268.0</v>
      </c>
      <c r="B73" s="30" t="s">
        <v>15</v>
      </c>
      <c r="C73" s="31">
        <v>985.0</v>
      </c>
      <c r="D73" s="31">
        <f t="shared" si="1"/>
        <v>1</v>
      </c>
    </row>
    <row r="74">
      <c r="A74" s="29">
        <v>44269.0</v>
      </c>
      <c r="B74" s="30" t="s">
        <v>16</v>
      </c>
      <c r="C74" s="31" t="s">
        <v>17</v>
      </c>
      <c r="D74" s="31">
        <f t="shared" si="1"/>
        <v>1</v>
      </c>
    </row>
    <row r="75">
      <c r="A75" s="29">
        <v>44270.0</v>
      </c>
      <c r="B75" s="30" t="s">
        <v>14</v>
      </c>
      <c r="C75" s="31">
        <v>680.0</v>
      </c>
      <c r="D75" s="31">
        <f t="shared" si="1"/>
        <v>1</v>
      </c>
    </row>
    <row r="76">
      <c r="A76" s="29">
        <v>44271.0</v>
      </c>
      <c r="B76" s="30" t="s">
        <v>14</v>
      </c>
      <c r="C76" s="31">
        <v>600.0</v>
      </c>
      <c r="D76" s="31">
        <f t="shared" si="1"/>
        <v>1</v>
      </c>
    </row>
    <row r="77">
      <c r="A77" s="29">
        <v>44272.0</v>
      </c>
      <c r="B77" s="30" t="s">
        <v>13</v>
      </c>
      <c r="C77" s="31">
        <v>765.0</v>
      </c>
      <c r="D77" s="31">
        <f t="shared" si="1"/>
        <v>1</v>
      </c>
    </row>
    <row r="78">
      <c r="A78" s="29">
        <v>44273.0</v>
      </c>
      <c r="B78" s="30" t="s">
        <v>14</v>
      </c>
      <c r="C78" s="31">
        <v>905.0</v>
      </c>
      <c r="D78" s="31">
        <f t="shared" si="1"/>
        <v>1</v>
      </c>
    </row>
    <row r="79">
      <c r="A79" s="29">
        <v>44274.0</v>
      </c>
      <c r="B79" s="30" t="s">
        <v>14</v>
      </c>
      <c r="C79" s="31">
        <v>880.0</v>
      </c>
      <c r="D79" s="31">
        <f t="shared" si="1"/>
        <v>1</v>
      </c>
    </row>
    <row r="80">
      <c r="A80" s="29">
        <v>44275.0</v>
      </c>
      <c r="B80" s="30" t="s">
        <v>15</v>
      </c>
      <c r="C80" s="31">
        <v>615.0</v>
      </c>
      <c r="D80" s="31">
        <f t="shared" si="1"/>
        <v>1</v>
      </c>
    </row>
    <row r="81">
      <c r="A81" s="29">
        <v>44276.0</v>
      </c>
      <c r="B81" s="30" t="s">
        <v>14</v>
      </c>
      <c r="C81" s="31">
        <v>520.0</v>
      </c>
      <c r="D81" s="31">
        <f t="shared" si="1"/>
        <v>1</v>
      </c>
    </row>
    <row r="82">
      <c r="A82" s="29">
        <v>44277.0</v>
      </c>
      <c r="B82" s="30" t="s">
        <v>15</v>
      </c>
      <c r="C82" s="31">
        <v>980.0</v>
      </c>
      <c r="D82" s="31">
        <f t="shared" si="1"/>
        <v>1</v>
      </c>
    </row>
    <row r="83">
      <c r="A83" s="29">
        <v>44278.0</v>
      </c>
      <c r="B83" s="30" t="s">
        <v>16</v>
      </c>
      <c r="C83" s="31" t="s">
        <v>17</v>
      </c>
      <c r="D83" s="31">
        <f t="shared" si="1"/>
        <v>1</v>
      </c>
    </row>
    <row r="84">
      <c r="A84" s="29">
        <v>44279.0</v>
      </c>
      <c r="B84" s="30" t="s">
        <v>14</v>
      </c>
      <c r="C84" s="31">
        <v>975.0</v>
      </c>
      <c r="D84" s="31">
        <f t="shared" si="1"/>
        <v>1</v>
      </c>
    </row>
    <row r="85">
      <c r="A85" s="29">
        <v>44280.0</v>
      </c>
      <c r="B85" s="30" t="s">
        <v>13</v>
      </c>
      <c r="C85" s="31">
        <v>515.0</v>
      </c>
      <c r="D85" s="31">
        <f t="shared" si="1"/>
        <v>1</v>
      </c>
    </row>
    <row r="86">
      <c r="A86" s="29">
        <v>44281.0</v>
      </c>
      <c r="B86" s="30" t="s">
        <v>14</v>
      </c>
      <c r="C86" s="31">
        <v>560.0</v>
      </c>
      <c r="D86" s="31">
        <f t="shared" si="1"/>
        <v>1</v>
      </c>
    </row>
    <row r="87">
      <c r="A87" s="29">
        <v>44282.0</v>
      </c>
      <c r="B87" s="30" t="s">
        <v>14</v>
      </c>
      <c r="C87" s="31">
        <v>905.0</v>
      </c>
      <c r="D87" s="31">
        <f t="shared" si="1"/>
        <v>1</v>
      </c>
    </row>
    <row r="88">
      <c r="A88" s="29">
        <v>44283.0</v>
      </c>
      <c r="B88" s="30" t="s">
        <v>14</v>
      </c>
      <c r="C88" s="31">
        <v>530.0</v>
      </c>
      <c r="D88" s="31">
        <f t="shared" si="1"/>
        <v>1</v>
      </c>
    </row>
    <row r="89">
      <c r="A89" s="29">
        <v>44284.0</v>
      </c>
      <c r="B89" s="30" t="s">
        <v>15</v>
      </c>
      <c r="C89" s="31">
        <v>950.0</v>
      </c>
      <c r="D89" s="31">
        <f t="shared" si="1"/>
        <v>1</v>
      </c>
    </row>
    <row r="90">
      <c r="A90" s="29">
        <v>44285.0</v>
      </c>
      <c r="B90" s="30" t="s">
        <v>16</v>
      </c>
      <c r="C90" s="31" t="s">
        <v>17</v>
      </c>
      <c r="D90" s="31">
        <f t="shared" si="1"/>
        <v>1</v>
      </c>
    </row>
    <row r="91">
      <c r="A91" s="29">
        <v>44286.0</v>
      </c>
      <c r="B91" s="30" t="s">
        <v>14</v>
      </c>
      <c r="C91" s="31">
        <v>710.0</v>
      </c>
      <c r="D91" s="31">
        <f t="shared" si="1"/>
        <v>1</v>
      </c>
    </row>
    <row r="92">
      <c r="A92" s="29">
        <v>44287.0</v>
      </c>
      <c r="B92" s="30" t="s">
        <v>15</v>
      </c>
      <c r="C92" s="31">
        <v>545.0</v>
      </c>
      <c r="D92" s="31">
        <f t="shared" si="1"/>
        <v>1</v>
      </c>
    </row>
    <row r="93">
      <c r="A93" s="29">
        <v>44288.0</v>
      </c>
      <c r="B93" s="30" t="s">
        <v>14</v>
      </c>
      <c r="C93" s="31">
        <v>905.0</v>
      </c>
      <c r="D93" s="31">
        <f t="shared" si="1"/>
        <v>1</v>
      </c>
    </row>
    <row r="94">
      <c r="A94" s="29">
        <v>44289.0</v>
      </c>
      <c r="B94" s="30" t="s">
        <v>14</v>
      </c>
      <c r="C94" s="31">
        <v>915.0</v>
      </c>
      <c r="D94" s="31">
        <f t="shared" si="1"/>
        <v>1</v>
      </c>
    </row>
    <row r="95">
      <c r="A95" s="29">
        <v>44290.0</v>
      </c>
      <c r="B95" s="30" t="s">
        <v>15</v>
      </c>
      <c r="C95" s="31">
        <v>810.0</v>
      </c>
      <c r="D95" s="31">
        <f t="shared" si="1"/>
        <v>1</v>
      </c>
    </row>
    <row r="96">
      <c r="A96" s="29">
        <v>44291.0</v>
      </c>
      <c r="B96" s="30" t="s">
        <v>14</v>
      </c>
      <c r="C96" s="31">
        <v>980.0</v>
      </c>
      <c r="D96" s="31">
        <f t="shared" si="1"/>
        <v>1</v>
      </c>
    </row>
    <row r="97">
      <c r="A97" s="29">
        <v>44292.0</v>
      </c>
      <c r="B97" s="30" t="s">
        <v>13</v>
      </c>
      <c r="C97" s="31">
        <v>700.0</v>
      </c>
      <c r="D97" s="31">
        <f t="shared" si="1"/>
        <v>1</v>
      </c>
    </row>
    <row r="98">
      <c r="A98" s="29">
        <v>44293.0</v>
      </c>
      <c r="B98" s="30" t="s">
        <v>16</v>
      </c>
      <c r="C98" s="31" t="s">
        <v>17</v>
      </c>
      <c r="D98" s="31">
        <f t="shared" si="1"/>
        <v>1</v>
      </c>
    </row>
    <row r="99">
      <c r="A99" s="29">
        <v>44294.0</v>
      </c>
      <c r="B99" s="30" t="s">
        <v>14</v>
      </c>
      <c r="C99" s="31">
        <v>910.0</v>
      </c>
      <c r="D99" s="31">
        <f t="shared" si="1"/>
        <v>1</v>
      </c>
    </row>
    <row r="100">
      <c r="A100" s="29">
        <v>44295.0</v>
      </c>
      <c r="B100" s="30" t="s">
        <v>14</v>
      </c>
      <c r="C100" s="31">
        <v>825.0</v>
      </c>
      <c r="D100" s="31">
        <f t="shared" si="1"/>
        <v>1</v>
      </c>
    </row>
    <row r="101">
      <c r="A101" s="29">
        <v>44296.0</v>
      </c>
      <c r="B101" s="30" t="s">
        <v>15</v>
      </c>
      <c r="C101" s="31">
        <v>970.0</v>
      </c>
      <c r="D101" s="31">
        <f t="shared" si="1"/>
        <v>1</v>
      </c>
    </row>
    <row r="102">
      <c r="A102" s="29">
        <v>44297.0</v>
      </c>
      <c r="B102" s="30" t="s">
        <v>15</v>
      </c>
      <c r="C102" s="31">
        <v>935.0</v>
      </c>
      <c r="D102" s="31">
        <f t="shared" si="1"/>
        <v>1</v>
      </c>
    </row>
    <row r="103">
      <c r="A103" s="29">
        <v>44298.0</v>
      </c>
      <c r="B103" s="30" t="s">
        <v>16</v>
      </c>
      <c r="C103" s="31" t="s">
        <v>17</v>
      </c>
      <c r="D103" s="31">
        <f t="shared" si="1"/>
        <v>1</v>
      </c>
    </row>
    <row r="104">
      <c r="A104" s="29">
        <v>44299.0</v>
      </c>
      <c r="B104" s="30" t="s">
        <v>14</v>
      </c>
      <c r="C104" s="31">
        <v>635.0</v>
      </c>
      <c r="D104" s="31">
        <f t="shared" si="1"/>
        <v>1</v>
      </c>
    </row>
    <row r="105">
      <c r="A105" s="29">
        <v>44300.0</v>
      </c>
      <c r="B105" s="30" t="s">
        <v>13</v>
      </c>
      <c r="C105" s="31">
        <v>685.0</v>
      </c>
      <c r="D105" s="31">
        <f t="shared" si="1"/>
        <v>1</v>
      </c>
    </row>
    <row r="106">
      <c r="A106" s="29">
        <v>44301.0</v>
      </c>
      <c r="B106" s="30" t="s">
        <v>14</v>
      </c>
      <c r="C106" s="31">
        <v>815.0</v>
      </c>
      <c r="D106" s="31">
        <f t="shared" si="1"/>
        <v>1</v>
      </c>
    </row>
    <row r="107">
      <c r="A107" s="29">
        <v>44302.0</v>
      </c>
      <c r="B107" s="30" t="s">
        <v>14</v>
      </c>
      <c r="C107" s="31">
        <v>655.0</v>
      </c>
      <c r="D107" s="31">
        <f t="shared" si="1"/>
        <v>1</v>
      </c>
    </row>
    <row r="108">
      <c r="A108" s="29">
        <v>44303.0</v>
      </c>
      <c r="B108" s="30" t="s">
        <v>15</v>
      </c>
      <c r="C108" s="31">
        <v>645.0</v>
      </c>
      <c r="D108" s="31">
        <f t="shared" si="1"/>
        <v>1</v>
      </c>
    </row>
    <row r="109">
      <c r="A109" s="29">
        <v>44304.0</v>
      </c>
      <c r="B109" s="30" t="s">
        <v>14</v>
      </c>
      <c r="C109" s="31">
        <v>535.0</v>
      </c>
      <c r="D109" s="31">
        <f t="shared" si="1"/>
        <v>1</v>
      </c>
    </row>
    <row r="110">
      <c r="A110" s="29">
        <v>44305.0</v>
      </c>
      <c r="B110" s="30" t="s">
        <v>15</v>
      </c>
      <c r="C110" s="31">
        <v>990.0</v>
      </c>
      <c r="D110" s="31">
        <f t="shared" si="1"/>
        <v>1</v>
      </c>
    </row>
    <row r="111">
      <c r="A111" s="29">
        <v>44306.0</v>
      </c>
      <c r="B111" s="30" t="s">
        <v>16</v>
      </c>
      <c r="C111" s="31" t="s">
        <v>17</v>
      </c>
      <c r="D111" s="31">
        <f t="shared" si="1"/>
        <v>1</v>
      </c>
    </row>
    <row r="112">
      <c r="A112" s="29">
        <v>44307.0</v>
      </c>
      <c r="B112" s="30" t="s">
        <v>13</v>
      </c>
      <c r="C112" s="31">
        <v>880.0</v>
      </c>
      <c r="D112" s="31">
        <f t="shared" si="1"/>
        <v>1</v>
      </c>
    </row>
    <row r="113">
      <c r="A113" s="29">
        <v>44308.0</v>
      </c>
      <c r="B113" s="30" t="s">
        <v>14</v>
      </c>
      <c r="C113" s="31">
        <v>550.0</v>
      </c>
      <c r="D113" s="31">
        <f t="shared" si="1"/>
        <v>1</v>
      </c>
    </row>
    <row r="114">
      <c r="A114" s="29">
        <v>44309.0</v>
      </c>
      <c r="B114" s="30" t="s">
        <v>14</v>
      </c>
      <c r="C114" s="31">
        <v>515.0</v>
      </c>
      <c r="D114" s="31">
        <f t="shared" si="1"/>
        <v>1</v>
      </c>
    </row>
    <row r="115">
      <c r="A115" s="29">
        <v>44310.0</v>
      </c>
      <c r="B115" s="30" t="s">
        <v>14</v>
      </c>
      <c r="C115" s="31">
        <v>975.0</v>
      </c>
      <c r="D115" s="31">
        <f t="shared" si="1"/>
        <v>1</v>
      </c>
    </row>
    <row r="116">
      <c r="A116" s="29">
        <v>44311.0</v>
      </c>
      <c r="B116" s="30" t="s">
        <v>15</v>
      </c>
      <c r="C116" s="31">
        <v>660.0</v>
      </c>
      <c r="D116" s="31">
        <f t="shared" si="1"/>
        <v>1</v>
      </c>
    </row>
    <row r="117">
      <c r="A117" s="29">
        <v>44312.0</v>
      </c>
      <c r="B117" s="30" t="s">
        <v>15</v>
      </c>
      <c r="C117" s="31">
        <v>770.0</v>
      </c>
      <c r="D117" s="31">
        <f t="shared" si="1"/>
        <v>1</v>
      </c>
    </row>
    <row r="118">
      <c r="A118" s="29">
        <v>44313.0</v>
      </c>
      <c r="B118" s="30" t="s">
        <v>16</v>
      </c>
      <c r="C118" s="31" t="s">
        <v>17</v>
      </c>
      <c r="D118" s="31">
        <f t="shared" si="1"/>
        <v>1</v>
      </c>
    </row>
    <row r="119">
      <c r="A119" s="29">
        <v>44314.0</v>
      </c>
      <c r="B119" s="30" t="s">
        <v>14</v>
      </c>
      <c r="C119" s="31">
        <v>980.0</v>
      </c>
      <c r="D119" s="31">
        <f t="shared" si="1"/>
        <v>1</v>
      </c>
    </row>
    <row r="120">
      <c r="A120" s="29">
        <v>44315.0</v>
      </c>
      <c r="B120" s="30" t="s">
        <v>15</v>
      </c>
      <c r="C120" s="31">
        <v>670.0</v>
      </c>
      <c r="D120" s="31">
        <f t="shared" si="1"/>
        <v>1</v>
      </c>
    </row>
    <row r="121">
      <c r="A121" s="29">
        <v>44316.0</v>
      </c>
      <c r="B121" s="30" t="s">
        <v>14</v>
      </c>
      <c r="C121" s="31">
        <v>720.0</v>
      </c>
      <c r="D121" s="31">
        <f t="shared" si="1"/>
        <v>1</v>
      </c>
    </row>
    <row r="122">
      <c r="A122" s="29">
        <v>44317.0</v>
      </c>
      <c r="B122" s="30" t="s">
        <v>14</v>
      </c>
      <c r="C122" s="31">
        <v>760.0</v>
      </c>
      <c r="D122" s="31">
        <f t="shared" si="1"/>
        <v>1</v>
      </c>
    </row>
    <row r="123">
      <c r="A123" s="29">
        <v>44318.0</v>
      </c>
      <c r="B123" s="30" t="s">
        <v>14</v>
      </c>
      <c r="C123" s="31">
        <v>910.0</v>
      </c>
      <c r="D123" s="31">
        <f t="shared" si="1"/>
        <v>1</v>
      </c>
    </row>
    <row r="124">
      <c r="A124" s="29">
        <v>44319.0</v>
      </c>
      <c r="B124" s="30" t="s">
        <v>15</v>
      </c>
      <c r="C124" s="31">
        <v>810.0</v>
      </c>
      <c r="D124" s="31">
        <f t="shared" si="1"/>
        <v>1</v>
      </c>
    </row>
    <row r="125">
      <c r="A125" s="29">
        <v>44320.0</v>
      </c>
      <c r="B125" s="30" t="s">
        <v>14</v>
      </c>
      <c r="C125" s="31">
        <v>890.0</v>
      </c>
      <c r="D125" s="31">
        <f t="shared" si="1"/>
        <v>1</v>
      </c>
    </row>
    <row r="126">
      <c r="A126" s="29">
        <v>44321.0</v>
      </c>
      <c r="B126" s="30" t="s">
        <v>14</v>
      </c>
      <c r="C126" s="31">
        <v>850.0</v>
      </c>
      <c r="D126" s="31">
        <f t="shared" si="1"/>
        <v>1</v>
      </c>
    </row>
    <row r="127">
      <c r="A127" s="29">
        <v>44322.0</v>
      </c>
      <c r="B127" s="30" t="s">
        <v>15</v>
      </c>
      <c r="C127" s="31">
        <v>595.0</v>
      </c>
      <c r="D127" s="31">
        <f t="shared" si="1"/>
        <v>1</v>
      </c>
    </row>
    <row r="128">
      <c r="A128" s="29">
        <v>44323.0</v>
      </c>
      <c r="B128" s="30" t="s">
        <v>16</v>
      </c>
      <c r="C128" s="31" t="s">
        <v>17</v>
      </c>
      <c r="D128" s="31">
        <f t="shared" si="1"/>
        <v>1</v>
      </c>
    </row>
    <row r="129">
      <c r="A129" s="29">
        <v>44324.0</v>
      </c>
      <c r="B129" s="30" t="s">
        <v>14</v>
      </c>
      <c r="C129" s="31">
        <v>550.0</v>
      </c>
      <c r="D129" s="31">
        <f t="shared" si="1"/>
        <v>1</v>
      </c>
    </row>
    <row r="130">
      <c r="A130" s="29">
        <v>44325.0</v>
      </c>
      <c r="B130" s="30" t="s">
        <v>13</v>
      </c>
      <c r="C130" s="31">
        <v>680.0</v>
      </c>
      <c r="D130" s="31">
        <f t="shared" si="1"/>
        <v>1</v>
      </c>
    </row>
    <row r="131">
      <c r="A131" s="29">
        <v>44326.0</v>
      </c>
      <c r="B131" s="30" t="s">
        <v>14</v>
      </c>
      <c r="C131" s="31">
        <v>680.0</v>
      </c>
      <c r="D131" s="31">
        <f t="shared" si="1"/>
        <v>1</v>
      </c>
    </row>
    <row r="132">
      <c r="A132" s="29">
        <v>44327.0</v>
      </c>
      <c r="B132" s="30" t="s">
        <v>14</v>
      </c>
      <c r="C132" s="31">
        <v>580.0</v>
      </c>
      <c r="D132" s="31">
        <f t="shared" si="1"/>
        <v>1</v>
      </c>
    </row>
    <row r="133">
      <c r="A133" s="29">
        <v>44328.0</v>
      </c>
      <c r="B133" s="30" t="s">
        <v>14</v>
      </c>
      <c r="C133" s="31">
        <v>735.0</v>
      </c>
      <c r="D133" s="31">
        <f t="shared" si="1"/>
        <v>1</v>
      </c>
    </row>
    <row r="134">
      <c r="A134" s="29">
        <v>44329.0</v>
      </c>
      <c r="B134" s="30" t="s">
        <v>15</v>
      </c>
      <c r="C134" s="31">
        <v>935.0</v>
      </c>
      <c r="D134" s="31">
        <f t="shared" si="1"/>
        <v>1</v>
      </c>
    </row>
    <row r="135">
      <c r="A135" s="29">
        <v>44330.0</v>
      </c>
      <c r="B135" s="30" t="s">
        <v>16</v>
      </c>
      <c r="C135" s="31" t="s">
        <v>17</v>
      </c>
      <c r="D135" s="31">
        <f t="shared" si="1"/>
        <v>1</v>
      </c>
    </row>
    <row r="136">
      <c r="A136" s="29">
        <v>44331.0</v>
      </c>
      <c r="B136" s="30" t="s">
        <v>13</v>
      </c>
      <c r="C136" s="31">
        <v>995.0</v>
      </c>
      <c r="D136" s="31">
        <f t="shared" si="1"/>
        <v>1</v>
      </c>
    </row>
    <row r="137">
      <c r="A137" s="29">
        <v>44332.0</v>
      </c>
      <c r="B137" s="30" t="s">
        <v>14</v>
      </c>
      <c r="C137" s="31">
        <v>795.0</v>
      </c>
      <c r="D137" s="31">
        <f t="shared" si="1"/>
        <v>1</v>
      </c>
    </row>
    <row r="138">
      <c r="A138" s="29">
        <v>44333.0</v>
      </c>
      <c r="B138" s="30" t="s">
        <v>14</v>
      </c>
      <c r="C138" s="31">
        <v>765.0</v>
      </c>
      <c r="D138" s="31">
        <f t="shared" si="1"/>
        <v>1</v>
      </c>
    </row>
    <row r="139">
      <c r="A139" s="29">
        <v>44334.0</v>
      </c>
      <c r="B139" s="30" t="s">
        <v>15</v>
      </c>
      <c r="C139" s="31">
        <v>760.0</v>
      </c>
      <c r="D139" s="31">
        <f t="shared" si="1"/>
        <v>1</v>
      </c>
    </row>
    <row r="140">
      <c r="A140" s="29">
        <v>44335.0</v>
      </c>
      <c r="B140" s="30" t="s">
        <v>15</v>
      </c>
      <c r="C140" s="31">
        <v>865.0</v>
      </c>
      <c r="D140" s="31">
        <f t="shared" si="1"/>
        <v>1</v>
      </c>
    </row>
    <row r="141">
      <c r="A141" s="29">
        <v>44336.0</v>
      </c>
      <c r="B141" s="30" t="s">
        <v>16</v>
      </c>
      <c r="C141" s="31" t="s">
        <v>17</v>
      </c>
      <c r="D141" s="31">
        <f t="shared" si="1"/>
        <v>1</v>
      </c>
    </row>
    <row r="142">
      <c r="A142" s="29">
        <v>44337.0</v>
      </c>
      <c r="B142" s="30" t="s">
        <v>14</v>
      </c>
      <c r="C142" s="31">
        <v>605.0</v>
      </c>
      <c r="D142" s="31">
        <f t="shared" si="1"/>
        <v>1</v>
      </c>
    </row>
    <row r="143">
      <c r="A143" s="29">
        <v>44338.0</v>
      </c>
      <c r="B143" s="30" t="s">
        <v>14</v>
      </c>
      <c r="C143" s="31">
        <v>535.0</v>
      </c>
      <c r="D143" s="31">
        <f t="shared" si="1"/>
        <v>1</v>
      </c>
    </row>
    <row r="144">
      <c r="A144" s="29">
        <v>44339.0</v>
      </c>
      <c r="B144" s="30" t="s">
        <v>13</v>
      </c>
      <c r="C144" s="31">
        <v>850.0</v>
      </c>
      <c r="D144" s="31">
        <f t="shared" si="1"/>
        <v>1</v>
      </c>
    </row>
    <row r="145">
      <c r="A145" s="29">
        <v>44340.0</v>
      </c>
      <c r="B145" s="30" t="s">
        <v>14</v>
      </c>
      <c r="C145" s="31">
        <v>595.0</v>
      </c>
      <c r="D145" s="31">
        <f t="shared" si="1"/>
        <v>1</v>
      </c>
    </row>
    <row r="146">
      <c r="A146" s="29">
        <v>44341.0</v>
      </c>
      <c r="B146" s="30" t="s">
        <v>14</v>
      </c>
      <c r="C146" s="31">
        <v>875.0</v>
      </c>
      <c r="D146" s="31">
        <f t="shared" si="1"/>
        <v>1</v>
      </c>
    </row>
    <row r="147">
      <c r="A147" s="29">
        <v>44342.0</v>
      </c>
      <c r="B147" s="30" t="s">
        <v>15</v>
      </c>
      <c r="C147" s="31">
        <v>950.0</v>
      </c>
      <c r="D147" s="31">
        <f t="shared" si="1"/>
        <v>1</v>
      </c>
    </row>
    <row r="148">
      <c r="A148" s="29">
        <v>44343.0</v>
      </c>
      <c r="B148" s="30" t="s">
        <v>14</v>
      </c>
      <c r="C148" s="31">
        <v>980.0</v>
      </c>
      <c r="D148" s="31">
        <f t="shared" si="1"/>
        <v>1</v>
      </c>
    </row>
    <row r="149">
      <c r="A149" s="29">
        <v>44344.0</v>
      </c>
      <c r="B149" s="30" t="s">
        <v>15</v>
      </c>
      <c r="C149" s="31">
        <v>785.0</v>
      </c>
      <c r="D149" s="31">
        <f t="shared" si="1"/>
        <v>1</v>
      </c>
    </row>
    <row r="150">
      <c r="A150" s="29">
        <v>44345.0</v>
      </c>
      <c r="B150" s="30" t="s">
        <v>16</v>
      </c>
      <c r="C150" s="31" t="s">
        <v>17</v>
      </c>
      <c r="D150" s="31">
        <f t="shared" si="1"/>
        <v>1</v>
      </c>
    </row>
    <row r="151">
      <c r="A151" s="29">
        <v>44346.0</v>
      </c>
      <c r="B151" s="30" t="s">
        <v>14</v>
      </c>
      <c r="C151" s="31">
        <v>805.0</v>
      </c>
      <c r="D151" s="31">
        <f t="shared" si="1"/>
        <v>1</v>
      </c>
    </row>
    <row r="152">
      <c r="A152" s="29">
        <v>44347.0</v>
      </c>
      <c r="B152" s="30" t="s">
        <v>13</v>
      </c>
      <c r="C152" s="31">
        <v>960.0</v>
      </c>
      <c r="D152" s="31">
        <f t="shared" si="1"/>
        <v>1</v>
      </c>
    </row>
    <row r="153">
      <c r="A153" s="29">
        <v>44348.0</v>
      </c>
      <c r="B153" s="30" t="s">
        <v>14</v>
      </c>
      <c r="C153" s="31">
        <v>715.0</v>
      </c>
      <c r="D153" s="31">
        <f t="shared" si="1"/>
        <v>1</v>
      </c>
    </row>
    <row r="154">
      <c r="A154" s="29">
        <v>44349.0</v>
      </c>
      <c r="B154" s="30" t="s">
        <v>14</v>
      </c>
      <c r="C154" s="31">
        <v>895.0</v>
      </c>
      <c r="D154" s="31">
        <f t="shared" si="1"/>
        <v>1</v>
      </c>
    </row>
    <row r="155">
      <c r="A155" s="29">
        <v>44350.0</v>
      </c>
      <c r="B155" s="30" t="s">
        <v>14</v>
      </c>
      <c r="C155" s="31">
        <v>725.0</v>
      </c>
      <c r="D155" s="31">
        <f t="shared" si="1"/>
        <v>1</v>
      </c>
    </row>
    <row r="156">
      <c r="A156" s="29">
        <v>44351.0</v>
      </c>
      <c r="B156" s="30" t="s">
        <v>15</v>
      </c>
      <c r="C156" s="31">
        <v>945.0</v>
      </c>
      <c r="D156" s="31">
        <f t="shared" si="1"/>
        <v>1</v>
      </c>
    </row>
    <row r="157">
      <c r="A157" s="29">
        <v>44352.0</v>
      </c>
      <c r="B157" s="30" t="s">
        <v>16</v>
      </c>
      <c r="C157" s="31" t="s">
        <v>17</v>
      </c>
      <c r="D157" s="31">
        <f t="shared" si="1"/>
        <v>1</v>
      </c>
    </row>
    <row r="158">
      <c r="A158" s="29">
        <v>44353.0</v>
      </c>
      <c r="B158" s="30" t="s">
        <v>14</v>
      </c>
      <c r="C158" s="31">
        <v>1000.0</v>
      </c>
      <c r="D158" s="31">
        <f t="shared" si="1"/>
        <v>1</v>
      </c>
    </row>
    <row r="159">
      <c r="A159" s="29">
        <v>44354.0</v>
      </c>
      <c r="B159" s="30" t="s">
        <v>15</v>
      </c>
      <c r="C159" s="31">
        <v>505.0</v>
      </c>
      <c r="D159" s="31">
        <f t="shared" si="1"/>
        <v>1</v>
      </c>
    </row>
    <row r="160">
      <c r="A160" s="29">
        <v>44355.0</v>
      </c>
      <c r="B160" s="30" t="s">
        <v>14</v>
      </c>
      <c r="C160" s="31">
        <v>650.0</v>
      </c>
      <c r="D160" s="31">
        <f t="shared" si="1"/>
        <v>1</v>
      </c>
    </row>
    <row r="161">
      <c r="A161" s="29">
        <v>44356.0</v>
      </c>
      <c r="B161" s="30" t="s">
        <v>14</v>
      </c>
      <c r="C161" s="31">
        <v>630.0</v>
      </c>
      <c r="D161" s="31">
        <f t="shared" si="1"/>
        <v>1</v>
      </c>
    </row>
    <row r="162">
      <c r="A162" s="29">
        <v>44357.0</v>
      </c>
      <c r="B162" s="30" t="s">
        <v>15</v>
      </c>
      <c r="C162" s="31">
        <v>660.0</v>
      </c>
      <c r="D162" s="31">
        <f t="shared" si="1"/>
        <v>1</v>
      </c>
    </row>
    <row r="163">
      <c r="A163" s="29">
        <v>44358.0</v>
      </c>
      <c r="B163" s="30" t="s">
        <v>14</v>
      </c>
      <c r="C163" s="31">
        <v>720.0</v>
      </c>
      <c r="D163" s="31">
        <f t="shared" si="1"/>
        <v>1</v>
      </c>
    </row>
    <row r="164">
      <c r="A164" s="29">
        <v>44359.0</v>
      </c>
      <c r="B164" s="30" t="s">
        <v>13</v>
      </c>
      <c r="C164" s="31">
        <v>840.0</v>
      </c>
      <c r="D164" s="31">
        <f t="shared" si="1"/>
        <v>1</v>
      </c>
    </row>
    <row r="165">
      <c r="A165" s="29">
        <v>44360.0</v>
      </c>
      <c r="B165" s="30" t="s">
        <v>16</v>
      </c>
      <c r="C165" s="31" t="s">
        <v>17</v>
      </c>
      <c r="D165" s="31">
        <f t="shared" si="1"/>
        <v>1</v>
      </c>
    </row>
    <row r="166">
      <c r="A166" s="29">
        <v>44361.0</v>
      </c>
      <c r="B166" s="30" t="s">
        <v>14</v>
      </c>
      <c r="C166" s="31">
        <v>950.0</v>
      </c>
      <c r="D166" s="31">
        <f t="shared" si="1"/>
        <v>1</v>
      </c>
    </row>
    <row r="167">
      <c r="A167" s="29">
        <v>44362.0</v>
      </c>
      <c r="B167" s="30" t="s">
        <v>14</v>
      </c>
      <c r="C167" s="31">
        <v>865.0</v>
      </c>
      <c r="D167" s="31">
        <f t="shared" si="1"/>
        <v>1</v>
      </c>
    </row>
    <row r="168">
      <c r="A168" s="29">
        <v>44363.0</v>
      </c>
      <c r="B168" s="30" t="s">
        <v>15</v>
      </c>
      <c r="C168" s="31">
        <v>575.0</v>
      </c>
      <c r="D168" s="31">
        <f t="shared" si="1"/>
        <v>1</v>
      </c>
    </row>
    <row r="169">
      <c r="A169" s="29">
        <v>44364.0</v>
      </c>
      <c r="B169" s="30" t="s">
        <v>15</v>
      </c>
      <c r="C169" s="31">
        <v>985.0</v>
      </c>
      <c r="D169" s="31">
        <f t="shared" si="1"/>
        <v>1</v>
      </c>
    </row>
    <row r="170">
      <c r="A170" s="29">
        <v>44365.0</v>
      </c>
      <c r="B170" s="30" t="s">
        <v>16</v>
      </c>
      <c r="C170" s="31" t="s">
        <v>17</v>
      </c>
      <c r="D170" s="31">
        <f t="shared" si="1"/>
        <v>1</v>
      </c>
    </row>
    <row r="171">
      <c r="A171" s="29">
        <v>44366.0</v>
      </c>
      <c r="B171" s="30" t="s">
        <v>14</v>
      </c>
      <c r="C171" s="31">
        <v>790.0</v>
      </c>
      <c r="D171" s="31">
        <f t="shared" si="1"/>
        <v>1</v>
      </c>
    </row>
    <row r="172">
      <c r="A172" s="29">
        <v>44367.0</v>
      </c>
      <c r="B172" s="30" t="s">
        <v>13</v>
      </c>
      <c r="C172" s="31">
        <v>530.0</v>
      </c>
      <c r="D172" s="31">
        <f t="shared" si="1"/>
        <v>1</v>
      </c>
    </row>
    <row r="173">
      <c r="A173" s="29">
        <v>44368.0</v>
      </c>
      <c r="B173" s="30" t="s">
        <v>14</v>
      </c>
      <c r="C173" s="31">
        <v>940.0</v>
      </c>
      <c r="D173" s="31">
        <f t="shared" si="1"/>
        <v>1</v>
      </c>
    </row>
    <row r="174">
      <c r="A174" s="29">
        <v>44369.0</v>
      </c>
      <c r="B174" s="30" t="s">
        <v>14</v>
      </c>
      <c r="C174" s="31">
        <v>730.0</v>
      </c>
      <c r="D174" s="31">
        <f t="shared" si="1"/>
        <v>1</v>
      </c>
    </row>
    <row r="175">
      <c r="A175" s="29">
        <v>44370.0</v>
      </c>
      <c r="B175" s="30" t="s">
        <v>15</v>
      </c>
      <c r="C175" s="31">
        <v>630.0</v>
      </c>
      <c r="D175" s="31">
        <f t="shared" si="1"/>
        <v>1</v>
      </c>
    </row>
    <row r="176">
      <c r="A176" s="29">
        <v>44371.0</v>
      </c>
      <c r="B176" s="30" t="s">
        <v>14</v>
      </c>
      <c r="C176" s="31">
        <v>560.0</v>
      </c>
      <c r="D176" s="31">
        <f t="shared" si="1"/>
        <v>1</v>
      </c>
    </row>
    <row r="177">
      <c r="A177" s="29">
        <v>44372.0</v>
      </c>
      <c r="B177" s="30" t="s">
        <v>15</v>
      </c>
      <c r="C177" s="31">
        <v>610.0</v>
      </c>
      <c r="D177" s="31">
        <f t="shared" si="1"/>
        <v>1</v>
      </c>
    </row>
    <row r="178">
      <c r="A178" s="29">
        <v>44373.0</v>
      </c>
      <c r="B178" s="30" t="s">
        <v>16</v>
      </c>
      <c r="C178" s="31" t="s">
        <v>17</v>
      </c>
      <c r="D178" s="31">
        <f t="shared" si="1"/>
        <v>1</v>
      </c>
    </row>
    <row r="179">
      <c r="A179" s="29">
        <v>44374.0</v>
      </c>
      <c r="B179" s="30" t="s">
        <v>13</v>
      </c>
      <c r="C179" s="31">
        <v>880.0</v>
      </c>
      <c r="D179" s="31">
        <f t="shared" si="1"/>
        <v>1</v>
      </c>
    </row>
    <row r="180">
      <c r="A180" s="29">
        <v>44375.0</v>
      </c>
      <c r="B180" s="30" t="s">
        <v>14</v>
      </c>
      <c r="C180" s="31">
        <v>880.0</v>
      </c>
      <c r="D180" s="31">
        <f t="shared" si="1"/>
        <v>1</v>
      </c>
    </row>
    <row r="181">
      <c r="A181" s="29">
        <v>44376.0</v>
      </c>
      <c r="B181" s="30" t="s">
        <v>14</v>
      </c>
      <c r="C181" s="31">
        <v>620.0</v>
      </c>
      <c r="D181" s="31">
        <f t="shared" si="1"/>
        <v>1</v>
      </c>
    </row>
    <row r="182">
      <c r="A182" s="29">
        <v>44377.0</v>
      </c>
      <c r="B182" s="30" t="s">
        <v>14</v>
      </c>
      <c r="C182" s="31">
        <v>570.0</v>
      </c>
      <c r="D182" s="31">
        <f t="shared" si="1"/>
        <v>1</v>
      </c>
    </row>
    <row r="183">
      <c r="A183" s="29">
        <v>44378.0</v>
      </c>
      <c r="B183" s="30" t="s">
        <v>15</v>
      </c>
      <c r="C183" s="31">
        <v>720.0</v>
      </c>
      <c r="D183" s="31">
        <f t="shared" si="1"/>
        <v>1</v>
      </c>
    </row>
    <row r="184">
      <c r="A184" s="29">
        <v>44379.0</v>
      </c>
      <c r="B184" s="30" t="s">
        <v>15</v>
      </c>
      <c r="C184" s="31">
        <v>775.0</v>
      </c>
      <c r="D184" s="31">
        <f t="shared" si="1"/>
        <v>1</v>
      </c>
    </row>
    <row r="185">
      <c r="A185" s="29">
        <v>44380.0</v>
      </c>
      <c r="B185" s="30" t="s">
        <v>16</v>
      </c>
      <c r="C185" s="31" t="s">
        <v>17</v>
      </c>
      <c r="D185" s="31">
        <f t="shared" si="1"/>
        <v>1</v>
      </c>
    </row>
    <row r="186">
      <c r="A186" s="29">
        <v>44381.0</v>
      </c>
      <c r="B186" s="30" t="s">
        <v>14</v>
      </c>
      <c r="C186" s="31">
        <v>610.0</v>
      </c>
      <c r="D186" s="31">
        <f t="shared" si="1"/>
        <v>1</v>
      </c>
    </row>
    <row r="187">
      <c r="A187" s="29">
        <v>44382.0</v>
      </c>
      <c r="B187" s="30" t="s">
        <v>15</v>
      </c>
      <c r="C187" s="31">
        <v>820.0</v>
      </c>
      <c r="D187" s="31">
        <f t="shared" si="1"/>
        <v>1</v>
      </c>
    </row>
    <row r="188">
      <c r="A188" s="29">
        <v>44383.0</v>
      </c>
      <c r="B188" s="30" t="s">
        <v>14</v>
      </c>
      <c r="C188" s="31">
        <v>975.0</v>
      </c>
      <c r="D188" s="31">
        <f t="shared" si="1"/>
        <v>1</v>
      </c>
    </row>
    <row r="189">
      <c r="A189" s="29">
        <v>44384.0</v>
      </c>
      <c r="B189" s="30" t="s">
        <v>14</v>
      </c>
      <c r="C189" s="31">
        <v>975.0</v>
      </c>
      <c r="D189" s="31">
        <f t="shared" si="1"/>
        <v>1</v>
      </c>
    </row>
    <row r="190">
      <c r="A190" s="29">
        <v>44385.0</v>
      </c>
      <c r="B190" s="30" t="s">
        <v>14</v>
      </c>
      <c r="C190" s="31">
        <v>620.0</v>
      </c>
      <c r="D190" s="31">
        <f t="shared" si="1"/>
        <v>1</v>
      </c>
    </row>
    <row r="191">
      <c r="A191" s="29">
        <v>44386.0</v>
      </c>
      <c r="B191" s="30" t="s">
        <v>15</v>
      </c>
      <c r="C191" s="31">
        <v>935.0</v>
      </c>
      <c r="D191" s="31">
        <f t="shared" si="1"/>
        <v>1</v>
      </c>
    </row>
    <row r="192">
      <c r="A192" s="29">
        <v>44387.0</v>
      </c>
      <c r="B192" s="30" t="s">
        <v>14</v>
      </c>
      <c r="C192" s="31">
        <v>640.0</v>
      </c>
      <c r="D192" s="31">
        <f t="shared" si="1"/>
        <v>1</v>
      </c>
    </row>
    <row r="193">
      <c r="A193" s="29">
        <v>44388.0</v>
      </c>
      <c r="B193" s="30" t="s">
        <v>14</v>
      </c>
      <c r="C193" s="31">
        <v>625.0</v>
      </c>
      <c r="D193" s="31">
        <f t="shared" si="1"/>
        <v>1</v>
      </c>
    </row>
    <row r="194">
      <c r="A194" s="29">
        <v>44389.0</v>
      </c>
      <c r="B194" s="30" t="s">
        <v>15</v>
      </c>
      <c r="C194" s="31">
        <v>775.0</v>
      </c>
      <c r="D194" s="31">
        <f t="shared" si="1"/>
        <v>1</v>
      </c>
    </row>
    <row r="195">
      <c r="A195" s="29">
        <v>44390.0</v>
      </c>
      <c r="B195" s="30" t="s">
        <v>16</v>
      </c>
      <c r="C195" s="31" t="s">
        <v>17</v>
      </c>
      <c r="D195" s="31">
        <f t="shared" si="1"/>
        <v>1</v>
      </c>
    </row>
    <row r="196">
      <c r="A196" s="29">
        <v>44391.0</v>
      </c>
      <c r="B196" s="30" t="s">
        <v>14</v>
      </c>
      <c r="C196" s="31">
        <v>730.0</v>
      </c>
      <c r="D196" s="31">
        <f t="shared" si="1"/>
        <v>1</v>
      </c>
    </row>
    <row r="197">
      <c r="A197" s="29">
        <v>44392.0</v>
      </c>
      <c r="B197" s="30" t="s">
        <v>13</v>
      </c>
      <c r="C197" s="31">
        <v>885.0</v>
      </c>
      <c r="D197" s="31">
        <f t="shared" si="1"/>
        <v>1</v>
      </c>
    </row>
    <row r="198">
      <c r="A198" s="29">
        <v>44393.0</v>
      </c>
      <c r="B198" s="30" t="s">
        <v>14</v>
      </c>
      <c r="C198" s="31">
        <v>570.0</v>
      </c>
      <c r="D198" s="31">
        <f t="shared" si="1"/>
        <v>1</v>
      </c>
    </row>
    <row r="199">
      <c r="A199" s="29">
        <v>44394.0</v>
      </c>
      <c r="B199" s="30" t="s">
        <v>14</v>
      </c>
      <c r="C199" s="31">
        <v>950.0</v>
      </c>
      <c r="D199" s="31">
        <f t="shared" si="1"/>
        <v>1</v>
      </c>
    </row>
    <row r="200">
      <c r="A200" s="29">
        <v>44395.0</v>
      </c>
      <c r="B200" s="30" t="s">
        <v>14</v>
      </c>
      <c r="C200" s="31">
        <v>545.0</v>
      </c>
      <c r="D200" s="31">
        <f t="shared" si="1"/>
        <v>1</v>
      </c>
    </row>
    <row r="201">
      <c r="A201" s="29">
        <v>44396.0</v>
      </c>
      <c r="B201" s="30" t="s">
        <v>15</v>
      </c>
      <c r="C201" s="31">
        <v>870.0</v>
      </c>
      <c r="D201" s="31">
        <f t="shared" si="1"/>
        <v>1</v>
      </c>
    </row>
    <row r="202">
      <c r="A202" s="29">
        <v>44397.0</v>
      </c>
      <c r="B202" s="30" t="s">
        <v>16</v>
      </c>
      <c r="C202" s="31" t="s">
        <v>17</v>
      </c>
      <c r="D202" s="31">
        <f t="shared" si="1"/>
        <v>1</v>
      </c>
    </row>
    <row r="203">
      <c r="A203" s="29">
        <v>44398.0</v>
      </c>
      <c r="B203" s="30" t="s">
        <v>13</v>
      </c>
      <c r="C203" s="31">
        <v>885.0</v>
      </c>
      <c r="D203" s="31">
        <f t="shared" si="1"/>
        <v>1</v>
      </c>
    </row>
    <row r="204">
      <c r="A204" s="29">
        <v>44399.0</v>
      </c>
      <c r="B204" s="30" t="s">
        <v>14</v>
      </c>
      <c r="C204" s="31">
        <v>655.0</v>
      </c>
      <c r="D204" s="31">
        <f t="shared" si="1"/>
        <v>1</v>
      </c>
    </row>
    <row r="205">
      <c r="A205" s="29">
        <v>44400.0</v>
      </c>
      <c r="B205" s="30" t="s">
        <v>14</v>
      </c>
      <c r="C205" s="31">
        <v>645.0</v>
      </c>
      <c r="D205" s="31">
        <f t="shared" si="1"/>
        <v>1</v>
      </c>
    </row>
    <row r="206">
      <c r="A206" s="29">
        <v>44401.0</v>
      </c>
      <c r="B206" s="30" t="s">
        <v>15</v>
      </c>
      <c r="C206" s="31">
        <v>880.0</v>
      </c>
      <c r="D206" s="31">
        <f t="shared" si="1"/>
        <v>1</v>
      </c>
    </row>
    <row r="207">
      <c r="A207" s="29">
        <v>44402.0</v>
      </c>
      <c r="B207" s="30" t="s">
        <v>15</v>
      </c>
      <c r="C207" s="31">
        <v>910.0</v>
      </c>
      <c r="D207" s="31">
        <f t="shared" si="1"/>
        <v>1</v>
      </c>
    </row>
    <row r="208">
      <c r="A208" s="29">
        <v>44403.0</v>
      </c>
      <c r="B208" s="30" t="s">
        <v>16</v>
      </c>
      <c r="C208" s="31" t="s">
        <v>17</v>
      </c>
      <c r="D208" s="31">
        <f t="shared" si="1"/>
        <v>1</v>
      </c>
    </row>
    <row r="209">
      <c r="A209" s="29">
        <v>44404.0</v>
      </c>
      <c r="B209" s="30" t="s">
        <v>14</v>
      </c>
      <c r="C209" s="31">
        <v>930.0</v>
      </c>
      <c r="D209" s="31">
        <f t="shared" si="1"/>
        <v>1</v>
      </c>
    </row>
    <row r="210">
      <c r="A210" s="29">
        <v>44405.0</v>
      </c>
      <c r="B210" s="30" t="s">
        <v>14</v>
      </c>
      <c r="C210" s="31">
        <v>725.0</v>
      </c>
      <c r="D210" s="31">
        <f t="shared" si="1"/>
        <v>1</v>
      </c>
    </row>
    <row r="211">
      <c r="A211" s="29">
        <v>44406.0</v>
      </c>
      <c r="B211" s="30" t="s">
        <v>13</v>
      </c>
      <c r="C211" s="31">
        <v>530.0</v>
      </c>
      <c r="D211" s="31">
        <f t="shared" si="1"/>
        <v>1</v>
      </c>
    </row>
    <row r="212">
      <c r="A212" s="29">
        <v>44407.0</v>
      </c>
      <c r="B212" s="30" t="s">
        <v>14</v>
      </c>
      <c r="C212" s="31">
        <v>890.0</v>
      </c>
      <c r="D212" s="31">
        <f t="shared" si="1"/>
        <v>1</v>
      </c>
    </row>
    <row r="213">
      <c r="A213" s="29">
        <v>44408.0</v>
      </c>
      <c r="B213" s="30" t="s">
        <v>14</v>
      </c>
      <c r="C213" s="31">
        <v>720.0</v>
      </c>
      <c r="D213" s="31">
        <f t="shared" si="1"/>
        <v>1</v>
      </c>
    </row>
    <row r="214">
      <c r="A214" s="29">
        <v>44409.0</v>
      </c>
      <c r="B214" s="30" t="s">
        <v>15</v>
      </c>
      <c r="C214" s="31">
        <v>845.0</v>
      </c>
      <c r="D214" s="31">
        <f t="shared" si="1"/>
        <v>1</v>
      </c>
    </row>
    <row r="215">
      <c r="A215" s="29">
        <v>44410.0</v>
      </c>
      <c r="B215" s="30" t="s">
        <v>14</v>
      </c>
      <c r="C215" s="31">
        <v>990.0</v>
      </c>
      <c r="D215" s="31">
        <f t="shared" si="1"/>
        <v>1</v>
      </c>
    </row>
    <row r="216">
      <c r="A216" s="29">
        <v>44411.0</v>
      </c>
      <c r="B216" s="30" t="s">
        <v>15</v>
      </c>
      <c r="C216" s="31">
        <v>680.0</v>
      </c>
      <c r="D216" s="31">
        <f t="shared" si="1"/>
        <v>1</v>
      </c>
    </row>
    <row r="217">
      <c r="A217" s="29">
        <v>44412.0</v>
      </c>
      <c r="B217" s="30" t="s">
        <v>16</v>
      </c>
      <c r="C217" s="31" t="s">
        <v>17</v>
      </c>
      <c r="D217" s="31">
        <f t="shared" si="1"/>
        <v>1</v>
      </c>
    </row>
    <row r="218">
      <c r="A218" s="29">
        <v>44413.0</v>
      </c>
      <c r="B218" s="30" t="s">
        <v>14</v>
      </c>
      <c r="C218" s="31">
        <v>965.0</v>
      </c>
      <c r="D218" s="31">
        <f t="shared" si="1"/>
        <v>1</v>
      </c>
    </row>
    <row r="219">
      <c r="A219" s="29">
        <v>44414.0</v>
      </c>
      <c r="B219" s="30" t="s">
        <v>13</v>
      </c>
      <c r="C219" s="31">
        <v>750.0</v>
      </c>
      <c r="D219" s="31">
        <f t="shared" si="1"/>
        <v>1</v>
      </c>
    </row>
    <row r="220">
      <c r="A220" s="29">
        <v>44415.0</v>
      </c>
      <c r="B220" s="30" t="s">
        <v>14</v>
      </c>
      <c r="C220" s="31">
        <v>570.0</v>
      </c>
      <c r="D220" s="31">
        <f t="shared" si="1"/>
        <v>1</v>
      </c>
    </row>
    <row r="221">
      <c r="A221" s="29">
        <v>44416.0</v>
      </c>
      <c r="B221" s="30" t="s">
        <v>14</v>
      </c>
      <c r="C221" s="31">
        <v>715.0</v>
      </c>
      <c r="D221" s="31">
        <f t="shared" si="1"/>
        <v>1</v>
      </c>
    </row>
    <row r="222">
      <c r="A222" s="29">
        <v>44417.0</v>
      </c>
      <c r="B222" s="30" t="s">
        <v>14</v>
      </c>
      <c r="C222" s="31">
        <v>680.0</v>
      </c>
      <c r="D222" s="31">
        <f t="shared" si="1"/>
        <v>1</v>
      </c>
    </row>
    <row r="223">
      <c r="A223" s="29">
        <v>44418.0</v>
      </c>
      <c r="B223" s="30" t="s">
        <v>15</v>
      </c>
      <c r="C223" s="31">
        <v>560.0</v>
      </c>
      <c r="D223" s="31">
        <f t="shared" si="1"/>
        <v>1</v>
      </c>
    </row>
    <row r="224">
      <c r="A224" s="29">
        <v>44419.0</v>
      </c>
      <c r="B224" s="30" t="s">
        <v>16</v>
      </c>
      <c r="C224" s="31" t="s">
        <v>17</v>
      </c>
      <c r="D224" s="31">
        <f t="shared" si="1"/>
        <v>1</v>
      </c>
    </row>
    <row r="225">
      <c r="A225" s="29">
        <v>44420.0</v>
      </c>
      <c r="B225" s="30" t="s">
        <v>14</v>
      </c>
      <c r="C225" s="31">
        <v>550.0</v>
      </c>
      <c r="D225" s="31">
        <f t="shared" si="1"/>
        <v>1</v>
      </c>
    </row>
    <row r="226">
      <c r="A226" s="29">
        <v>44421.0</v>
      </c>
      <c r="B226" s="30" t="s">
        <v>15</v>
      </c>
      <c r="C226" s="31">
        <v>865.0</v>
      </c>
      <c r="D226" s="31">
        <f t="shared" si="1"/>
        <v>1</v>
      </c>
    </row>
    <row r="227">
      <c r="A227" s="29">
        <v>44422.0</v>
      </c>
      <c r="B227" s="30" t="s">
        <v>14</v>
      </c>
      <c r="C227" s="31">
        <v>915.0</v>
      </c>
      <c r="D227" s="31">
        <f t="shared" si="1"/>
        <v>1</v>
      </c>
    </row>
    <row r="228">
      <c r="A228" s="29">
        <v>44423.0</v>
      </c>
      <c r="B228" s="30" t="s">
        <v>14</v>
      </c>
      <c r="C228" s="31">
        <v>805.0</v>
      </c>
      <c r="D228" s="31">
        <f t="shared" si="1"/>
        <v>1</v>
      </c>
    </row>
    <row r="229">
      <c r="A229" s="29">
        <v>44424.0</v>
      </c>
      <c r="B229" s="30" t="s">
        <v>15</v>
      </c>
      <c r="C229" s="31">
        <v>760.0</v>
      </c>
      <c r="D229" s="31">
        <f t="shared" si="1"/>
        <v>1</v>
      </c>
    </row>
    <row r="230">
      <c r="A230" s="29">
        <v>44425.0</v>
      </c>
      <c r="B230" s="30" t="s">
        <v>14</v>
      </c>
      <c r="C230" s="31">
        <v>685.0</v>
      </c>
      <c r="D230" s="31">
        <f t="shared" si="1"/>
        <v>1</v>
      </c>
    </row>
    <row r="231">
      <c r="A231" s="29">
        <v>44426.0</v>
      </c>
      <c r="B231" s="30" t="s">
        <v>13</v>
      </c>
      <c r="C231" s="31">
        <v>610.0</v>
      </c>
      <c r="D231" s="31">
        <f t="shared" si="1"/>
        <v>1</v>
      </c>
    </row>
    <row r="232">
      <c r="A232" s="29">
        <v>44427.0</v>
      </c>
      <c r="B232" s="30" t="s">
        <v>16</v>
      </c>
      <c r="C232" s="31" t="s">
        <v>17</v>
      </c>
      <c r="D232" s="31">
        <f t="shared" si="1"/>
        <v>1</v>
      </c>
    </row>
    <row r="233">
      <c r="A233" s="29">
        <v>44428.0</v>
      </c>
      <c r="B233" s="30" t="s">
        <v>14</v>
      </c>
      <c r="C233" s="31">
        <v>935.0</v>
      </c>
      <c r="D233" s="31">
        <f t="shared" si="1"/>
        <v>1</v>
      </c>
    </row>
    <row r="234">
      <c r="A234" s="29">
        <v>44429.0</v>
      </c>
      <c r="B234" s="30" t="s">
        <v>14</v>
      </c>
      <c r="C234" s="31">
        <v>580.0</v>
      </c>
      <c r="D234" s="31">
        <f t="shared" si="1"/>
        <v>1</v>
      </c>
    </row>
    <row r="235">
      <c r="A235" s="29">
        <v>44430.0</v>
      </c>
      <c r="B235" s="30" t="s">
        <v>15</v>
      </c>
      <c r="C235" s="31">
        <v>795.0</v>
      </c>
      <c r="D235" s="31">
        <f t="shared" si="1"/>
        <v>1</v>
      </c>
    </row>
    <row r="236">
      <c r="A236" s="29">
        <v>44431.0</v>
      </c>
      <c r="B236" s="30" t="s">
        <v>15</v>
      </c>
      <c r="C236" s="31">
        <v>660.0</v>
      </c>
      <c r="D236" s="31">
        <f t="shared" si="1"/>
        <v>1</v>
      </c>
    </row>
    <row r="237">
      <c r="A237" s="29">
        <v>44432.0</v>
      </c>
      <c r="B237" s="30" t="s">
        <v>16</v>
      </c>
      <c r="C237" s="31" t="s">
        <v>17</v>
      </c>
      <c r="D237" s="31">
        <f t="shared" si="1"/>
        <v>1</v>
      </c>
    </row>
    <row r="238">
      <c r="A238" s="29">
        <v>44433.0</v>
      </c>
      <c r="B238" s="30" t="s">
        <v>14</v>
      </c>
      <c r="C238" s="31">
        <v>845.0</v>
      </c>
      <c r="D238" s="31">
        <f t="shared" si="1"/>
        <v>1</v>
      </c>
    </row>
    <row r="239">
      <c r="A239" s="29">
        <v>44434.0</v>
      </c>
      <c r="B239" s="30" t="s">
        <v>13</v>
      </c>
      <c r="C239" s="31">
        <v>670.0</v>
      </c>
      <c r="D239" s="31">
        <f t="shared" si="1"/>
        <v>1</v>
      </c>
    </row>
    <row r="240">
      <c r="A240" s="29">
        <v>44435.0</v>
      </c>
      <c r="B240" s="30" t="s">
        <v>14</v>
      </c>
      <c r="C240" s="31">
        <v>940.0</v>
      </c>
      <c r="D240" s="31">
        <f t="shared" si="1"/>
        <v>1</v>
      </c>
    </row>
    <row r="241">
      <c r="A241" s="29">
        <v>44436.0</v>
      </c>
      <c r="B241" s="30" t="s">
        <v>14</v>
      </c>
      <c r="C241" s="31">
        <v>840.0</v>
      </c>
      <c r="D241" s="31">
        <f t="shared" si="1"/>
        <v>1</v>
      </c>
    </row>
    <row r="242">
      <c r="A242" s="29">
        <v>44437.0</v>
      </c>
      <c r="B242" s="30" t="s">
        <v>15</v>
      </c>
      <c r="C242" s="31">
        <v>780.0</v>
      </c>
      <c r="D242" s="31">
        <f t="shared" si="1"/>
        <v>1</v>
      </c>
    </row>
    <row r="243">
      <c r="A243" s="29">
        <v>44438.0</v>
      </c>
      <c r="B243" s="30" t="s">
        <v>14</v>
      </c>
      <c r="C243" s="31">
        <v>620.0</v>
      </c>
      <c r="D243" s="31">
        <f t="shared" si="1"/>
        <v>1</v>
      </c>
    </row>
    <row r="244">
      <c r="A244" s="29">
        <v>44439.0</v>
      </c>
      <c r="B244" s="30" t="s">
        <v>15</v>
      </c>
      <c r="C244" s="31">
        <v>675.0</v>
      </c>
      <c r="D244" s="31">
        <f t="shared" si="1"/>
        <v>1</v>
      </c>
    </row>
    <row r="245">
      <c r="A245" s="29">
        <v>44440.0</v>
      </c>
      <c r="B245" s="30" t="s">
        <v>16</v>
      </c>
      <c r="C245" s="31" t="s">
        <v>17</v>
      </c>
      <c r="D245" s="31">
        <f t="shared" si="1"/>
        <v>1</v>
      </c>
    </row>
    <row r="246">
      <c r="A246" s="29">
        <v>44441.0</v>
      </c>
      <c r="B246" s="30" t="s">
        <v>13</v>
      </c>
      <c r="C246" s="31">
        <v>740.0</v>
      </c>
      <c r="D246" s="31">
        <f t="shared" si="1"/>
        <v>1</v>
      </c>
    </row>
    <row r="247">
      <c r="A247" s="29">
        <v>44442.0</v>
      </c>
      <c r="B247" s="30" t="s">
        <v>14</v>
      </c>
      <c r="C247" s="31">
        <v>790.0</v>
      </c>
      <c r="D247" s="31">
        <f t="shared" si="1"/>
        <v>1</v>
      </c>
    </row>
    <row r="248">
      <c r="A248" s="29">
        <v>44443.0</v>
      </c>
      <c r="B248" s="30" t="s">
        <v>14</v>
      </c>
      <c r="C248" s="31">
        <v>655.0</v>
      </c>
      <c r="D248" s="31">
        <f t="shared" si="1"/>
        <v>1</v>
      </c>
    </row>
    <row r="249">
      <c r="A249" s="29">
        <v>44444.0</v>
      </c>
      <c r="B249" s="30" t="s">
        <v>14</v>
      </c>
      <c r="C249" s="31">
        <v>560.0</v>
      </c>
      <c r="D249" s="31">
        <f t="shared" si="1"/>
        <v>1</v>
      </c>
    </row>
    <row r="250">
      <c r="A250" s="29">
        <v>44445.0</v>
      </c>
      <c r="B250" s="30" t="s">
        <v>15</v>
      </c>
      <c r="C250" s="31">
        <v>515.0</v>
      </c>
      <c r="D250" s="31">
        <f t="shared" si="1"/>
        <v>1</v>
      </c>
    </row>
    <row r="251">
      <c r="A251" s="29">
        <v>44446.0</v>
      </c>
      <c r="B251" s="30" t="s">
        <v>15</v>
      </c>
      <c r="C251" s="31">
        <v>565.0</v>
      </c>
      <c r="D251" s="31">
        <f t="shared" si="1"/>
        <v>1</v>
      </c>
    </row>
    <row r="252">
      <c r="A252" s="29">
        <v>44447.0</v>
      </c>
      <c r="B252" s="30" t="s">
        <v>16</v>
      </c>
      <c r="C252" s="31" t="s">
        <v>17</v>
      </c>
      <c r="D252" s="31">
        <f t="shared" si="1"/>
        <v>1</v>
      </c>
    </row>
    <row r="253">
      <c r="A253" s="29">
        <v>44448.0</v>
      </c>
      <c r="B253" s="30" t="s">
        <v>14</v>
      </c>
      <c r="C253" s="31">
        <v>800.0</v>
      </c>
      <c r="D253" s="31">
        <f t="shared" si="1"/>
        <v>1</v>
      </c>
    </row>
    <row r="254">
      <c r="A254" s="29">
        <v>44449.0</v>
      </c>
      <c r="B254" s="30" t="s">
        <v>15</v>
      </c>
      <c r="C254" s="31">
        <v>865.0</v>
      </c>
      <c r="D254" s="31">
        <f t="shared" si="1"/>
        <v>1</v>
      </c>
    </row>
    <row r="255">
      <c r="A255" s="29">
        <v>44450.0</v>
      </c>
      <c r="B255" s="30" t="s">
        <v>14</v>
      </c>
      <c r="C255" s="31">
        <v>530.0</v>
      </c>
      <c r="D255" s="31">
        <f t="shared" si="1"/>
        <v>1</v>
      </c>
    </row>
    <row r="256">
      <c r="A256" s="29">
        <v>44451.0</v>
      </c>
      <c r="B256" s="30" t="s">
        <v>14</v>
      </c>
      <c r="C256" s="31">
        <v>540.0</v>
      </c>
      <c r="D256" s="31">
        <f t="shared" si="1"/>
        <v>1</v>
      </c>
    </row>
    <row r="257">
      <c r="A257" s="29">
        <v>44452.0</v>
      </c>
      <c r="B257" s="30" t="s">
        <v>14</v>
      </c>
      <c r="C257" s="31">
        <v>620.0</v>
      </c>
      <c r="D257" s="31">
        <f t="shared" si="1"/>
        <v>1</v>
      </c>
    </row>
    <row r="258">
      <c r="A258" s="29">
        <v>44453.0</v>
      </c>
      <c r="B258" s="30" t="s">
        <v>15</v>
      </c>
      <c r="C258" s="31">
        <v>805.0</v>
      </c>
      <c r="D258" s="31">
        <f t="shared" si="1"/>
        <v>1</v>
      </c>
    </row>
    <row r="259">
      <c r="A259" s="29">
        <v>44454.0</v>
      </c>
      <c r="B259" s="30" t="s">
        <v>14</v>
      </c>
      <c r="C259" s="31">
        <v>535.0</v>
      </c>
      <c r="D259" s="31">
        <f t="shared" si="1"/>
        <v>1</v>
      </c>
    </row>
    <row r="260">
      <c r="A260" s="29">
        <v>44455.0</v>
      </c>
      <c r="B260" s="30" t="s">
        <v>14</v>
      </c>
      <c r="C260" s="31">
        <v>905.0</v>
      </c>
      <c r="D260" s="31">
        <f t="shared" si="1"/>
        <v>1</v>
      </c>
    </row>
    <row r="261">
      <c r="A261" s="29">
        <v>44456.0</v>
      </c>
      <c r="B261" s="30" t="s">
        <v>15</v>
      </c>
      <c r="C261" s="31">
        <v>535.0</v>
      </c>
      <c r="D261" s="31">
        <f t="shared" si="1"/>
        <v>1</v>
      </c>
    </row>
    <row r="262">
      <c r="A262" s="29">
        <v>44457.0</v>
      </c>
      <c r="B262" s="30" t="s">
        <v>16</v>
      </c>
      <c r="C262" s="31" t="s">
        <v>17</v>
      </c>
      <c r="D262" s="31">
        <f t="shared" si="1"/>
        <v>1</v>
      </c>
    </row>
    <row r="263">
      <c r="A263" s="29">
        <v>44458.0</v>
      </c>
      <c r="B263" s="30" t="s">
        <v>14</v>
      </c>
      <c r="C263" s="31">
        <v>670.0</v>
      </c>
      <c r="D263" s="31">
        <f t="shared" si="1"/>
        <v>1</v>
      </c>
    </row>
    <row r="264">
      <c r="A264" s="29">
        <v>44459.0</v>
      </c>
      <c r="B264" s="30" t="s">
        <v>13</v>
      </c>
      <c r="C264" s="31">
        <v>625.0</v>
      </c>
      <c r="D264" s="31">
        <f t="shared" si="1"/>
        <v>1</v>
      </c>
    </row>
    <row r="265">
      <c r="A265" s="29">
        <v>44460.0</v>
      </c>
      <c r="B265" s="30" t="s">
        <v>14</v>
      </c>
      <c r="C265" s="31">
        <v>570.0</v>
      </c>
      <c r="D265" s="31">
        <f t="shared" si="1"/>
        <v>1</v>
      </c>
    </row>
    <row r="266">
      <c r="A266" s="29">
        <v>44461.0</v>
      </c>
      <c r="B266" s="30" t="s">
        <v>14</v>
      </c>
      <c r="C266" s="31">
        <v>705.0</v>
      </c>
      <c r="D266" s="31">
        <f t="shared" si="1"/>
        <v>1</v>
      </c>
    </row>
    <row r="267">
      <c r="A267" s="29">
        <v>44462.0</v>
      </c>
      <c r="B267" s="30" t="s">
        <v>14</v>
      </c>
      <c r="C267" s="31">
        <v>775.0</v>
      </c>
      <c r="D267" s="31">
        <f t="shared" si="1"/>
        <v>1</v>
      </c>
    </row>
    <row r="268">
      <c r="A268" s="29">
        <v>44463.0</v>
      </c>
      <c r="B268" s="30" t="s">
        <v>15</v>
      </c>
      <c r="C268" s="31">
        <v>685.0</v>
      </c>
      <c r="D268" s="31">
        <f t="shared" si="1"/>
        <v>1</v>
      </c>
    </row>
    <row r="269">
      <c r="A269" s="29">
        <v>44464.0</v>
      </c>
      <c r="B269" s="30" t="s">
        <v>16</v>
      </c>
      <c r="C269" s="31" t="s">
        <v>17</v>
      </c>
      <c r="D269" s="31">
        <f t="shared" si="1"/>
        <v>1</v>
      </c>
    </row>
    <row r="270">
      <c r="A270" s="29">
        <v>44465.0</v>
      </c>
      <c r="B270" s="30" t="s">
        <v>13</v>
      </c>
      <c r="C270" s="31">
        <v>1000.0</v>
      </c>
      <c r="D270" s="31">
        <f t="shared" si="1"/>
        <v>1</v>
      </c>
    </row>
    <row r="271">
      <c r="A271" s="29">
        <v>44466.0</v>
      </c>
      <c r="B271" s="30" t="s">
        <v>14</v>
      </c>
      <c r="C271" s="31">
        <v>955.0</v>
      </c>
      <c r="D271" s="31">
        <f t="shared" si="1"/>
        <v>1</v>
      </c>
    </row>
    <row r="272">
      <c r="A272" s="29">
        <v>44467.0</v>
      </c>
      <c r="B272" s="30" t="s">
        <v>14</v>
      </c>
      <c r="C272" s="31">
        <v>980.0</v>
      </c>
      <c r="D272" s="31">
        <f t="shared" si="1"/>
        <v>1</v>
      </c>
    </row>
    <row r="273">
      <c r="A273" s="29">
        <v>44468.0</v>
      </c>
      <c r="B273" s="30" t="s">
        <v>15</v>
      </c>
      <c r="C273" s="31">
        <v>735.0</v>
      </c>
      <c r="D273" s="31">
        <f t="shared" si="1"/>
        <v>1</v>
      </c>
    </row>
    <row r="274">
      <c r="A274" s="29">
        <v>44469.0</v>
      </c>
      <c r="B274" s="30" t="s">
        <v>15</v>
      </c>
      <c r="C274" s="31">
        <v>720.0</v>
      </c>
      <c r="D274" s="31">
        <f t="shared" si="1"/>
        <v>1</v>
      </c>
    </row>
    <row r="275">
      <c r="A275" s="29">
        <v>44470.0</v>
      </c>
      <c r="B275" s="30" t="s">
        <v>16</v>
      </c>
      <c r="C275" s="31" t="s">
        <v>17</v>
      </c>
      <c r="D275" s="31">
        <f t="shared" si="1"/>
        <v>1</v>
      </c>
    </row>
    <row r="276">
      <c r="A276" s="29">
        <v>44471.0</v>
      </c>
      <c r="B276" s="30" t="s">
        <v>14</v>
      </c>
      <c r="C276" s="31">
        <v>755.0</v>
      </c>
      <c r="D276" s="31">
        <f t="shared" si="1"/>
        <v>1</v>
      </c>
    </row>
    <row r="277">
      <c r="A277" s="29">
        <v>44472.0</v>
      </c>
      <c r="B277" s="30" t="s">
        <v>14</v>
      </c>
      <c r="C277" s="31">
        <v>885.0</v>
      </c>
      <c r="D277" s="31">
        <f t="shared" si="1"/>
        <v>1</v>
      </c>
    </row>
    <row r="278">
      <c r="A278" s="29">
        <v>44473.0</v>
      </c>
      <c r="B278" s="30" t="s">
        <v>13</v>
      </c>
      <c r="C278" s="31">
        <v>980.0</v>
      </c>
      <c r="D278" s="31">
        <f t="shared" si="1"/>
        <v>1</v>
      </c>
    </row>
    <row r="279">
      <c r="A279" s="29">
        <v>44474.0</v>
      </c>
      <c r="B279" s="30" t="s">
        <v>14</v>
      </c>
      <c r="C279" s="31">
        <v>840.0</v>
      </c>
      <c r="D279" s="31">
        <f t="shared" si="1"/>
        <v>1</v>
      </c>
    </row>
    <row r="280">
      <c r="A280" s="29">
        <v>44475.0</v>
      </c>
      <c r="B280" s="30" t="s">
        <v>14</v>
      </c>
      <c r="C280" s="31">
        <v>550.0</v>
      </c>
      <c r="D280" s="31">
        <f t="shared" si="1"/>
        <v>1</v>
      </c>
    </row>
    <row r="281">
      <c r="A281" s="29">
        <v>44476.0</v>
      </c>
      <c r="B281" s="30" t="s">
        <v>15</v>
      </c>
      <c r="C281" s="31">
        <v>660.0</v>
      </c>
      <c r="D281" s="31">
        <f t="shared" si="1"/>
        <v>1</v>
      </c>
    </row>
    <row r="282">
      <c r="A282" s="29">
        <v>44477.0</v>
      </c>
      <c r="B282" s="30" t="s">
        <v>14</v>
      </c>
      <c r="C282" s="31">
        <v>520.0</v>
      </c>
      <c r="D282" s="31">
        <f t="shared" si="1"/>
        <v>1</v>
      </c>
    </row>
    <row r="283">
      <c r="A283" s="29">
        <v>44478.0</v>
      </c>
      <c r="B283" s="30" t="s">
        <v>15</v>
      </c>
      <c r="C283" s="31">
        <v>960.0</v>
      </c>
      <c r="D283" s="31">
        <f t="shared" si="1"/>
        <v>1</v>
      </c>
    </row>
    <row r="284">
      <c r="A284" s="29">
        <v>44479.0</v>
      </c>
      <c r="B284" s="30" t="s">
        <v>16</v>
      </c>
      <c r="C284" s="31" t="s">
        <v>17</v>
      </c>
      <c r="D284" s="31">
        <f t="shared" si="1"/>
        <v>1</v>
      </c>
    </row>
    <row r="285">
      <c r="A285" s="29">
        <v>44480.0</v>
      </c>
      <c r="B285" s="30" t="s">
        <v>14</v>
      </c>
      <c r="C285" s="31">
        <v>940.0</v>
      </c>
      <c r="D285" s="31">
        <f t="shared" si="1"/>
        <v>1</v>
      </c>
    </row>
    <row r="286">
      <c r="A286" s="29">
        <v>44481.0</v>
      </c>
      <c r="B286" s="30" t="s">
        <v>13</v>
      </c>
      <c r="C286" s="31">
        <v>720.0</v>
      </c>
      <c r="D286" s="31">
        <f t="shared" si="1"/>
        <v>1</v>
      </c>
    </row>
    <row r="287">
      <c r="A287" s="29">
        <v>44482.0</v>
      </c>
      <c r="B287" s="30" t="s">
        <v>14</v>
      </c>
      <c r="C287" s="31">
        <v>700.0</v>
      </c>
      <c r="D287" s="31">
        <f t="shared" si="1"/>
        <v>1</v>
      </c>
    </row>
    <row r="288">
      <c r="A288" s="29">
        <v>44483.0</v>
      </c>
      <c r="B288" s="30" t="s">
        <v>14</v>
      </c>
      <c r="C288" s="31">
        <v>885.0</v>
      </c>
      <c r="D288" s="31">
        <f t="shared" si="1"/>
        <v>1</v>
      </c>
    </row>
    <row r="289">
      <c r="A289" s="29">
        <v>44484.0</v>
      </c>
      <c r="B289" s="30" t="s">
        <v>14</v>
      </c>
      <c r="C289" s="31">
        <v>745.0</v>
      </c>
      <c r="D289" s="31">
        <f t="shared" si="1"/>
        <v>1</v>
      </c>
    </row>
    <row r="290">
      <c r="A290" s="29">
        <v>44485.0</v>
      </c>
      <c r="B290" s="30" t="s">
        <v>15</v>
      </c>
      <c r="C290" s="31">
        <v>585.0</v>
      </c>
      <c r="D290" s="31">
        <f t="shared" si="1"/>
        <v>1</v>
      </c>
    </row>
    <row r="291">
      <c r="A291" s="29">
        <v>44486.0</v>
      </c>
      <c r="B291" s="30" t="s">
        <v>16</v>
      </c>
      <c r="C291" s="31" t="s">
        <v>17</v>
      </c>
      <c r="D291" s="31">
        <f t="shared" si="1"/>
        <v>1</v>
      </c>
    </row>
    <row r="292">
      <c r="A292" s="29">
        <v>44487.0</v>
      </c>
      <c r="B292" s="30" t="s">
        <v>14</v>
      </c>
      <c r="C292" s="31">
        <v>670.0</v>
      </c>
      <c r="D292" s="31">
        <f t="shared" si="1"/>
        <v>1</v>
      </c>
    </row>
    <row r="293">
      <c r="A293" s="29">
        <v>44488.0</v>
      </c>
      <c r="B293" s="30" t="s">
        <v>15</v>
      </c>
      <c r="C293" s="31">
        <v>925.0</v>
      </c>
      <c r="D293" s="31">
        <f t="shared" si="1"/>
        <v>1</v>
      </c>
    </row>
    <row r="294">
      <c r="A294" s="29">
        <v>44489.0</v>
      </c>
      <c r="B294" s="30" t="s">
        <v>14</v>
      </c>
      <c r="C294" s="31">
        <v>660.0</v>
      </c>
      <c r="D294" s="31">
        <f t="shared" si="1"/>
        <v>1</v>
      </c>
    </row>
    <row r="295">
      <c r="A295" s="29">
        <v>44490.0</v>
      </c>
      <c r="B295" s="30" t="s">
        <v>14</v>
      </c>
      <c r="C295" s="31">
        <v>785.0</v>
      </c>
      <c r="D295" s="31">
        <f t="shared" si="1"/>
        <v>1</v>
      </c>
    </row>
    <row r="296">
      <c r="A296" s="29">
        <v>44491.0</v>
      </c>
      <c r="B296" s="30" t="s">
        <v>15</v>
      </c>
      <c r="C296" s="31">
        <v>790.0</v>
      </c>
      <c r="D296" s="31">
        <f t="shared" si="1"/>
        <v>1</v>
      </c>
    </row>
    <row r="297">
      <c r="A297" s="29">
        <v>44492.0</v>
      </c>
      <c r="B297" s="30" t="s">
        <v>14</v>
      </c>
      <c r="C297" s="31">
        <v>700.0</v>
      </c>
      <c r="D297" s="31">
        <f t="shared" si="1"/>
        <v>1</v>
      </c>
    </row>
    <row r="298">
      <c r="A298" s="29">
        <v>44493.0</v>
      </c>
      <c r="B298" s="30" t="s">
        <v>13</v>
      </c>
      <c r="C298" s="31">
        <v>955.0</v>
      </c>
      <c r="D298" s="31">
        <f t="shared" si="1"/>
        <v>1</v>
      </c>
    </row>
    <row r="299">
      <c r="A299" s="29">
        <v>44494.0</v>
      </c>
      <c r="B299" s="30" t="s">
        <v>16</v>
      </c>
      <c r="C299" s="31" t="s">
        <v>17</v>
      </c>
      <c r="D299" s="31">
        <f t="shared" si="1"/>
        <v>1</v>
      </c>
    </row>
    <row r="300">
      <c r="A300" s="29">
        <v>44495.0</v>
      </c>
      <c r="B300" s="30" t="s">
        <v>14</v>
      </c>
      <c r="C300" s="31">
        <v>985.0</v>
      </c>
      <c r="D300" s="31">
        <f t="shared" si="1"/>
        <v>1</v>
      </c>
    </row>
    <row r="301">
      <c r="A301" s="29">
        <v>44496.0</v>
      </c>
      <c r="B301" s="30" t="s">
        <v>14</v>
      </c>
      <c r="C301" s="31">
        <v>680.0</v>
      </c>
      <c r="D301" s="31">
        <f t="shared" si="1"/>
        <v>1</v>
      </c>
    </row>
    <row r="302">
      <c r="A302" s="29">
        <v>44497.0</v>
      </c>
      <c r="B302" s="30" t="s">
        <v>15</v>
      </c>
      <c r="C302" s="31">
        <v>750.0</v>
      </c>
      <c r="D302" s="31">
        <f t="shared" si="1"/>
        <v>1</v>
      </c>
    </row>
    <row r="303">
      <c r="A303" s="29">
        <v>44498.0</v>
      </c>
      <c r="B303" s="30" t="s">
        <v>15</v>
      </c>
      <c r="C303" s="31">
        <v>665.0</v>
      </c>
      <c r="D303" s="31">
        <f t="shared" si="1"/>
        <v>1</v>
      </c>
    </row>
    <row r="304">
      <c r="A304" s="29">
        <v>44499.0</v>
      </c>
      <c r="B304" s="30" t="s">
        <v>16</v>
      </c>
      <c r="C304" s="31" t="s">
        <v>17</v>
      </c>
      <c r="D304" s="31">
        <f t="shared" si="1"/>
        <v>1</v>
      </c>
    </row>
    <row r="305">
      <c r="A305" s="29">
        <v>44500.0</v>
      </c>
      <c r="B305" s="30" t="s">
        <v>14</v>
      </c>
      <c r="C305" s="31">
        <v>965.0</v>
      </c>
      <c r="D305" s="31">
        <f t="shared" si="1"/>
        <v>1</v>
      </c>
    </row>
    <row r="306">
      <c r="A306" s="29">
        <v>44501.0</v>
      </c>
      <c r="B306" s="30" t="s">
        <v>13</v>
      </c>
      <c r="C306" s="31">
        <v>515.0</v>
      </c>
      <c r="D306" s="31">
        <f t="shared" si="1"/>
        <v>1</v>
      </c>
    </row>
    <row r="307">
      <c r="A307" s="29">
        <v>44502.0</v>
      </c>
      <c r="B307" s="30" t="s">
        <v>14</v>
      </c>
      <c r="C307" s="31">
        <v>665.0</v>
      </c>
      <c r="D307" s="31">
        <f t="shared" si="1"/>
        <v>1</v>
      </c>
    </row>
    <row r="308">
      <c r="A308" s="29">
        <v>44503.0</v>
      </c>
      <c r="B308" s="30" t="s">
        <v>14</v>
      </c>
      <c r="C308" s="31">
        <v>805.0</v>
      </c>
      <c r="D308" s="31">
        <f t="shared" si="1"/>
        <v>1</v>
      </c>
    </row>
    <row r="309">
      <c r="A309" s="29">
        <v>44504.0</v>
      </c>
      <c r="B309" s="30" t="s">
        <v>15</v>
      </c>
      <c r="C309" s="31">
        <v>880.0</v>
      </c>
      <c r="D309" s="31">
        <f t="shared" si="1"/>
        <v>1</v>
      </c>
    </row>
    <row r="310">
      <c r="A310" s="29">
        <v>44505.0</v>
      </c>
      <c r="B310" s="30" t="s">
        <v>14</v>
      </c>
      <c r="C310" s="31">
        <v>935.0</v>
      </c>
      <c r="D310" s="31">
        <f t="shared" si="1"/>
        <v>1</v>
      </c>
    </row>
    <row r="311">
      <c r="A311" s="29">
        <v>44506.0</v>
      </c>
      <c r="B311" s="30" t="s">
        <v>15</v>
      </c>
      <c r="C311" s="31">
        <v>625.0</v>
      </c>
      <c r="D311" s="31">
        <f t="shared" si="1"/>
        <v>1</v>
      </c>
    </row>
    <row r="312">
      <c r="A312" s="29">
        <v>44507.0</v>
      </c>
      <c r="B312" s="30" t="s">
        <v>16</v>
      </c>
      <c r="C312" s="31" t="s">
        <v>17</v>
      </c>
      <c r="D312" s="31">
        <f t="shared" si="1"/>
        <v>1</v>
      </c>
    </row>
    <row r="313">
      <c r="A313" s="29">
        <v>44508.0</v>
      </c>
      <c r="B313" s="30" t="s">
        <v>13</v>
      </c>
      <c r="C313" s="31">
        <v>960.0</v>
      </c>
      <c r="D313" s="31">
        <f t="shared" si="1"/>
        <v>1</v>
      </c>
    </row>
    <row r="314">
      <c r="A314" s="29">
        <v>44509.0</v>
      </c>
      <c r="B314" s="30" t="s">
        <v>14</v>
      </c>
      <c r="C314" s="31">
        <v>750.0</v>
      </c>
      <c r="D314" s="31">
        <f t="shared" si="1"/>
        <v>1</v>
      </c>
    </row>
    <row r="315">
      <c r="A315" s="29">
        <v>44510.0</v>
      </c>
      <c r="B315" s="30" t="s">
        <v>14</v>
      </c>
      <c r="C315" s="31">
        <v>630.0</v>
      </c>
      <c r="D315" s="31">
        <f t="shared" si="1"/>
        <v>1</v>
      </c>
    </row>
    <row r="316">
      <c r="A316" s="29">
        <v>44511.0</v>
      </c>
      <c r="B316" s="30" t="s">
        <v>14</v>
      </c>
      <c r="C316" s="31">
        <v>675.0</v>
      </c>
      <c r="D316" s="31">
        <f t="shared" si="1"/>
        <v>1</v>
      </c>
    </row>
    <row r="317">
      <c r="A317" s="29">
        <v>44512.0</v>
      </c>
      <c r="B317" s="30" t="s">
        <v>15</v>
      </c>
      <c r="C317" s="31">
        <v>880.0</v>
      </c>
      <c r="D317" s="31">
        <f t="shared" si="1"/>
        <v>1</v>
      </c>
    </row>
    <row r="318">
      <c r="A318" s="29">
        <v>44513.0</v>
      </c>
      <c r="B318" s="30" t="s">
        <v>15</v>
      </c>
      <c r="C318" s="31">
        <v>930.0</v>
      </c>
      <c r="D318" s="31">
        <f t="shared" si="1"/>
        <v>1</v>
      </c>
    </row>
    <row r="319">
      <c r="A319" s="29">
        <v>44514.0</v>
      </c>
      <c r="B319" s="30" t="s">
        <v>16</v>
      </c>
      <c r="C319" s="31" t="s">
        <v>17</v>
      </c>
      <c r="D319" s="31">
        <f t="shared" si="1"/>
        <v>1</v>
      </c>
    </row>
    <row r="320">
      <c r="A320" s="29">
        <v>44515.0</v>
      </c>
      <c r="B320" s="30" t="s">
        <v>14</v>
      </c>
      <c r="C320" s="31">
        <v>645.0</v>
      </c>
      <c r="D320" s="31">
        <f t="shared" si="1"/>
        <v>1</v>
      </c>
    </row>
    <row r="321">
      <c r="A321" s="29">
        <v>44516.0</v>
      </c>
      <c r="B321" s="30" t="s">
        <v>15</v>
      </c>
      <c r="C321" s="31">
        <v>680.0</v>
      </c>
      <c r="D321" s="31">
        <f t="shared" si="1"/>
        <v>1</v>
      </c>
    </row>
    <row r="322">
      <c r="A322" s="29">
        <v>44517.0</v>
      </c>
      <c r="B322" s="30" t="s">
        <v>14</v>
      </c>
      <c r="C322" s="31">
        <v>545.0</v>
      </c>
      <c r="D322" s="31">
        <f t="shared" si="1"/>
        <v>1</v>
      </c>
    </row>
    <row r="323">
      <c r="A323" s="29">
        <v>44518.0</v>
      </c>
      <c r="B323" s="30" t="s">
        <v>14</v>
      </c>
      <c r="C323" s="31">
        <v>545.0</v>
      </c>
      <c r="D323" s="31">
        <f t="shared" si="1"/>
        <v>1</v>
      </c>
    </row>
    <row r="324">
      <c r="A324" s="29">
        <v>44519.0</v>
      </c>
      <c r="B324" s="30" t="s">
        <v>14</v>
      </c>
      <c r="C324" s="31">
        <v>685.0</v>
      </c>
      <c r="D324" s="31">
        <f t="shared" si="1"/>
        <v>1</v>
      </c>
    </row>
    <row r="325">
      <c r="A325" s="29">
        <v>44520.0</v>
      </c>
      <c r="B325" s="30" t="s">
        <v>15</v>
      </c>
      <c r="C325" s="31">
        <v>635.0</v>
      </c>
      <c r="D325" s="31">
        <f t="shared" si="1"/>
        <v>1</v>
      </c>
    </row>
    <row r="326">
      <c r="A326" s="29">
        <v>44521.0</v>
      </c>
      <c r="B326" s="30" t="s">
        <v>14</v>
      </c>
      <c r="C326" s="31">
        <v>775.0</v>
      </c>
      <c r="D326" s="31">
        <f t="shared" si="1"/>
        <v>1</v>
      </c>
    </row>
    <row r="327">
      <c r="A327" s="29">
        <v>44522.0</v>
      </c>
      <c r="B327" s="30" t="s">
        <v>14</v>
      </c>
      <c r="C327" s="31">
        <v>990.0</v>
      </c>
      <c r="D327" s="31">
        <f t="shared" si="1"/>
        <v>1</v>
      </c>
    </row>
    <row r="328">
      <c r="A328" s="29">
        <v>44523.0</v>
      </c>
      <c r="B328" s="30" t="s">
        <v>15</v>
      </c>
      <c r="C328" s="31">
        <v>505.0</v>
      </c>
      <c r="D328" s="31">
        <f t="shared" si="1"/>
        <v>1</v>
      </c>
    </row>
    <row r="329">
      <c r="A329" s="29">
        <v>44524.0</v>
      </c>
      <c r="B329" s="30" t="s">
        <v>16</v>
      </c>
      <c r="C329" s="31" t="s">
        <v>17</v>
      </c>
      <c r="D329" s="31">
        <f t="shared" si="1"/>
        <v>1</v>
      </c>
    </row>
    <row r="330">
      <c r="A330" s="29">
        <v>44525.0</v>
      </c>
      <c r="B330" s="30" t="s">
        <v>14</v>
      </c>
      <c r="C330" s="31">
        <v>855.0</v>
      </c>
      <c r="D330" s="31">
        <f t="shared" si="1"/>
        <v>1</v>
      </c>
    </row>
    <row r="331">
      <c r="A331" s="29">
        <v>44526.0</v>
      </c>
      <c r="B331" s="30" t="s">
        <v>13</v>
      </c>
      <c r="C331" s="31">
        <v>525.0</v>
      </c>
      <c r="D331" s="31">
        <f t="shared" si="1"/>
        <v>1</v>
      </c>
    </row>
    <row r="332">
      <c r="A332" s="29">
        <v>44527.0</v>
      </c>
      <c r="B332" s="30" t="s">
        <v>14</v>
      </c>
      <c r="C332" s="31">
        <v>975.0</v>
      </c>
      <c r="D332" s="31">
        <f t="shared" si="1"/>
        <v>1</v>
      </c>
    </row>
    <row r="333">
      <c r="A333" s="29">
        <v>44528.0</v>
      </c>
      <c r="B333" s="30" t="s">
        <v>14</v>
      </c>
      <c r="C333" s="31">
        <v>990.0</v>
      </c>
      <c r="D333" s="31">
        <f t="shared" si="1"/>
        <v>1</v>
      </c>
    </row>
    <row r="334">
      <c r="A334" s="29">
        <v>44529.0</v>
      </c>
      <c r="B334" s="30" t="s">
        <v>14</v>
      </c>
      <c r="C334" s="31">
        <v>650.0</v>
      </c>
      <c r="D334" s="31">
        <f t="shared" si="1"/>
        <v>1</v>
      </c>
    </row>
    <row r="335">
      <c r="A335" s="29">
        <v>44530.0</v>
      </c>
      <c r="B335" s="30" t="s">
        <v>15</v>
      </c>
      <c r="C335" s="31">
        <v>735.0</v>
      </c>
      <c r="D335" s="31">
        <f t="shared" si="1"/>
        <v>1</v>
      </c>
    </row>
    <row r="336">
      <c r="A336" s="29">
        <v>44531.0</v>
      </c>
      <c r="B336" s="30" t="s">
        <v>16</v>
      </c>
      <c r="C336" s="31" t="s">
        <v>17</v>
      </c>
      <c r="D336" s="31">
        <f t="shared" si="1"/>
        <v>1</v>
      </c>
    </row>
    <row r="337">
      <c r="A337" s="29">
        <v>44532.0</v>
      </c>
      <c r="B337" s="30" t="s">
        <v>13</v>
      </c>
      <c r="C337" s="31">
        <v>730.0</v>
      </c>
      <c r="D337" s="31">
        <f t="shared" si="1"/>
        <v>1</v>
      </c>
    </row>
    <row r="338">
      <c r="A338" s="29">
        <v>44533.0</v>
      </c>
      <c r="B338" s="30" t="s">
        <v>14</v>
      </c>
      <c r="C338" s="31">
        <v>960.0</v>
      </c>
      <c r="D338" s="31">
        <f t="shared" si="1"/>
        <v>1</v>
      </c>
    </row>
    <row r="339">
      <c r="A339" s="29">
        <v>44534.0</v>
      </c>
      <c r="B339" s="30" t="s">
        <v>14</v>
      </c>
      <c r="C339" s="31">
        <v>830.0</v>
      </c>
      <c r="D339" s="31">
        <f t="shared" si="1"/>
        <v>1</v>
      </c>
    </row>
    <row r="340">
      <c r="A340" s="29">
        <v>44535.0</v>
      </c>
      <c r="B340" s="30" t="s">
        <v>15</v>
      </c>
      <c r="C340" s="31">
        <v>625.0</v>
      </c>
      <c r="D340" s="31">
        <f t="shared" si="1"/>
        <v>1</v>
      </c>
    </row>
    <row r="341">
      <c r="A341" s="29">
        <v>44536.0</v>
      </c>
      <c r="B341" s="30" t="s">
        <v>15</v>
      </c>
      <c r="C341" s="31">
        <v>920.0</v>
      </c>
      <c r="D341" s="31">
        <f t="shared" si="1"/>
        <v>1</v>
      </c>
    </row>
    <row r="342">
      <c r="A342" s="29">
        <v>44537.0</v>
      </c>
      <c r="B342" s="30" t="s">
        <v>16</v>
      </c>
      <c r="C342" s="31" t="s">
        <v>17</v>
      </c>
      <c r="D342" s="31">
        <f t="shared" si="1"/>
        <v>1</v>
      </c>
    </row>
    <row r="343">
      <c r="A343" s="29">
        <v>44538.0</v>
      </c>
      <c r="B343" s="30" t="s">
        <v>14</v>
      </c>
      <c r="C343" s="31">
        <v>755.0</v>
      </c>
      <c r="D343" s="31">
        <f t="shared" si="1"/>
        <v>1</v>
      </c>
    </row>
    <row r="344">
      <c r="A344" s="29">
        <v>44539.0</v>
      </c>
      <c r="B344" s="30" t="s">
        <v>14</v>
      </c>
      <c r="C344" s="31">
        <v>915.0</v>
      </c>
      <c r="D344" s="31">
        <f t="shared" si="1"/>
        <v>1</v>
      </c>
    </row>
    <row r="345">
      <c r="A345" s="29">
        <v>44540.0</v>
      </c>
      <c r="B345" s="30" t="s">
        <v>13</v>
      </c>
      <c r="C345" s="31">
        <v>630.0</v>
      </c>
      <c r="D345" s="31">
        <f t="shared" si="1"/>
        <v>1</v>
      </c>
    </row>
    <row r="346">
      <c r="A346" s="29">
        <v>44541.0</v>
      </c>
      <c r="B346" s="30" t="s">
        <v>14</v>
      </c>
      <c r="C346" s="31">
        <v>910.0</v>
      </c>
      <c r="D346" s="31">
        <f t="shared" si="1"/>
        <v>1</v>
      </c>
    </row>
    <row r="347">
      <c r="A347" s="29">
        <v>44542.0</v>
      </c>
      <c r="B347" s="30" t="s">
        <v>14</v>
      </c>
      <c r="C347" s="31">
        <v>695.0</v>
      </c>
      <c r="D347" s="31">
        <f t="shared" si="1"/>
        <v>1</v>
      </c>
    </row>
    <row r="348">
      <c r="A348" s="29">
        <v>44543.0</v>
      </c>
      <c r="B348" s="30" t="s">
        <v>15</v>
      </c>
      <c r="C348" s="31">
        <v>560.0</v>
      </c>
      <c r="D348" s="31">
        <f t="shared" si="1"/>
        <v>1</v>
      </c>
    </row>
    <row r="349">
      <c r="A349" s="29">
        <v>44544.0</v>
      </c>
      <c r="B349" s="30" t="s">
        <v>14</v>
      </c>
      <c r="C349" s="31">
        <v>865.0</v>
      </c>
      <c r="D349" s="31">
        <f t="shared" si="1"/>
        <v>1</v>
      </c>
    </row>
    <row r="350">
      <c r="A350" s="29">
        <v>44545.0</v>
      </c>
      <c r="B350" s="30" t="s">
        <v>15</v>
      </c>
      <c r="C350" s="31">
        <v>695.0</v>
      </c>
      <c r="D350" s="31">
        <f t="shared" si="1"/>
        <v>1</v>
      </c>
    </row>
    <row r="351">
      <c r="A351" s="29">
        <v>44546.0</v>
      </c>
      <c r="B351" s="30" t="s">
        <v>16</v>
      </c>
      <c r="C351" s="31" t="s">
        <v>17</v>
      </c>
      <c r="D351" s="31">
        <f t="shared" si="1"/>
        <v>1</v>
      </c>
    </row>
    <row r="352">
      <c r="A352" s="29">
        <v>44547.0</v>
      </c>
      <c r="B352" s="30" t="s">
        <v>14</v>
      </c>
      <c r="C352" s="31">
        <v>860.0</v>
      </c>
      <c r="D352" s="31">
        <f t="shared" si="1"/>
        <v>1</v>
      </c>
    </row>
    <row r="353">
      <c r="A353" s="29">
        <v>44548.0</v>
      </c>
      <c r="B353" s="30" t="s">
        <v>13</v>
      </c>
      <c r="C353" s="31">
        <v>735.0</v>
      </c>
      <c r="D353" s="31">
        <f t="shared" si="1"/>
        <v>1</v>
      </c>
    </row>
    <row r="354">
      <c r="A354" s="29">
        <v>44549.0</v>
      </c>
      <c r="B354" s="30" t="s">
        <v>14</v>
      </c>
      <c r="C354" s="31">
        <v>710.0</v>
      </c>
      <c r="D354" s="31">
        <f t="shared" si="1"/>
        <v>1</v>
      </c>
    </row>
    <row r="355">
      <c r="A355" s="29">
        <v>44550.0</v>
      </c>
      <c r="B355" s="30" t="s">
        <v>14</v>
      </c>
      <c r="C355" s="31">
        <v>580.0</v>
      </c>
      <c r="D355" s="31">
        <f t="shared" si="1"/>
        <v>1</v>
      </c>
    </row>
    <row r="356">
      <c r="A356" s="29">
        <v>44551.0</v>
      </c>
      <c r="B356" s="30" t="s">
        <v>14</v>
      </c>
      <c r="C356" s="31">
        <v>730.0</v>
      </c>
      <c r="D356" s="31">
        <f t="shared" si="1"/>
        <v>1</v>
      </c>
    </row>
    <row r="357">
      <c r="A357" s="29">
        <v>44552.0</v>
      </c>
      <c r="B357" s="30" t="s">
        <v>15</v>
      </c>
      <c r="C357" s="31">
        <v>930.0</v>
      </c>
      <c r="D357" s="31">
        <f t="shared" si="1"/>
        <v>1</v>
      </c>
    </row>
    <row r="358">
      <c r="A358" s="29">
        <v>44553.0</v>
      </c>
      <c r="B358" s="30" t="s">
        <v>16</v>
      </c>
      <c r="C358" s="31" t="s">
        <v>17</v>
      </c>
      <c r="D358" s="31">
        <f t="shared" si="1"/>
        <v>1</v>
      </c>
    </row>
    <row r="359">
      <c r="A359" s="29">
        <v>44554.0</v>
      </c>
      <c r="B359" s="30" t="s">
        <v>14</v>
      </c>
      <c r="C359" s="31">
        <v>860.0</v>
      </c>
      <c r="D359" s="31">
        <f t="shared" si="1"/>
        <v>1</v>
      </c>
    </row>
    <row r="360">
      <c r="A360" s="29">
        <v>44555.0</v>
      </c>
      <c r="B360" s="30" t="s">
        <v>15</v>
      </c>
      <c r="C360" s="31">
        <v>810.0</v>
      </c>
      <c r="D360" s="31">
        <f t="shared" si="1"/>
        <v>1</v>
      </c>
    </row>
    <row r="361">
      <c r="A361" s="29">
        <v>44556.0</v>
      </c>
      <c r="B361" s="30" t="s">
        <v>14</v>
      </c>
      <c r="C361" s="31">
        <v>745.0</v>
      </c>
      <c r="D361" s="31">
        <f t="shared" si="1"/>
        <v>1</v>
      </c>
    </row>
    <row r="362">
      <c r="A362" s="29">
        <v>44557.0</v>
      </c>
      <c r="B362" s="30" t="s">
        <v>14</v>
      </c>
      <c r="C362" s="31">
        <v>955.0</v>
      </c>
      <c r="D362" s="31">
        <f t="shared" si="1"/>
        <v>1</v>
      </c>
    </row>
    <row r="363">
      <c r="A363" s="29">
        <v>44558.0</v>
      </c>
      <c r="B363" s="30" t="s">
        <v>15</v>
      </c>
      <c r="C363" s="31">
        <v>935.0</v>
      </c>
      <c r="D363" s="31">
        <f t="shared" si="1"/>
        <v>1</v>
      </c>
    </row>
    <row r="364">
      <c r="A364" s="29">
        <v>44559.0</v>
      </c>
      <c r="B364" s="30" t="s">
        <v>14</v>
      </c>
      <c r="C364" s="31">
        <v>900.0</v>
      </c>
      <c r="D364" s="31">
        <f t="shared" si="1"/>
        <v>1</v>
      </c>
    </row>
    <row r="365">
      <c r="A365" s="29">
        <v>44560.0</v>
      </c>
      <c r="B365" s="30" t="s">
        <v>13</v>
      </c>
      <c r="C365" s="31">
        <v>840.0</v>
      </c>
      <c r="D365" s="31">
        <f t="shared" si="1"/>
        <v>1</v>
      </c>
    </row>
    <row r="366">
      <c r="A366" s="29">
        <v>44561.0</v>
      </c>
      <c r="B366" s="30" t="s">
        <v>16</v>
      </c>
      <c r="C366" s="31" t="s">
        <v>17</v>
      </c>
      <c r="D366" s="31">
        <f t="shared" si="1"/>
        <v>1</v>
      </c>
    </row>
    <row r="367">
      <c r="A367" s="29">
        <v>44562.0</v>
      </c>
      <c r="B367" s="30" t="s">
        <v>14</v>
      </c>
      <c r="C367" s="31">
        <v>985.0</v>
      </c>
      <c r="D367" s="31">
        <f t="shared" si="1"/>
        <v>1</v>
      </c>
    </row>
    <row r="368">
      <c r="A368" s="29">
        <v>44563.0</v>
      </c>
      <c r="B368" s="30" t="s">
        <v>14</v>
      </c>
      <c r="C368" s="31">
        <v>630.0</v>
      </c>
      <c r="D368" s="31">
        <f t="shared" si="1"/>
        <v>1</v>
      </c>
    </row>
    <row r="369">
      <c r="A369" s="29">
        <v>44564.0</v>
      </c>
      <c r="B369" s="30" t="s">
        <v>15</v>
      </c>
      <c r="C369" s="31">
        <v>685.0</v>
      </c>
      <c r="D369" s="31">
        <f t="shared" si="1"/>
        <v>1</v>
      </c>
    </row>
    <row r="370">
      <c r="A370" s="29">
        <v>44565.0</v>
      </c>
      <c r="B370" s="30" t="s">
        <v>15</v>
      </c>
      <c r="C370" s="31">
        <v>800.0</v>
      </c>
      <c r="D370" s="31">
        <f t="shared" si="1"/>
        <v>1</v>
      </c>
    </row>
    <row r="371">
      <c r="A371" s="29">
        <v>44566.0</v>
      </c>
      <c r="B371" s="30" t="s">
        <v>16</v>
      </c>
      <c r="C371" s="31" t="s">
        <v>17</v>
      </c>
      <c r="D371" s="31">
        <f t="shared" si="1"/>
        <v>1</v>
      </c>
    </row>
    <row r="372">
      <c r="A372" s="29">
        <v>44567.0</v>
      </c>
      <c r="B372" s="30" t="s">
        <v>14</v>
      </c>
      <c r="C372" s="31">
        <v>695.0</v>
      </c>
      <c r="D372" s="31">
        <f t="shared" si="1"/>
        <v>1</v>
      </c>
    </row>
    <row r="373">
      <c r="A373" s="29">
        <v>44568.0</v>
      </c>
      <c r="B373" s="30" t="s">
        <v>13</v>
      </c>
      <c r="C373" s="31">
        <v>695.0</v>
      </c>
      <c r="D373" s="31">
        <f t="shared" si="1"/>
        <v>1</v>
      </c>
    </row>
    <row r="374">
      <c r="A374" s="29">
        <v>44569.0</v>
      </c>
      <c r="B374" s="30" t="s">
        <v>14</v>
      </c>
      <c r="C374" s="31">
        <v>870.0</v>
      </c>
      <c r="D374" s="31">
        <f t="shared" si="1"/>
        <v>1</v>
      </c>
    </row>
    <row r="375">
      <c r="A375" s="29">
        <v>44570.0</v>
      </c>
      <c r="B375" s="30" t="s">
        <v>14</v>
      </c>
      <c r="C375" s="31">
        <v>990.0</v>
      </c>
      <c r="D375" s="31">
        <f t="shared" si="1"/>
        <v>1</v>
      </c>
    </row>
    <row r="376">
      <c r="A376" s="29">
        <v>44571.0</v>
      </c>
      <c r="B376" s="30" t="s">
        <v>15</v>
      </c>
      <c r="C376" s="31">
        <v>630.0</v>
      </c>
      <c r="D376" s="31">
        <f t="shared" si="1"/>
        <v>1</v>
      </c>
    </row>
    <row r="377">
      <c r="A377" s="29">
        <v>44572.0</v>
      </c>
      <c r="B377" s="30" t="s">
        <v>14</v>
      </c>
      <c r="C377" s="31">
        <v>505.0</v>
      </c>
      <c r="D377" s="31">
        <f t="shared" si="1"/>
        <v>1</v>
      </c>
    </row>
    <row r="378">
      <c r="A378" s="29">
        <v>44573.0</v>
      </c>
      <c r="B378" s="30" t="s">
        <v>15</v>
      </c>
      <c r="C378" s="31">
        <v>735.0</v>
      </c>
      <c r="D378" s="31">
        <f t="shared" si="1"/>
        <v>1</v>
      </c>
    </row>
    <row r="379">
      <c r="A379" s="29">
        <v>44574.0</v>
      </c>
      <c r="B379" s="30" t="s">
        <v>16</v>
      </c>
      <c r="C379" s="31" t="s">
        <v>17</v>
      </c>
      <c r="D379" s="31">
        <f t="shared" si="1"/>
        <v>1</v>
      </c>
    </row>
    <row r="380">
      <c r="A380" s="29">
        <v>44575.0</v>
      </c>
      <c r="B380" s="30" t="s">
        <v>13</v>
      </c>
      <c r="C380" s="31">
        <v>865.0</v>
      </c>
      <c r="D380" s="31">
        <f t="shared" si="1"/>
        <v>1</v>
      </c>
    </row>
    <row r="381">
      <c r="A381" s="29">
        <v>44576.0</v>
      </c>
      <c r="B381" s="30" t="s">
        <v>14</v>
      </c>
      <c r="C381" s="31">
        <v>645.0</v>
      </c>
      <c r="D381" s="31">
        <f t="shared" si="1"/>
        <v>1</v>
      </c>
    </row>
    <row r="382">
      <c r="A382" s="29">
        <v>44577.0</v>
      </c>
      <c r="B382" s="30" t="s">
        <v>14</v>
      </c>
      <c r="C382" s="31">
        <v>775.0</v>
      </c>
      <c r="D382" s="31">
        <f t="shared" si="1"/>
        <v>1</v>
      </c>
    </row>
    <row r="383">
      <c r="A383" s="29">
        <v>44578.0</v>
      </c>
      <c r="B383" s="30" t="s">
        <v>14</v>
      </c>
      <c r="C383" s="31">
        <v>995.0</v>
      </c>
      <c r="D383" s="31">
        <f t="shared" si="1"/>
        <v>1</v>
      </c>
    </row>
    <row r="384">
      <c r="A384" s="29">
        <v>44579.0</v>
      </c>
      <c r="B384" s="30" t="s">
        <v>15</v>
      </c>
      <c r="C384" s="31">
        <v>1000.0</v>
      </c>
      <c r="D384" s="31">
        <f t="shared" si="1"/>
        <v>1</v>
      </c>
    </row>
    <row r="385">
      <c r="A385" s="29">
        <v>44580.0</v>
      </c>
      <c r="B385" s="30" t="s">
        <v>15</v>
      </c>
      <c r="C385" s="31">
        <v>685.0</v>
      </c>
      <c r="D385" s="31">
        <f t="shared" si="1"/>
        <v>1</v>
      </c>
    </row>
    <row r="386">
      <c r="A386" s="29">
        <v>44581.0</v>
      </c>
      <c r="B386" s="30" t="s">
        <v>16</v>
      </c>
      <c r="C386" s="31" t="s">
        <v>17</v>
      </c>
      <c r="D386" s="31">
        <f t="shared" si="1"/>
        <v>1</v>
      </c>
    </row>
    <row r="387">
      <c r="A387" s="29">
        <v>44582.0</v>
      </c>
      <c r="B387" s="30" t="s">
        <v>14</v>
      </c>
      <c r="C387" s="31">
        <v>905.0</v>
      </c>
      <c r="D387" s="31">
        <f t="shared" si="1"/>
        <v>1</v>
      </c>
    </row>
    <row r="388">
      <c r="A388" s="29">
        <v>44583.0</v>
      </c>
      <c r="B388" s="30" t="s">
        <v>15</v>
      </c>
      <c r="C388" s="31">
        <v>660.0</v>
      </c>
      <c r="D388" s="31">
        <f t="shared" si="1"/>
        <v>1</v>
      </c>
    </row>
    <row r="389">
      <c r="A389" s="29">
        <v>44584.0</v>
      </c>
      <c r="B389" s="30" t="s">
        <v>14</v>
      </c>
      <c r="C389" s="31">
        <v>825.0</v>
      </c>
      <c r="D389" s="31">
        <f t="shared" si="1"/>
        <v>1</v>
      </c>
    </row>
    <row r="390">
      <c r="A390" s="29">
        <v>44585.0</v>
      </c>
      <c r="B390" s="30" t="s">
        <v>14</v>
      </c>
      <c r="C390" s="31">
        <v>710.0</v>
      </c>
      <c r="D390" s="31">
        <f t="shared" si="1"/>
        <v>1</v>
      </c>
    </row>
    <row r="391">
      <c r="A391" s="29">
        <v>44586.0</v>
      </c>
      <c r="B391" s="30" t="s">
        <v>14</v>
      </c>
      <c r="C391" s="31">
        <v>845.0</v>
      </c>
      <c r="D391" s="31">
        <f t="shared" si="1"/>
        <v>1</v>
      </c>
    </row>
    <row r="392">
      <c r="A392" s="29">
        <v>44587.0</v>
      </c>
      <c r="B392" s="30" t="s">
        <v>15</v>
      </c>
      <c r="C392" s="31">
        <v>805.0</v>
      </c>
      <c r="D392" s="31">
        <f t="shared" si="1"/>
        <v>1</v>
      </c>
    </row>
    <row r="393">
      <c r="A393" s="29">
        <v>44588.0</v>
      </c>
      <c r="B393" s="30" t="s">
        <v>14</v>
      </c>
      <c r="C393" s="31">
        <v>915.0</v>
      </c>
      <c r="D393" s="31">
        <f t="shared" si="1"/>
        <v>1</v>
      </c>
    </row>
    <row r="394">
      <c r="A394" s="29">
        <v>44589.0</v>
      </c>
      <c r="B394" s="30" t="s">
        <v>14</v>
      </c>
      <c r="C394" s="31">
        <v>715.0</v>
      </c>
      <c r="D394" s="31">
        <f t="shared" si="1"/>
        <v>1</v>
      </c>
    </row>
    <row r="395">
      <c r="A395" s="29">
        <v>44590.0</v>
      </c>
      <c r="B395" s="30" t="s">
        <v>15</v>
      </c>
      <c r="C395" s="31">
        <v>815.0</v>
      </c>
      <c r="D395" s="31">
        <f t="shared" si="1"/>
        <v>1</v>
      </c>
    </row>
    <row r="396">
      <c r="A396" s="29">
        <v>44591.0</v>
      </c>
      <c r="B396" s="30" t="s">
        <v>16</v>
      </c>
      <c r="C396" s="31" t="s">
        <v>17</v>
      </c>
      <c r="D396" s="31">
        <f t="shared" si="1"/>
        <v>1</v>
      </c>
    </row>
    <row r="397">
      <c r="A397" s="29">
        <v>44592.0</v>
      </c>
      <c r="B397" s="30" t="s">
        <v>14</v>
      </c>
      <c r="C397" s="31">
        <v>850.0</v>
      </c>
      <c r="D397" s="31">
        <f t="shared" si="1"/>
        <v>1</v>
      </c>
    </row>
    <row r="398">
      <c r="A398" s="29">
        <v>44593.0</v>
      </c>
      <c r="B398" s="30" t="s">
        <v>13</v>
      </c>
      <c r="C398" s="31">
        <v>555.0</v>
      </c>
      <c r="D398" s="31">
        <f t="shared" si="1"/>
        <v>1</v>
      </c>
    </row>
    <row r="399">
      <c r="A399" s="29">
        <v>44594.0</v>
      </c>
      <c r="B399" s="30" t="s">
        <v>14</v>
      </c>
      <c r="C399" s="31">
        <v>585.0</v>
      </c>
      <c r="D399" s="31">
        <f t="shared" si="1"/>
        <v>1</v>
      </c>
    </row>
    <row r="400">
      <c r="A400" s="29">
        <v>44595.0</v>
      </c>
      <c r="B400" s="30" t="s">
        <v>14</v>
      </c>
      <c r="C400" s="31">
        <v>735.0</v>
      </c>
      <c r="D400" s="31">
        <f t="shared" si="1"/>
        <v>1</v>
      </c>
    </row>
    <row r="401">
      <c r="A401" s="29">
        <v>44596.0</v>
      </c>
      <c r="B401" s="30" t="s">
        <v>14</v>
      </c>
      <c r="C401" s="31">
        <v>590.0</v>
      </c>
      <c r="D401" s="31">
        <f t="shared" si="1"/>
        <v>1</v>
      </c>
    </row>
    <row r="402">
      <c r="A402" s="29">
        <v>44597.0</v>
      </c>
      <c r="B402" s="30" t="s">
        <v>15</v>
      </c>
      <c r="C402" s="31">
        <v>560.0</v>
      </c>
      <c r="D402" s="31">
        <f t="shared" si="1"/>
        <v>1</v>
      </c>
    </row>
    <row r="403">
      <c r="A403" s="29">
        <v>44598.0</v>
      </c>
      <c r="B403" s="30" t="s">
        <v>16</v>
      </c>
      <c r="C403" s="31" t="s">
        <v>17</v>
      </c>
      <c r="D403" s="31">
        <f t="shared" si="1"/>
        <v>1</v>
      </c>
    </row>
    <row r="404">
      <c r="A404" s="29">
        <v>44599.0</v>
      </c>
      <c r="B404" s="30" t="s">
        <v>13</v>
      </c>
      <c r="C404" s="31">
        <v>885.0</v>
      </c>
      <c r="D404" s="31">
        <f t="shared" si="1"/>
        <v>1</v>
      </c>
    </row>
    <row r="405">
      <c r="A405" s="29">
        <v>44600.0</v>
      </c>
      <c r="B405" s="30" t="s">
        <v>14</v>
      </c>
      <c r="C405" s="31">
        <v>505.0</v>
      </c>
      <c r="D405" s="31">
        <f t="shared" si="1"/>
        <v>1</v>
      </c>
    </row>
    <row r="406">
      <c r="A406" s="29">
        <v>44601.0</v>
      </c>
      <c r="B406" s="30" t="s">
        <v>14</v>
      </c>
      <c r="C406" s="31">
        <v>930.0</v>
      </c>
      <c r="D406" s="31">
        <f t="shared" si="1"/>
        <v>1</v>
      </c>
    </row>
    <row r="407">
      <c r="A407" s="29">
        <v>44602.0</v>
      </c>
      <c r="B407" s="30" t="s">
        <v>15</v>
      </c>
      <c r="C407" s="31">
        <v>810.0</v>
      </c>
      <c r="D407" s="31">
        <f t="shared" si="1"/>
        <v>1</v>
      </c>
    </row>
    <row r="408">
      <c r="A408" s="29">
        <v>44603.0</v>
      </c>
      <c r="B408" s="30" t="s">
        <v>15</v>
      </c>
      <c r="C408" s="31">
        <v>930.0</v>
      </c>
      <c r="D408" s="31">
        <f t="shared" si="1"/>
        <v>1</v>
      </c>
    </row>
    <row r="409">
      <c r="A409" s="29">
        <v>44604.0</v>
      </c>
      <c r="B409" s="30" t="s">
        <v>16</v>
      </c>
      <c r="C409" s="31" t="s">
        <v>17</v>
      </c>
      <c r="D409" s="31">
        <f t="shared" si="1"/>
        <v>1</v>
      </c>
    </row>
    <row r="410">
      <c r="A410" s="29">
        <v>44605.0</v>
      </c>
      <c r="B410" s="30" t="s">
        <v>14</v>
      </c>
      <c r="C410" s="31">
        <v>665.0</v>
      </c>
      <c r="D410" s="31">
        <f t="shared" si="1"/>
        <v>1</v>
      </c>
    </row>
    <row r="411">
      <c r="A411" s="29">
        <v>44606.0</v>
      </c>
      <c r="B411" s="30" t="s">
        <v>14</v>
      </c>
      <c r="C411" s="31">
        <v>685.0</v>
      </c>
      <c r="D411" s="31">
        <f t="shared" si="1"/>
        <v>1</v>
      </c>
    </row>
    <row r="412">
      <c r="A412" s="29">
        <v>44607.0</v>
      </c>
      <c r="B412" s="30" t="s">
        <v>13</v>
      </c>
      <c r="C412" s="31">
        <v>940.0</v>
      </c>
      <c r="D412" s="31">
        <f t="shared" si="1"/>
        <v>1</v>
      </c>
    </row>
    <row r="413">
      <c r="A413" s="29">
        <v>44608.0</v>
      </c>
      <c r="B413" s="30" t="s">
        <v>14</v>
      </c>
      <c r="C413" s="31">
        <v>680.0</v>
      </c>
      <c r="D413" s="31">
        <f t="shared" si="1"/>
        <v>1</v>
      </c>
    </row>
    <row r="414">
      <c r="A414" s="29">
        <v>44609.0</v>
      </c>
      <c r="B414" s="30" t="s">
        <v>14</v>
      </c>
      <c r="C414" s="31">
        <v>600.0</v>
      </c>
      <c r="D414" s="31">
        <f t="shared" si="1"/>
        <v>1</v>
      </c>
    </row>
    <row r="415">
      <c r="A415" s="29">
        <v>44610.0</v>
      </c>
      <c r="B415" s="30" t="s">
        <v>15</v>
      </c>
      <c r="C415" s="31">
        <v>955.0</v>
      </c>
      <c r="D415" s="31">
        <f t="shared" si="1"/>
        <v>1</v>
      </c>
    </row>
    <row r="416">
      <c r="A416" s="29">
        <v>44611.0</v>
      </c>
      <c r="B416" s="30" t="s">
        <v>14</v>
      </c>
      <c r="C416" s="31">
        <v>765.0</v>
      </c>
      <c r="D416" s="31">
        <f t="shared" si="1"/>
        <v>1</v>
      </c>
    </row>
    <row r="417">
      <c r="A417" s="29">
        <v>44612.0</v>
      </c>
      <c r="B417" s="30" t="s">
        <v>15</v>
      </c>
      <c r="C417" s="31">
        <v>745.0</v>
      </c>
      <c r="D417" s="31">
        <f t="shared" si="1"/>
        <v>1</v>
      </c>
    </row>
    <row r="418">
      <c r="A418" s="29">
        <v>44613.0</v>
      </c>
      <c r="B418" s="30" t="s">
        <v>16</v>
      </c>
      <c r="C418" s="31" t="s">
        <v>17</v>
      </c>
      <c r="D418" s="31">
        <f t="shared" si="1"/>
        <v>1</v>
      </c>
    </row>
    <row r="419">
      <c r="A419" s="29">
        <v>44614.0</v>
      </c>
      <c r="B419" s="30" t="s">
        <v>14</v>
      </c>
      <c r="C419" s="31">
        <v>575.0</v>
      </c>
      <c r="D419" s="31">
        <f t="shared" si="1"/>
        <v>1</v>
      </c>
    </row>
    <row r="420">
      <c r="A420" s="29">
        <v>44615.0</v>
      </c>
      <c r="B420" s="30" t="s">
        <v>13</v>
      </c>
      <c r="C420" s="31">
        <v>940.0</v>
      </c>
      <c r="D420" s="31">
        <f t="shared" si="1"/>
        <v>1</v>
      </c>
    </row>
    <row r="421">
      <c r="A421" s="29">
        <v>44616.0</v>
      </c>
      <c r="B421" s="30" t="s">
        <v>14</v>
      </c>
      <c r="C421" s="31">
        <v>920.0</v>
      </c>
      <c r="D421" s="31">
        <f t="shared" si="1"/>
        <v>1</v>
      </c>
    </row>
    <row r="422">
      <c r="A422" s="29">
        <v>44617.0</v>
      </c>
      <c r="B422" s="30" t="s">
        <v>14</v>
      </c>
      <c r="C422" s="31">
        <v>825.0</v>
      </c>
      <c r="D422" s="31">
        <f t="shared" si="1"/>
        <v>1</v>
      </c>
    </row>
    <row r="423">
      <c r="A423" s="29">
        <v>44618.0</v>
      </c>
      <c r="B423" s="30" t="s">
        <v>14</v>
      </c>
      <c r="C423" s="31">
        <v>670.0</v>
      </c>
      <c r="D423" s="31">
        <f t="shared" si="1"/>
        <v>1</v>
      </c>
    </row>
    <row r="424">
      <c r="A424" s="29">
        <v>44619.0</v>
      </c>
      <c r="B424" s="30" t="s">
        <v>15</v>
      </c>
      <c r="C424" s="31">
        <v>830.0</v>
      </c>
      <c r="D424" s="31">
        <f t="shared" si="1"/>
        <v>1</v>
      </c>
    </row>
    <row r="425">
      <c r="A425" s="29">
        <v>44620.0</v>
      </c>
      <c r="B425" s="30" t="s">
        <v>16</v>
      </c>
      <c r="C425" s="31" t="s">
        <v>17</v>
      </c>
      <c r="D425" s="31">
        <f t="shared" si="1"/>
        <v>1</v>
      </c>
    </row>
    <row r="426">
      <c r="A426" s="29">
        <v>44621.0</v>
      </c>
      <c r="B426" s="30" t="s">
        <v>14</v>
      </c>
      <c r="C426" s="31">
        <v>500.0</v>
      </c>
      <c r="D426" s="31">
        <f t="shared" si="1"/>
        <v>1</v>
      </c>
    </row>
    <row r="427">
      <c r="A427" s="29">
        <v>44622.0</v>
      </c>
      <c r="B427" s="30" t="s">
        <v>15</v>
      </c>
      <c r="C427" s="31">
        <v>970.0</v>
      </c>
      <c r="D427" s="31">
        <f t="shared" si="1"/>
        <v>1</v>
      </c>
    </row>
    <row r="428">
      <c r="A428" s="29">
        <v>44623.0</v>
      </c>
      <c r="B428" s="30" t="s">
        <v>14</v>
      </c>
      <c r="C428" s="31">
        <v>575.0</v>
      </c>
      <c r="D428" s="31">
        <f t="shared" si="1"/>
        <v>1</v>
      </c>
    </row>
    <row r="429">
      <c r="A429" s="29">
        <v>44624.0</v>
      </c>
      <c r="B429" s="30" t="s">
        <v>14</v>
      </c>
      <c r="C429" s="31">
        <v>885.0</v>
      </c>
      <c r="D429" s="31">
        <f t="shared" si="1"/>
        <v>1</v>
      </c>
    </row>
    <row r="430">
      <c r="A430" s="29">
        <v>44625.0</v>
      </c>
      <c r="B430" s="30" t="s">
        <v>15</v>
      </c>
      <c r="C430" s="31">
        <v>750.0</v>
      </c>
      <c r="D430" s="31">
        <f t="shared" si="1"/>
        <v>1</v>
      </c>
    </row>
    <row r="431">
      <c r="A431" s="29">
        <v>44626.0</v>
      </c>
      <c r="B431" s="30" t="s">
        <v>14</v>
      </c>
      <c r="C431" s="31">
        <v>635.0</v>
      </c>
      <c r="D431" s="31">
        <f t="shared" si="1"/>
        <v>1</v>
      </c>
    </row>
    <row r="432">
      <c r="A432" s="29">
        <v>44627.0</v>
      </c>
      <c r="B432" s="30" t="s">
        <v>13</v>
      </c>
      <c r="C432" s="31">
        <v>595.0</v>
      </c>
      <c r="D432" s="31">
        <f t="shared" si="1"/>
        <v>1</v>
      </c>
    </row>
    <row r="433">
      <c r="A433" s="29">
        <v>44628.0</v>
      </c>
      <c r="B433" s="30" t="s">
        <v>16</v>
      </c>
      <c r="C433" s="31" t="s">
        <v>17</v>
      </c>
      <c r="D433" s="31">
        <f t="shared" si="1"/>
        <v>1</v>
      </c>
    </row>
    <row r="434">
      <c r="A434" s="29">
        <v>44629.0</v>
      </c>
      <c r="B434" s="30" t="s">
        <v>14</v>
      </c>
      <c r="C434" s="31">
        <v>910.0</v>
      </c>
      <c r="D434" s="31">
        <f t="shared" si="1"/>
        <v>1</v>
      </c>
    </row>
    <row r="435">
      <c r="A435" s="29">
        <v>44630.0</v>
      </c>
      <c r="B435" s="30" t="s">
        <v>14</v>
      </c>
      <c r="C435" s="31">
        <v>585.0</v>
      </c>
      <c r="D435" s="31">
        <f t="shared" si="1"/>
        <v>1</v>
      </c>
    </row>
    <row r="436">
      <c r="A436" s="29">
        <v>44631.0</v>
      </c>
      <c r="B436" s="30" t="s">
        <v>15</v>
      </c>
      <c r="C436" s="31">
        <v>775.0</v>
      </c>
      <c r="D436" s="31">
        <f t="shared" si="1"/>
        <v>1</v>
      </c>
    </row>
    <row r="437">
      <c r="A437" s="29">
        <v>44632.0</v>
      </c>
      <c r="B437" s="30" t="s">
        <v>15</v>
      </c>
      <c r="C437" s="31">
        <v>870.0</v>
      </c>
      <c r="D437" s="31">
        <f t="shared" si="1"/>
        <v>1</v>
      </c>
    </row>
    <row r="438">
      <c r="A438" s="29">
        <v>44633.0</v>
      </c>
      <c r="B438" s="30" t="s">
        <v>16</v>
      </c>
      <c r="C438" s="31" t="s">
        <v>17</v>
      </c>
      <c r="D438" s="31">
        <f t="shared" si="1"/>
        <v>1</v>
      </c>
    </row>
    <row r="439">
      <c r="A439" s="29">
        <v>44634.0</v>
      </c>
      <c r="B439" s="30" t="s">
        <v>14</v>
      </c>
      <c r="C439" s="31">
        <v>705.0</v>
      </c>
      <c r="D439" s="31">
        <f t="shared" si="1"/>
        <v>1</v>
      </c>
    </row>
    <row r="440">
      <c r="A440" s="29">
        <v>44635.0</v>
      </c>
      <c r="B440" s="30" t="s">
        <v>13</v>
      </c>
      <c r="C440" s="31">
        <v>740.0</v>
      </c>
      <c r="D440" s="31">
        <f t="shared" si="1"/>
        <v>1</v>
      </c>
    </row>
    <row r="441">
      <c r="A441" s="29">
        <v>44636.0</v>
      </c>
      <c r="B441" s="30" t="s">
        <v>14</v>
      </c>
      <c r="C441" s="31">
        <v>755.0</v>
      </c>
      <c r="D441" s="31">
        <f t="shared" si="1"/>
        <v>1</v>
      </c>
    </row>
    <row r="442">
      <c r="A442" s="29">
        <v>44637.0</v>
      </c>
      <c r="B442" s="30" t="s">
        <v>14</v>
      </c>
      <c r="C442" s="31">
        <v>655.0</v>
      </c>
      <c r="D442" s="31">
        <f t="shared" si="1"/>
        <v>1</v>
      </c>
    </row>
    <row r="443">
      <c r="A443" s="29">
        <v>44638.0</v>
      </c>
      <c r="B443" s="30" t="s">
        <v>15</v>
      </c>
      <c r="C443" s="31">
        <v>750.0</v>
      </c>
      <c r="D443" s="31">
        <f t="shared" si="1"/>
        <v>1</v>
      </c>
    </row>
    <row r="444">
      <c r="A444" s="29">
        <v>44639.0</v>
      </c>
      <c r="B444" s="30" t="s">
        <v>14</v>
      </c>
      <c r="C444" s="31">
        <v>755.0</v>
      </c>
      <c r="D444" s="31">
        <f t="shared" si="1"/>
        <v>1</v>
      </c>
    </row>
    <row r="445">
      <c r="A445" s="29">
        <v>44640.0</v>
      </c>
      <c r="B445" s="30" t="s">
        <v>15</v>
      </c>
      <c r="C445" s="31">
        <v>910.0</v>
      </c>
      <c r="D445" s="31">
        <f t="shared" si="1"/>
        <v>1</v>
      </c>
    </row>
    <row r="446">
      <c r="A446" s="29">
        <v>44641.0</v>
      </c>
      <c r="B446" s="30" t="s">
        <v>16</v>
      </c>
      <c r="C446" s="31" t="s">
        <v>17</v>
      </c>
      <c r="D446" s="31">
        <f t="shared" si="1"/>
        <v>1</v>
      </c>
    </row>
    <row r="447">
      <c r="A447" s="29">
        <v>44642.0</v>
      </c>
      <c r="B447" s="30" t="s">
        <v>13</v>
      </c>
      <c r="C447" s="31">
        <v>970.0</v>
      </c>
      <c r="D447" s="31">
        <f t="shared" si="1"/>
        <v>1</v>
      </c>
    </row>
    <row r="448">
      <c r="A448" s="29">
        <v>44643.0</v>
      </c>
      <c r="B448" s="30" t="s">
        <v>14</v>
      </c>
      <c r="C448" s="31">
        <v>535.0</v>
      </c>
      <c r="D448" s="31">
        <f t="shared" si="1"/>
        <v>1</v>
      </c>
    </row>
    <row r="449">
      <c r="A449" s="29">
        <v>44644.0</v>
      </c>
      <c r="B449" s="30" t="s">
        <v>14</v>
      </c>
      <c r="C449" s="31">
        <v>700.0</v>
      </c>
      <c r="D449" s="31">
        <f t="shared" si="1"/>
        <v>1</v>
      </c>
    </row>
    <row r="450">
      <c r="A450" s="29">
        <v>44645.0</v>
      </c>
      <c r="B450" s="30" t="s">
        <v>14</v>
      </c>
      <c r="C450" s="31">
        <v>780.0</v>
      </c>
      <c r="D450" s="31">
        <f t="shared" si="1"/>
        <v>1</v>
      </c>
    </row>
    <row r="451">
      <c r="A451" s="29">
        <v>44646.0</v>
      </c>
      <c r="B451" s="30" t="s">
        <v>15</v>
      </c>
      <c r="C451" s="31">
        <v>785.0</v>
      </c>
      <c r="D451" s="31">
        <f t="shared" si="1"/>
        <v>1</v>
      </c>
    </row>
    <row r="452">
      <c r="A452" s="29">
        <v>44647.0</v>
      </c>
      <c r="B452" s="30" t="s">
        <v>15</v>
      </c>
      <c r="C452" s="31">
        <v>755.0</v>
      </c>
      <c r="D452" s="31">
        <f t="shared" si="1"/>
        <v>1</v>
      </c>
    </row>
    <row r="453">
      <c r="A453" s="29">
        <v>44648.0</v>
      </c>
      <c r="B453" s="30" t="s">
        <v>16</v>
      </c>
      <c r="C453" s="31" t="s">
        <v>17</v>
      </c>
      <c r="D453" s="31">
        <f t="shared" si="1"/>
        <v>1</v>
      </c>
    </row>
    <row r="454">
      <c r="A454" s="29">
        <v>44649.0</v>
      </c>
      <c r="B454" s="30" t="s">
        <v>14</v>
      </c>
      <c r="C454" s="31">
        <v>620.0</v>
      </c>
      <c r="D454" s="31">
        <f t="shared" si="1"/>
        <v>1</v>
      </c>
    </row>
    <row r="455">
      <c r="A455" s="29">
        <v>44650.0</v>
      </c>
      <c r="B455" s="30" t="s">
        <v>15</v>
      </c>
      <c r="C455" s="31">
        <v>900.0</v>
      </c>
      <c r="D455" s="31">
        <f t="shared" si="1"/>
        <v>1</v>
      </c>
    </row>
    <row r="456">
      <c r="A456" s="29">
        <v>44651.0</v>
      </c>
      <c r="B456" s="30" t="s">
        <v>14</v>
      </c>
      <c r="C456" s="31">
        <v>835.0</v>
      </c>
      <c r="D456" s="31">
        <f t="shared" si="1"/>
        <v>1</v>
      </c>
    </row>
    <row r="457">
      <c r="A457" s="29">
        <v>44652.0</v>
      </c>
      <c r="B457" s="30" t="s">
        <v>14</v>
      </c>
      <c r="C457" s="31">
        <v>745.0</v>
      </c>
      <c r="D457" s="31">
        <f t="shared" si="1"/>
        <v>1</v>
      </c>
    </row>
    <row r="458">
      <c r="A458" s="29">
        <v>44653.0</v>
      </c>
      <c r="B458" s="30" t="s">
        <v>14</v>
      </c>
      <c r="C458" s="31">
        <v>715.0</v>
      </c>
      <c r="D458" s="31">
        <f t="shared" si="1"/>
        <v>1</v>
      </c>
    </row>
    <row r="459">
      <c r="A459" s="29">
        <v>44654.0</v>
      </c>
      <c r="B459" s="30" t="s">
        <v>15</v>
      </c>
      <c r="C459" s="31">
        <v>600.0</v>
      </c>
      <c r="D459" s="31">
        <f t="shared" si="1"/>
        <v>1</v>
      </c>
    </row>
    <row r="460">
      <c r="A460" s="29">
        <v>44655.0</v>
      </c>
      <c r="B460" s="30" t="s">
        <v>14</v>
      </c>
      <c r="C460" s="31">
        <v>720.0</v>
      </c>
      <c r="D460" s="31">
        <f t="shared" si="1"/>
        <v>1</v>
      </c>
    </row>
    <row r="461">
      <c r="A461" s="29">
        <v>44656.0</v>
      </c>
      <c r="B461" s="30" t="s">
        <v>14</v>
      </c>
      <c r="C461" s="31">
        <v>690.0</v>
      </c>
      <c r="D461" s="31">
        <f t="shared" si="1"/>
        <v>1</v>
      </c>
    </row>
    <row r="462">
      <c r="A462" s="29">
        <v>44657.0</v>
      </c>
      <c r="B462" s="30" t="s">
        <v>15</v>
      </c>
      <c r="C462" s="31">
        <v>510.0</v>
      </c>
      <c r="D462" s="31">
        <f t="shared" si="1"/>
        <v>1</v>
      </c>
    </row>
    <row r="463">
      <c r="A463" s="29">
        <v>44658.0</v>
      </c>
      <c r="B463" s="30" t="s">
        <v>16</v>
      </c>
      <c r="C463" s="31" t="s">
        <v>17</v>
      </c>
      <c r="D463" s="31">
        <f t="shared" si="1"/>
        <v>1</v>
      </c>
    </row>
    <row r="464">
      <c r="A464" s="29">
        <v>44659.0</v>
      </c>
      <c r="B464" s="30" t="s">
        <v>14</v>
      </c>
      <c r="C464" s="31">
        <v>895.0</v>
      </c>
      <c r="D464" s="31">
        <f t="shared" si="1"/>
        <v>1</v>
      </c>
    </row>
    <row r="465">
      <c r="A465" s="29">
        <v>44660.0</v>
      </c>
      <c r="B465" s="30" t="s">
        <v>13</v>
      </c>
      <c r="C465" s="31">
        <v>910.0</v>
      </c>
      <c r="D465" s="31">
        <f t="shared" si="1"/>
        <v>1</v>
      </c>
    </row>
    <row r="466">
      <c r="A466" s="29">
        <v>44661.0</v>
      </c>
      <c r="B466" s="30" t="s">
        <v>14</v>
      </c>
      <c r="C466" s="31">
        <v>720.0</v>
      </c>
      <c r="D466" s="31">
        <f t="shared" si="1"/>
        <v>1</v>
      </c>
    </row>
    <row r="467">
      <c r="A467" s="29">
        <v>44662.0</v>
      </c>
      <c r="B467" s="30" t="s">
        <v>14</v>
      </c>
      <c r="C467" s="31">
        <v>540.0</v>
      </c>
      <c r="D467" s="31">
        <f t="shared" si="1"/>
        <v>1</v>
      </c>
    </row>
    <row r="468">
      <c r="A468" s="29">
        <v>44663.0</v>
      </c>
      <c r="B468" s="30" t="s">
        <v>14</v>
      </c>
      <c r="C468" s="31">
        <v>590.0</v>
      </c>
      <c r="D468" s="31">
        <f t="shared" si="1"/>
        <v>1</v>
      </c>
    </row>
    <row r="469">
      <c r="A469" s="29">
        <v>44664.0</v>
      </c>
      <c r="B469" s="30" t="s">
        <v>15</v>
      </c>
      <c r="C469" s="31">
        <v>810.0</v>
      </c>
      <c r="D469" s="31">
        <f t="shared" si="1"/>
        <v>1</v>
      </c>
    </row>
    <row r="470">
      <c r="A470" s="29">
        <v>44665.0</v>
      </c>
      <c r="B470" s="30" t="s">
        <v>16</v>
      </c>
      <c r="C470" s="31" t="s">
        <v>17</v>
      </c>
      <c r="D470" s="31">
        <f t="shared" si="1"/>
        <v>1</v>
      </c>
    </row>
    <row r="471">
      <c r="A471" s="29">
        <v>44666.0</v>
      </c>
      <c r="B471" s="30" t="s">
        <v>13</v>
      </c>
      <c r="C471" s="31">
        <v>990.0</v>
      </c>
      <c r="D471" s="31">
        <f t="shared" si="1"/>
        <v>1</v>
      </c>
    </row>
    <row r="472">
      <c r="A472" s="29">
        <v>44667.0</v>
      </c>
      <c r="B472" s="30" t="s">
        <v>14</v>
      </c>
      <c r="C472" s="31">
        <v>885.0</v>
      </c>
      <c r="D472" s="31">
        <f t="shared" si="1"/>
        <v>1</v>
      </c>
    </row>
    <row r="473">
      <c r="A473" s="29">
        <v>44668.0</v>
      </c>
      <c r="B473" s="30" t="s">
        <v>14</v>
      </c>
      <c r="C473" s="31">
        <v>865.0</v>
      </c>
      <c r="D473" s="31">
        <f t="shared" si="1"/>
        <v>1</v>
      </c>
    </row>
    <row r="474">
      <c r="A474" s="29">
        <v>44669.0</v>
      </c>
      <c r="B474" s="30" t="s">
        <v>15</v>
      </c>
      <c r="C474" s="31">
        <v>615.0</v>
      </c>
      <c r="D474" s="31">
        <f t="shared" si="1"/>
        <v>1</v>
      </c>
    </row>
    <row r="475">
      <c r="A475" s="29">
        <v>44670.0</v>
      </c>
      <c r="B475" s="30" t="s">
        <v>15</v>
      </c>
      <c r="C475" s="31">
        <v>740.0</v>
      </c>
      <c r="D475" s="31">
        <f t="shared" si="1"/>
        <v>1</v>
      </c>
    </row>
    <row r="476">
      <c r="A476" s="29">
        <v>44671.0</v>
      </c>
      <c r="B476" s="30" t="s">
        <v>16</v>
      </c>
      <c r="C476" s="31" t="s">
        <v>17</v>
      </c>
      <c r="D476" s="31">
        <f t="shared" si="1"/>
        <v>1</v>
      </c>
    </row>
    <row r="477">
      <c r="A477" s="29">
        <v>44672.0</v>
      </c>
      <c r="B477" s="30" t="s">
        <v>14</v>
      </c>
      <c r="C477" s="31">
        <v>690.0</v>
      </c>
      <c r="D477" s="31">
        <f t="shared" si="1"/>
        <v>1</v>
      </c>
    </row>
    <row r="478">
      <c r="A478" s="29">
        <v>44673.0</v>
      </c>
      <c r="B478" s="30" t="s">
        <v>14</v>
      </c>
      <c r="C478" s="31">
        <v>920.0</v>
      </c>
      <c r="D478" s="31">
        <f t="shared" si="1"/>
        <v>1</v>
      </c>
    </row>
    <row r="479">
      <c r="A479" s="29">
        <v>44674.0</v>
      </c>
      <c r="B479" s="30" t="s">
        <v>13</v>
      </c>
      <c r="C479" s="31">
        <v>925.0</v>
      </c>
      <c r="D479" s="31">
        <f t="shared" si="1"/>
        <v>1</v>
      </c>
    </row>
    <row r="480">
      <c r="A480" s="29">
        <v>44675.0</v>
      </c>
      <c r="B480" s="30" t="s">
        <v>14</v>
      </c>
      <c r="C480" s="31">
        <v>915.0</v>
      </c>
      <c r="D480" s="31">
        <f t="shared" si="1"/>
        <v>1</v>
      </c>
    </row>
    <row r="481">
      <c r="A481" s="29">
        <v>44676.0</v>
      </c>
      <c r="B481" s="30" t="s">
        <v>14</v>
      </c>
      <c r="C481" s="31">
        <v>650.0</v>
      </c>
      <c r="D481" s="31">
        <f t="shared" si="1"/>
        <v>1</v>
      </c>
    </row>
    <row r="482">
      <c r="A482" s="29">
        <v>44677.0</v>
      </c>
      <c r="B482" s="30" t="s">
        <v>15</v>
      </c>
      <c r="C482" s="31">
        <v>905.0</v>
      </c>
      <c r="D482" s="31">
        <f t="shared" si="1"/>
        <v>1</v>
      </c>
    </row>
    <row r="483">
      <c r="A483" s="29">
        <v>44678.0</v>
      </c>
      <c r="B483" s="30" t="s">
        <v>14</v>
      </c>
      <c r="C483" s="31">
        <v>940.0</v>
      </c>
      <c r="D483" s="31">
        <f t="shared" si="1"/>
        <v>1</v>
      </c>
    </row>
    <row r="484">
      <c r="A484" s="29">
        <v>44679.0</v>
      </c>
      <c r="B484" s="30" t="s">
        <v>15</v>
      </c>
      <c r="C484" s="31">
        <v>770.0</v>
      </c>
      <c r="D484" s="31">
        <f t="shared" si="1"/>
        <v>1</v>
      </c>
    </row>
    <row r="485">
      <c r="A485" s="29">
        <v>44680.0</v>
      </c>
      <c r="B485" s="30" t="s">
        <v>16</v>
      </c>
      <c r="C485" s="31" t="s">
        <v>17</v>
      </c>
      <c r="D485" s="31">
        <f t="shared" si="1"/>
        <v>1</v>
      </c>
    </row>
    <row r="486">
      <c r="A486" s="29">
        <v>44681.0</v>
      </c>
      <c r="B486" s="30" t="s">
        <v>14</v>
      </c>
      <c r="C486" s="31">
        <v>700.0</v>
      </c>
      <c r="D486" s="31">
        <f t="shared" si="1"/>
        <v>1</v>
      </c>
    </row>
    <row r="487">
      <c r="A487" s="29">
        <v>44682.0</v>
      </c>
      <c r="B487" s="30" t="s">
        <v>13</v>
      </c>
      <c r="C487" s="31">
        <v>615.0</v>
      </c>
      <c r="D487" s="31">
        <f t="shared" si="1"/>
        <v>1</v>
      </c>
    </row>
    <row r="488">
      <c r="A488" s="29">
        <v>44683.0</v>
      </c>
      <c r="B488" s="30" t="s">
        <v>14</v>
      </c>
      <c r="C488" s="31">
        <v>810.0</v>
      </c>
      <c r="D488" s="31">
        <f t="shared" si="1"/>
        <v>1</v>
      </c>
    </row>
    <row r="489">
      <c r="A489" s="29">
        <v>44684.0</v>
      </c>
      <c r="B489" s="30" t="s">
        <v>14</v>
      </c>
      <c r="C489" s="31">
        <v>765.0</v>
      </c>
      <c r="D489" s="31">
        <f t="shared" si="1"/>
        <v>1</v>
      </c>
    </row>
    <row r="490">
      <c r="A490" s="29">
        <v>44685.0</v>
      </c>
      <c r="B490" s="30" t="s">
        <v>14</v>
      </c>
      <c r="C490" s="31">
        <v>550.0</v>
      </c>
      <c r="D490" s="31">
        <f t="shared" si="1"/>
        <v>1</v>
      </c>
    </row>
    <row r="491">
      <c r="A491" s="29">
        <v>44686.0</v>
      </c>
      <c r="B491" s="30" t="s">
        <v>15</v>
      </c>
      <c r="C491" s="31">
        <v>585.0</v>
      </c>
      <c r="D491" s="31">
        <f t="shared" si="1"/>
        <v>1</v>
      </c>
    </row>
    <row r="492">
      <c r="A492" s="29">
        <v>44687.0</v>
      </c>
      <c r="B492" s="30" t="s">
        <v>16</v>
      </c>
      <c r="C492" s="31" t="s">
        <v>17</v>
      </c>
      <c r="D492" s="31">
        <f t="shared" si="1"/>
        <v>1</v>
      </c>
    </row>
    <row r="493">
      <c r="A493" s="29">
        <v>44688.0</v>
      </c>
      <c r="B493" s="30" t="s">
        <v>14</v>
      </c>
      <c r="C493" s="31">
        <v>615.0</v>
      </c>
      <c r="D493" s="31">
        <f t="shared" si="1"/>
        <v>1</v>
      </c>
    </row>
    <row r="494">
      <c r="A494" s="29">
        <v>44689.0</v>
      </c>
      <c r="B494" s="30" t="s">
        <v>15</v>
      </c>
      <c r="C494" s="31">
        <v>595.0</v>
      </c>
      <c r="D494" s="31">
        <f t="shared" si="1"/>
        <v>1</v>
      </c>
    </row>
    <row r="495">
      <c r="A495" s="29">
        <v>44690.0</v>
      </c>
      <c r="B495" s="30" t="s">
        <v>14</v>
      </c>
      <c r="C495" s="31">
        <v>965.0</v>
      </c>
      <c r="D495" s="31">
        <f t="shared" si="1"/>
        <v>1</v>
      </c>
    </row>
    <row r="496">
      <c r="A496" s="29">
        <v>44691.0</v>
      </c>
      <c r="B496" s="30" t="s">
        <v>14</v>
      </c>
      <c r="C496" s="31">
        <v>700.0</v>
      </c>
      <c r="D496" s="31">
        <f t="shared" si="1"/>
        <v>1</v>
      </c>
    </row>
    <row r="497">
      <c r="A497" s="29">
        <v>44692.0</v>
      </c>
      <c r="B497" s="30" t="s">
        <v>15</v>
      </c>
      <c r="C497" s="31">
        <v>870.0</v>
      </c>
      <c r="D497" s="31">
        <f t="shared" si="1"/>
        <v>1</v>
      </c>
    </row>
    <row r="498">
      <c r="A498" s="29">
        <v>44693.0</v>
      </c>
      <c r="B498" s="30" t="s">
        <v>14</v>
      </c>
      <c r="C498" s="31">
        <v>730.0</v>
      </c>
      <c r="D498" s="31">
        <f t="shared" si="1"/>
        <v>1</v>
      </c>
    </row>
    <row r="499">
      <c r="A499" s="29">
        <v>44694.0</v>
      </c>
      <c r="B499" s="30" t="s">
        <v>13</v>
      </c>
      <c r="C499" s="31">
        <v>540.0</v>
      </c>
      <c r="D499" s="31">
        <f t="shared" si="1"/>
        <v>1</v>
      </c>
    </row>
    <row r="500">
      <c r="A500" s="29">
        <v>44695.0</v>
      </c>
      <c r="B500" s="30" t="s">
        <v>16</v>
      </c>
      <c r="C500" s="31" t="s">
        <v>17</v>
      </c>
      <c r="D500" s="31">
        <f t="shared" si="1"/>
        <v>1</v>
      </c>
    </row>
    <row r="501">
      <c r="A501" s="29">
        <v>44696.0</v>
      </c>
      <c r="B501" s="30" t="s">
        <v>14</v>
      </c>
      <c r="C501" s="31">
        <v>735.0</v>
      </c>
      <c r="D501" s="31">
        <f t="shared" si="1"/>
        <v>1</v>
      </c>
    </row>
    <row r="502">
      <c r="A502" s="29">
        <v>44697.0</v>
      </c>
      <c r="B502" s="30" t="s">
        <v>14</v>
      </c>
      <c r="C502" s="31">
        <v>895.0</v>
      </c>
      <c r="D502" s="31">
        <f t="shared" si="1"/>
        <v>1</v>
      </c>
    </row>
    <row r="503">
      <c r="A503" s="29">
        <v>44698.0</v>
      </c>
      <c r="B503" s="30" t="s">
        <v>15</v>
      </c>
      <c r="C503" s="31">
        <v>835.0</v>
      </c>
      <c r="D503" s="31">
        <f t="shared" si="1"/>
        <v>1</v>
      </c>
    </row>
    <row r="504">
      <c r="A504" s="29">
        <v>44699.0</v>
      </c>
      <c r="B504" s="30" t="s">
        <v>15</v>
      </c>
      <c r="C504" s="31">
        <v>815.0</v>
      </c>
      <c r="D504" s="31">
        <f t="shared" si="1"/>
        <v>1</v>
      </c>
    </row>
    <row r="505">
      <c r="A505" s="29">
        <v>44700.0</v>
      </c>
      <c r="B505" s="30" t="s">
        <v>16</v>
      </c>
      <c r="C505" s="31" t="s">
        <v>17</v>
      </c>
      <c r="D505" s="31">
        <f t="shared" si="1"/>
        <v>1</v>
      </c>
    </row>
    <row r="506">
      <c r="A506" s="29">
        <v>44701.0</v>
      </c>
      <c r="B506" s="30" t="s">
        <v>14</v>
      </c>
      <c r="C506" s="31">
        <v>990.0</v>
      </c>
      <c r="D506" s="31">
        <f t="shared" si="1"/>
        <v>1</v>
      </c>
    </row>
    <row r="507">
      <c r="A507" s="29">
        <v>44702.0</v>
      </c>
      <c r="B507" s="30" t="s">
        <v>13</v>
      </c>
      <c r="C507" s="31">
        <v>970.0</v>
      </c>
      <c r="D507" s="31">
        <f t="shared" si="1"/>
        <v>1</v>
      </c>
    </row>
    <row r="508">
      <c r="A508" s="29">
        <v>44703.0</v>
      </c>
      <c r="B508" s="30" t="s">
        <v>14</v>
      </c>
      <c r="C508" s="31">
        <v>730.0</v>
      </c>
      <c r="D508" s="31">
        <f t="shared" si="1"/>
        <v>1</v>
      </c>
    </row>
    <row r="509">
      <c r="A509" s="29">
        <v>44704.0</v>
      </c>
      <c r="B509" s="30" t="s">
        <v>14</v>
      </c>
      <c r="C509" s="31">
        <v>830.0</v>
      </c>
      <c r="D509" s="31">
        <f t="shared" si="1"/>
        <v>1</v>
      </c>
    </row>
    <row r="510">
      <c r="A510" s="29">
        <v>44705.0</v>
      </c>
      <c r="B510" s="30" t="s">
        <v>15</v>
      </c>
      <c r="C510" s="31">
        <v>755.0</v>
      </c>
      <c r="D510" s="31">
        <f t="shared" si="1"/>
        <v>1</v>
      </c>
    </row>
    <row r="511">
      <c r="A511" s="29">
        <v>44706.0</v>
      </c>
      <c r="B511" s="30" t="s">
        <v>14</v>
      </c>
      <c r="C511" s="31">
        <v>835.0</v>
      </c>
      <c r="D511" s="31">
        <f t="shared" si="1"/>
        <v>1</v>
      </c>
    </row>
    <row r="512">
      <c r="A512" s="29">
        <v>44707.0</v>
      </c>
      <c r="B512" s="30" t="s">
        <v>15</v>
      </c>
      <c r="C512" s="31">
        <v>910.0</v>
      </c>
      <c r="D512" s="31">
        <f t="shared" si="1"/>
        <v>1</v>
      </c>
    </row>
    <row r="513">
      <c r="A513" s="29">
        <v>44708.0</v>
      </c>
      <c r="B513" s="30" t="s">
        <v>16</v>
      </c>
      <c r="C513" s="31" t="s">
        <v>17</v>
      </c>
      <c r="D513" s="31">
        <f t="shared" si="1"/>
        <v>1</v>
      </c>
    </row>
    <row r="514">
      <c r="A514" s="29">
        <v>44709.0</v>
      </c>
      <c r="B514" s="30" t="s">
        <v>13</v>
      </c>
      <c r="C514" s="31">
        <v>555.0</v>
      </c>
      <c r="D514" s="31">
        <f t="shared" si="1"/>
        <v>1</v>
      </c>
    </row>
    <row r="515">
      <c r="A515" s="29">
        <v>44710.0</v>
      </c>
      <c r="B515" s="30" t="s">
        <v>14</v>
      </c>
      <c r="C515" s="31">
        <v>900.0</v>
      </c>
      <c r="D515" s="31">
        <f t="shared" si="1"/>
        <v>1</v>
      </c>
    </row>
    <row r="516">
      <c r="A516" s="29">
        <v>44711.0</v>
      </c>
      <c r="B516" s="30" t="s">
        <v>14</v>
      </c>
      <c r="C516" s="31">
        <v>545.0</v>
      </c>
      <c r="D516" s="31">
        <f t="shared" si="1"/>
        <v>1</v>
      </c>
    </row>
    <row r="517">
      <c r="A517" s="29">
        <v>44712.0</v>
      </c>
      <c r="B517" s="30" t="s">
        <v>14</v>
      </c>
      <c r="C517" s="31">
        <v>550.0</v>
      </c>
      <c r="D517" s="31">
        <f t="shared" si="1"/>
        <v>1</v>
      </c>
    </row>
    <row r="518">
      <c r="A518" s="29">
        <v>44713.0</v>
      </c>
      <c r="B518" s="30" t="s">
        <v>15</v>
      </c>
      <c r="C518" s="31">
        <v>805.0</v>
      </c>
      <c r="D518" s="31">
        <f t="shared" si="1"/>
        <v>1</v>
      </c>
    </row>
    <row r="519">
      <c r="A519" s="29">
        <v>44714.0</v>
      </c>
      <c r="B519" s="30" t="s">
        <v>15</v>
      </c>
      <c r="C519" s="31">
        <v>725.0</v>
      </c>
      <c r="D519" s="31">
        <f t="shared" si="1"/>
        <v>1</v>
      </c>
    </row>
    <row r="520">
      <c r="A520" s="29">
        <v>44715.0</v>
      </c>
      <c r="B520" s="30" t="s">
        <v>16</v>
      </c>
      <c r="C520" s="31" t="s">
        <v>17</v>
      </c>
      <c r="D520" s="31">
        <f t="shared" si="1"/>
        <v>1</v>
      </c>
    </row>
    <row r="521">
      <c r="A521" s="29">
        <v>44716.0</v>
      </c>
      <c r="B521" s="30" t="s">
        <v>14</v>
      </c>
      <c r="C521" s="31">
        <v>970.0</v>
      </c>
      <c r="D521" s="31">
        <f t="shared" si="1"/>
        <v>1</v>
      </c>
    </row>
    <row r="522">
      <c r="A522" s="29">
        <v>44717.0</v>
      </c>
      <c r="B522" s="30" t="s">
        <v>15</v>
      </c>
      <c r="C522" s="31">
        <v>875.0</v>
      </c>
      <c r="D522" s="31">
        <f t="shared" si="1"/>
        <v>1</v>
      </c>
    </row>
    <row r="523">
      <c r="A523" s="29">
        <v>44718.0</v>
      </c>
      <c r="B523" s="30" t="s">
        <v>14</v>
      </c>
      <c r="C523" s="31">
        <v>825.0</v>
      </c>
      <c r="D523" s="31">
        <f t="shared" si="1"/>
        <v>1</v>
      </c>
    </row>
    <row r="524">
      <c r="A524" s="29">
        <v>44719.0</v>
      </c>
      <c r="B524" s="30" t="s">
        <v>14</v>
      </c>
      <c r="C524" s="31">
        <v>555.0</v>
      </c>
      <c r="D524" s="31">
        <f t="shared" si="1"/>
        <v>1</v>
      </c>
    </row>
    <row r="525">
      <c r="A525" s="29">
        <v>44720.0</v>
      </c>
      <c r="B525" s="30" t="s">
        <v>14</v>
      </c>
      <c r="C525" s="31">
        <v>970.0</v>
      </c>
      <c r="D525" s="31">
        <f t="shared" si="1"/>
        <v>1</v>
      </c>
    </row>
    <row r="526">
      <c r="A526" s="29">
        <v>44721.0</v>
      </c>
      <c r="B526" s="30" t="s">
        <v>15</v>
      </c>
      <c r="C526" s="31">
        <v>995.0</v>
      </c>
      <c r="D526" s="31">
        <f t="shared" si="1"/>
        <v>1</v>
      </c>
    </row>
    <row r="527">
      <c r="A527" s="29">
        <v>44722.0</v>
      </c>
      <c r="B527" s="30" t="s">
        <v>14</v>
      </c>
      <c r="C527" s="31">
        <v>595.0</v>
      </c>
      <c r="D527" s="31">
        <f t="shared" si="1"/>
        <v>1</v>
      </c>
    </row>
    <row r="528">
      <c r="A528" s="29">
        <v>44723.0</v>
      </c>
      <c r="B528" s="30" t="s">
        <v>14</v>
      </c>
      <c r="C528" s="31">
        <v>925.0</v>
      </c>
      <c r="D528" s="31">
        <f t="shared" si="1"/>
        <v>1</v>
      </c>
    </row>
    <row r="529">
      <c r="A529" s="29">
        <v>44724.0</v>
      </c>
      <c r="B529" s="30" t="s">
        <v>15</v>
      </c>
      <c r="C529" s="31">
        <v>640.0</v>
      </c>
      <c r="D529" s="31">
        <f t="shared" si="1"/>
        <v>1</v>
      </c>
    </row>
    <row r="530">
      <c r="A530" s="29">
        <v>44725.0</v>
      </c>
      <c r="B530" s="30" t="s">
        <v>16</v>
      </c>
      <c r="C530" s="31" t="s">
        <v>17</v>
      </c>
      <c r="D530" s="31">
        <f t="shared" si="1"/>
        <v>1</v>
      </c>
    </row>
    <row r="531">
      <c r="A531" s="29">
        <v>44726.0</v>
      </c>
      <c r="B531" s="30" t="s">
        <v>14</v>
      </c>
      <c r="C531" s="31">
        <v>640.0</v>
      </c>
      <c r="D531" s="31">
        <f t="shared" si="1"/>
        <v>1</v>
      </c>
    </row>
    <row r="532">
      <c r="A532" s="29">
        <v>44727.0</v>
      </c>
      <c r="B532" s="30" t="s">
        <v>13</v>
      </c>
      <c r="C532" s="31">
        <v>800.0</v>
      </c>
      <c r="D532" s="31">
        <f t="shared" si="1"/>
        <v>1</v>
      </c>
    </row>
    <row r="533">
      <c r="A533" s="29">
        <v>44728.0</v>
      </c>
      <c r="B533" s="30" t="s">
        <v>14</v>
      </c>
      <c r="C533" s="31">
        <v>955.0</v>
      </c>
      <c r="D533" s="31">
        <f t="shared" si="1"/>
        <v>1</v>
      </c>
    </row>
    <row r="534">
      <c r="A534" s="29">
        <v>44729.0</v>
      </c>
      <c r="B534" s="30" t="s">
        <v>14</v>
      </c>
      <c r="C534" s="31">
        <v>895.0</v>
      </c>
      <c r="D534" s="31">
        <f t="shared" si="1"/>
        <v>1</v>
      </c>
    </row>
    <row r="535">
      <c r="A535" s="29">
        <v>44730.0</v>
      </c>
      <c r="B535" s="30" t="s">
        <v>14</v>
      </c>
      <c r="C535" s="31">
        <v>865.0</v>
      </c>
      <c r="D535" s="31">
        <f t="shared" si="1"/>
        <v>1</v>
      </c>
    </row>
    <row r="536">
      <c r="A536" s="29">
        <v>44731.0</v>
      </c>
      <c r="B536" s="30" t="s">
        <v>15</v>
      </c>
      <c r="C536" s="31">
        <v>545.0</v>
      </c>
      <c r="D536" s="31">
        <f t="shared" si="1"/>
        <v>1</v>
      </c>
    </row>
    <row r="537">
      <c r="A537" s="29">
        <v>44732.0</v>
      </c>
      <c r="B537" s="30" t="s">
        <v>16</v>
      </c>
      <c r="C537" s="31" t="s">
        <v>17</v>
      </c>
      <c r="D537" s="31">
        <f t="shared" si="1"/>
        <v>1</v>
      </c>
    </row>
    <row r="538">
      <c r="A538" s="29">
        <v>44733.0</v>
      </c>
      <c r="B538" s="30" t="s">
        <v>13</v>
      </c>
      <c r="C538" s="31">
        <v>930.0</v>
      </c>
      <c r="D538" s="31">
        <f t="shared" si="1"/>
        <v>1</v>
      </c>
    </row>
    <row r="539">
      <c r="A539" s="29">
        <v>44734.0</v>
      </c>
      <c r="B539" s="30" t="s">
        <v>14</v>
      </c>
      <c r="C539" s="31">
        <v>960.0</v>
      </c>
      <c r="D539" s="31">
        <f t="shared" si="1"/>
        <v>1</v>
      </c>
    </row>
    <row r="540">
      <c r="A540" s="29">
        <v>44735.0</v>
      </c>
      <c r="B540" s="30" t="s">
        <v>14</v>
      </c>
      <c r="C540" s="31">
        <v>655.0</v>
      </c>
      <c r="D540" s="31">
        <f t="shared" si="1"/>
        <v>1</v>
      </c>
    </row>
    <row r="541">
      <c r="A541" s="29">
        <v>44736.0</v>
      </c>
      <c r="B541" s="30" t="s">
        <v>15</v>
      </c>
      <c r="C541" s="31">
        <v>760.0</v>
      </c>
      <c r="D541" s="31">
        <f t="shared" si="1"/>
        <v>1</v>
      </c>
    </row>
    <row r="542">
      <c r="A542" s="29">
        <v>44737.0</v>
      </c>
      <c r="B542" s="30" t="s">
        <v>15</v>
      </c>
      <c r="C542" s="31">
        <v>690.0</v>
      </c>
      <c r="D542" s="31">
        <f t="shared" si="1"/>
        <v>1</v>
      </c>
    </row>
    <row r="543">
      <c r="A543" s="29">
        <v>44738.0</v>
      </c>
      <c r="B543" s="30" t="s">
        <v>16</v>
      </c>
      <c r="C543" s="31" t="s">
        <v>17</v>
      </c>
      <c r="D543" s="31">
        <f t="shared" si="1"/>
        <v>1</v>
      </c>
    </row>
    <row r="544">
      <c r="A544" s="29">
        <v>44739.0</v>
      </c>
      <c r="B544" s="30" t="s">
        <v>14</v>
      </c>
      <c r="C544" s="31">
        <v>755.0</v>
      </c>
      <c r="D544" s="31">
        <f t="shared" si="1"/>
        <v>1</v>
      </c>
    </row>
    <row r="545">
      <c r="A545" s="29">
        <v>44740.0</v>
      </c>
      <c r="B545" s="30" t="s">
        <v>14</v>
      </c>
      <c r="C545" s="31">
        <v>930.0</v>
      </c>
      <c r="D545" s="31">
        <f t="shared" si="1"/>
        <v>1</v>
      </c>
    </row>
    <row r="546">
      <c r="A546" s="29">
        <v>44741.0</v>
      </c>
      <c r="B546" s="30" t="s">
        <v>13</v>
      </c>
      <c r="C546" s="31">
        <v>670.0</v>
      </c>
      <c r="D546" s="31">
        <f t="shared" si="1"/>
        <v>1</v>
      </c>
    </row>
    <row r="547">
      <c r="A547" s="29">
        <v>44742.0</v>
      </c>
      <c r="B547" s="30" t="s">
        <v>14</v>
      </c>
      <c r="C547" s="31">
        <v>830.0</v>
      </c>
      <c r="D547" s="31">
        <f t="shared" si="1"/>
        <v>1</v>
      </c>
    </row>
    <row r="548">
      <c r="A548" s="29">
        <v>44743.0</v>
      </c>
      <c r="B548" s="30" t="s">
        <v>14</v>
      </c>
      <c r="C548" s="31">
        <v>505.0</v>
      </c>
      <c r="D548" s="31">
        <f t="shared" si="1"/>
        <v>1</v>
      </c>
    </row>
    <row r="549">
      <c r="A549" s="29">
        <v>44744.0</v>
      </c>
      <c r="B549" s="30" t="s">
        <v>15</v>
      </c>
      <c r="C549" s="31">
        <v>590.0</v>
      </c>
      <c r="D549" s="31">
        <f t="shared" si="1"/>
        <v>1</v>
      </c>
    </row>
    <row r="550">
      <c r="A550" s="29">
        <v>44745.0</v>
      </c>
      <c r="B550" s="30" t="s">
        <v>14</v>
      </c>
      <c r="C550" s="31">
        <v>835.0</v>
      </c>
      <c r="D550" s="31">
        <f t="shared" si="1"/>
        <v>1</v>
      </c>
    </row>
    <row r="551">
      <c r="A551" s="29">
        <v>44746.0</v>
      </c>
      <c r="B551" s="30" t="s">
        <v>15</v>
      </c>
      <c r="C551" s="31">
        <v>880.0</v>
      </c>
      <c r="D551" s="31">
        <f t="shared" si="1"/>
        <v>1</v>
      </c>
    </row>
    <row r="552">
      <c r="A552" s="29">
        <v>44747.0</v>
      </c>
      <c r="B552" s="30" t="s">
        <v>16</v>
      </c>
      <c r="C552" s="31" t="s">
        <v>17</v>
      </c>
      <c r="D552" s="31">
        <f t="shared" si="1"/>
        <v>1</v>
      </c>
    </row>
    <row r="553">
      <c r="A553" s="29">
        <v>44748.0</v>
      </c>
      <c r="B553" s="30" t="s">
        <v>14</v>
      </c>
      <c r="C553" s="31">
        <v>760.0</v>
      </c>
      <c r="D553" s="31">
        <f t="shared" si="1"/>
        <v>1</v>
      </c>
    </row>
    <row r="554">
      <c r="A554" s="29">
        <v>44749.0</v>
      </c>
      <c r="B554" s="30" t="s">
        <v>13</v>
      </c>
      <c r="C554" s="31">
        <v>705.0</v>
      </c>
      <c r="D554" s="31">
        <f t="shared" si="1"/>
        <v>1</v>
      </c>
    </row>
    <row r="555">
      <c r="A555" s="29">
        <v>44750.0</v>
      </c>
      <c r="B555" s="30" t="s">
        <v>14</v>
      </c>
      <c r="C555" s="31">
        <v>790.0</v>
      </c>
      <c r="D555" s="31">
        <f t="shared" si="1"/>
        <v>1</v>
      </c>
    </row>
    <row r="556">
      <c r="A556" s="29">
        <v>44751.0</v>
      </c>
      <c r="B556" s="30" t="s">
        <v>14</v>
      </c>
      <c r="C556" s="31">
        <v>740.0</v>
      </c>
      <c r="D556" s="31">
        <f t="shared" si="1"/>
        <v>1</v>
      </c>
    </row>
    <row r="557">
      <c r="A557" s="29">
        <v>44752.0</v>
      </c>
      <c r="B557" s="30" t="s">
        <v>14</v>
      </c>
      <c r="C557" s="31">
        <v>510.0</v>
      </c>
      <c r="D557" s="31">
        <f t="shared" si="1"/>
        <v>1</v>
      </c>
    </row>
    <row r="558">
      <c r="A558" s="29">
        <v>44753.0</v>
      </c>
      <c r="B558" s="30" t="s">
        <v>15</v>
      </c>
      <c r="C558" s="31">
        <v>890.0</v>
      </c>
      <c r="D558" s="31">
        <f t="shared" si="1"/>
        <v>1</v>
      </c>
    </row>
    <row r="559">
      <c r="A559" s="29">
        <v>44754.0</v>
      </c>
      <c r="B559" s="30" t="s">
        <v>16</v>
      </c>
      <c r="C559" s="31" t="s">
        <v>17</v>
      </c>
      <c r="D559" s="31">
        <f t="shared" si="1"/>
        <v>1</v>
      </c>
    </row>
    <row r="560">
      <c r="A560" s="29">
        <v>44755.0</v>
      </c>
      <c r="B560" s="30" t="s">
        <v>14</v>
      </c>
      <c r="C560" s="31">
        <v>970.0</v>
      </c>
      <c r="D560" s="31">
        <f t="shared" si="1"/>
        <v>1</v>
      </c>
    </row>
    <row r="561">
      <c r="A561" s="29">
        <v>44756.0</v>
      </c>
      <c r="B561" s="30" t="s">
        <v>15</v>
      </c>
      <c r="C561" s="31">
        <v>745.0</v>
      </c>
      <c r="D561" s="31">
        <f t="shared" si="1"/>
        <v>1</v>
      </c>
    </row>
    <row r="562">
      <c r="A562" s="29">
        <v>44757.0</v>
      </c>
      <c r="B562" s="30" t="s">
        <v>14</v>
      </c>
      <c r="C562" s="31">
        <v>850.0</v>
      </c>
      <c r="D562" s="31">
        <f t="shared" si="1"/>
        <v>1</v>
      </c>
    </row>
    <row r="563">
      <c r="A563" s="29">
        <v>44758.0</v>
      </c>
      <c r="B563" s="30" t="s">
        <v>14</v>
      </c>
      <c r="C563" s="31">
        <v>860.0</v>
      </c>
      <c r="D563" s="31">
        <f t="shared" si="1"/>
        <v>1</v>
      </c>
    </row>
    <row r="564">
      <c r="A564" s="29">
        <v>44759.0</v>
      </c>
      <c r="B564" s="30" t="s">
        <v>15</v>
      </c>
      <c r="C564" s="31">
        <v>710.0</v>
      </c>
      <c r="D564" s="31">
        <f t="shared" si="1"/>
        <v>1</v>
      </c>
    </row>
    <row r="565">
      <c r="A565" s="29">
        <v>44760.0</v>
      </c>
      <c r="B565" s="30" t="s">
        <v>14</v>
      </c>
      <c r="C565" s="31">
        <v>805.0</v>
      </c>
      <c r="D565" s="31">
        <f t="shared" si="1"/>
        <v>1</v>
      </c>
    </row>
    <row r="566">
      <c r="A566" s="29">
        <v>44761.0</v>
      </c>
      <c r="B566" s="30" t="s">
        <v>13</v>
      </c>
      <c r="C566" s="31">
        <v>680.0</v>
      </c>
      <c r="D566" s="31">
        <f t="shared" si="1"/>
        <v>1</v>
      </c>
    </row>
    <row r="567">
      <c r="A567" s="29">
        <v>44762.0</v>
      </c>
      <c r="B567" s="30" t="s">
        <v>16</v>
      </c>
      <c r="C567" s="31" t="s">
        <v>17</v>
      </c>
      <c r="D567" s="31">
        <f t="shared" si="1"/>
        <v>1</v>
      </c>
    </row>
    <row r="568">
      <c r="A568" s="29">
        <v>44763.0</v>
      </c>
      <c r="B568" s="30" t="s">
        <v>14</v>
      </c>
      <c r="C568" s="31">
        <v>660.0</v>
      </c>
      <c r="D568" s="31">
        <f t="shared" si="1"/>
        <v>1</v>
      </c>
    </row>
    <row r="569">
      <c r="A569" s="29">
        <v>44764.0</v>
      </c>
      <c r="B569" s="30" t="s">
        <v>14</v>
      </c>
      <c r="C569" s="31">
        <v>535.0</v>
      </c>
      <c r="D569" s="31">
        <f t="shared" si="1"/>
        <v>1</v>
      </c>
    </row>
    <row r="570">
      <c r="A570" s="29">
        <v>44765.0</v>
      </c>
      <c r="B570" s="30" t="s">
        <v>15</v>
      </c>
      <c r="C570" s="31">
        <v>625.0</v>
      </c>
      <c r="D570" s="31">
        <f t="shared" si="1"/>
        <v>1</v>
      </c>
    </row>
    <row r="571">
      <c r="A571" s="29">
        <v>44766.0</v>
      </c>
      <c r="B571" s="30" t="s">
        <v>15</v>
      </c>
      <c r="C571" s="31">
        <v>760.0</v>
      </c>
      <c r="D571" s="31">
        <f t="shared" si="1"/>
        <v>1</v>
      </c>
    </row>
    <row r="572">
      <c r="A572" s="29">
        <v>44767.0</v>
      </c>
      <c r="B572" s="30" t="s">
        <v>16</v>
      </c>
      <c r="C572" s="31" t="s">
        <v>17</v>
      </c>
      <c r="D572" s="31">
        <f t="shared" si="1"/>
        <v>1</v>
      </c>
    </row>
    <row r="573">
      <c r="A573" s="29">
        <v>44768.0</v>
      </c>
      <c r="B573" s="30" t="s">
        <v>14</v>
      </c>
      <c r="C573" s="31">
        <v>840.0</v>
      </c>
      <c r="D573" s="31">
        <f t="shared" si="1"/>
        <v>1</v>
      </c>
    </row>
    <row r="574">
      <c r="A574" s="29">
        <v>44769.0</v>
      </c>
      <c r="B574" s="30" t="s">
        <v>13</v>
      </c>
      <c r="C574" s="31">
        <v>620.0</v>
      </c>
      <c r="D574" s="31">
        <f t="shared" si="1"/>
        <v>1</v>
      </c>
    </row>
    <row r="575">
      <c r="A575" s="29">
        <v>44770.0</v>
      </c>
      <c r="B575" s="30" t="s">
        <v>14</v>
      </c>
      <c r="C575" s="31">
        <v>935.0</v>
      </c>
      <c r="D575" s="31">
        <f t="shared" si="1"/>
        <v>1</v>
      </c>
    </row>
    <row r="576">
      <c r="A576" s="29">
        <v>44771.0</v>
      </c>
      <c r="B576" s="30" t="s">
        <v>14</v>
      </c>
      <c r="C576" s="31">
        <v>825.0</v>
      </c>
      <c r="D576" s="31">
        <f t="shared" si="1"/>
        <v>1</v>
      </c>
    </row>
    <row r="577">
      <c r="A577" s="32">
        <v>44772.0</v>
      </c>
      <c r="B577" s="30" t="s">
        <v>15</v>
      </c>
      <c r="C577" s="31">
        <v>550.0</v>
      </c>
      <c r="D577" s="31">
        <f t="shared" si="1"/>
        <v>1</v>
      </c>
    </row>
    <row r="578">
      <c r="A578" s="32">
        <f t="shared" ref="A578:A1000" si="2">A577+1</f>
        <v>44773</v>
      </c>
      <c r="B578" s="30" t="s">
        <v>14</v>
      </c>
      <c r="C578" s="31">
        <v>780.0</v>
      </c>
      <c r="D578" s="31">
        <f t="shared" si="1"/>
        <v>1</v>
      </c>
    </row>
    <row r="579">
      <c r="A579" s="32">
        <f t="shared" si="2"/>
        <v>44774</v>
      </c>
      <c r="B579" s="30" t="s">
        <v>15</v>
      </c>
      <c r="C579" s="31">
        <v>675.0</v>
      </c>
      <c r="D579" s="31">
        <f t="shared" si="1"/>
        <v>1</v>
      </c>
    </row>
    <row r="580">
      <c r="A580" s="32">
        <f t="shared" si="2"/>
        <v>44775</v>
      </c>
      <c r="B580" s="30" t="s">
        <v>16</v>
      </c>
      <c r="C580" s="31" t="s">
        <v>17</v>
      </c>
      <c r="D580" s="31">
        <f t="shared" si="1"/>
        <v>1</v>
      </c>
    </row>
    <row r="581">
      <c r="A581" s="32">
        <f t="shared" si="2"/>
        <v>44776</v>
      </c>
      <c r="B581" s="30" t="s">
        <v>13</v>
      </c>
      <c r="C581" s="31">
        <v>790.0</v>
      </c>
      <c r="D581" s="31">
        <f t="shared" si="1"/>
        <v>1</v>
      </c>
    </row>
    <row r="582">
      <c r="A582" s="32">
        <f t="shared" si="2"/>
        <v>44777</v>
      </c>
      <c r="B582" s="30" t="s">
        <v>14</v>
      </c>
      <c r="C582" s="31">
        <v>555.0</v>
      </c>
      <c r="D582" s="31">
        <f t="shared" si="1"/>
        <v>1</v>
      </c>
    </row>
    <row r="583">
      <c r="A583" s="32">
        <f t="shared" si="2"/>
        <v>44778</v>
      </c>
      <c r="B583" s="30" t="s">
        <v>14</v>
      </c>
      <c r="C583" s="31">
        <v>540.0</v>
      </c>
      <c r="D583" s="31">
        <f t="shared" si="1"/>
        <v>1</v>
      </c>
    </row>
    <row r="584">
      <c r="A584" s="32">
        <f t="shared" si="2"/>
        <v>44779</v>
      </c>
      <c r="B584" s="30" t="s">
        <v>14</v>
      </c>
      <c r="C584" s="31">
        <v>690.0</v>
      </c>
      <c r="D584" s="31">
        <f t="shared" si="1"/>
        <v>1</v>
      </c>
    </row>
    <row r="585">
      <c r="A585" s="32">
        <f t="shared" si="2"/>
        <v>44780</v>
      </c>
      <c r="B585" s="30" t="s">
        <v>15</v>
      </c>
      <c r="C585" s="31">
        <v>620.0</v>
      </c>
      <c r="D585" s="31">
        <f t="shared" si="1"/>
        <v>1</v>
      </c>
    </row>
    <row r="586">
      <c r="A586" s="32">
        <f t="shared" si="2"/>
        <v>44781</v>
      </c>
      <c r="B586" s="30" t="s">
        <v>15</v>
      </c>
      <c r="C586" s="31">
        <v>870.0</v>
      </c>
      <c r="D586" s="31">
        <f t="shared" si="1"/>
        <v>1</v>
      </c>
    </row>
    <row r="587">
      <c r="A587" s="32">
        <f t="shared" si="2"/>
        <v>44782</v>
      </c>
      <c r="B587" s="30" t="s">
        <v>16</v>
      </c>
      <c r="C587" s="31" t="s">
        <v>17</v>
      </c>
      <c r="D587" s="31">
        <f t="shared" si="1"/>
        <v>1</v>
      </c>
    </row>
    <row r="588">
      <c r="A588" s="32">
        <f t="shared" si="2"/>
        <v>44783</v>
      </c>
      <c r="B588" s="30" t="s">
        <v>14</v>
      </c>
      <c r="C588" s="31">
        <v>560.0</v>
      </c>
      <c r="D588" s="31">
        <f t="shared" si="1"/>
        <v>1</v>
      </c>
    </row>
    <row r="589">
      <c r="A589" s="32">
        <f t="shared" si="2"/>
        <v>44784</v>
      </c>
      <c r="B589" s="30" t="s">
        <v>15</v>
      </c>
      <c r="C589" s="31">
        <v>550.0</v>
      </c>
      <c r="D589" s="31">
        <f t="shared" si="1"/>
        <v>1</v>
      </c>
    </row>
    <row r="590">
      <c r="A590" s="32">
        <f t="shared" si="2"/>
        <v>44785</v>
      </c>
      <c r="B590" s="30" t="s">
        <v>14</v>
      </c>
      <c r="C590" s="31">
        <v>730.0</v>
      </c>
      <c r="D590" s="31">
        <f t="shared" si="1"/>
        <v>1</v>
      </c>
    </row>
    <row r="591">
      <c r="A591" s="32">
        <f t="shared" si="2"/>
        <v>44786</v>
      </c>
      <c r="B591" s="30" t="s">
        <v>14</v>
      </c>
      <c r="C591" s="31">
        <v>740.0</v>
      </c>
      <c r="D591" s="31">
        <f t="shared" si="1"/>
        <v>1</v>
      </c>
    </row>
    <row r="592">
      <c r="A592" s="32">
        <f t="shared" si="2"/>
        <v>44787</v>
      </c>
      <c r="B592" s="30" t="s">
        <v>14</v>
      </c>
      <c r="C592" s="31">
        <v>950.0</v>
      </c>
      <c r="D592" s="31">
        <f t="shared" si="1"/>
        <v>1</v>
      </c>
    </row>
    <row r="593">
      <c r="A593" s="32">
        <f t="shared" si="2"/>
        <v>44788</v>
      </c>
      <c r="B593" s="30" t="s">
        <v>15</v>
      </c>
      <c r="C593" s="31">
        <v>570.0</v>
      </c>
      <c r="D593" s="31">
        <f t="shared" si="1"/>
        <v>1</v>
      </c>
    </row>
    <row r="594">
      <c r="A594" s="32">
        <f t="shared" si="2"/>
        <v>44789</v>
      </c>
      <c r="B594" s="30" t="s">
        <v>14</v>
      </c>
      <c r="C594" s="31">
        <v>880.0</v>
      </c>
      <c r="D594" s="31">
        <f t="shared" si="1"/>
        <v>1</v>
      </c>
    </row>
    <row r="595">
      <c r="A595" s="32">
        <f t="shared" si="2"/>
        <v>44790</v>
      </c>
      <c r="B595" s="30" t="s">
        <v>14</v>
      </c>
      <c r="C595" s="31">
        <v>965.0</v>
      </c>
      <c r="D595" s="31">
        <f t="shared" si="1"/>
        <v>1</v>
      </c>
    </row>
    <row r="596">
      <c r="A596" s="32">
        <f t="shared" si="2"/>
        <v>44791</v>
      </c>
      <c r="B596" s="30" t="s">
        <v>15</v>
      </c>
      <c r="C596" s="31">
        <v>875.0</v>
      </c>
      <c r="D596" s="31">
        <f t="shared" si="1"/>
        <v>1</v>
      </c>
    </row>
    <row r="597">
      <c r="A597" s="32">
        <f t="shared" si="2"/>
        <v>44792</v>
      </c>
      <c r="B597" s="30" t="s">
        <v>16</v>
      </c>
      <c r="C597" s="31" t="s">
        <v>17</v>
      </c>
      <c r="D597" s="31">
        <f t="shared" si="1"/>
        <v>1</v>
      </c>
    </row>
    <row r="598">
      <c r="A598" s="32">
        <f t="shared" si="2"/>
        <v>44793</v>
      </c>
      <c r="B598" s="30" t="s">
        <v>14</v>
      </c>
      <c r="C598" s="31">
        <v>505.0</v>
      </c>
      <c r="D598" s="31">
        <f t="shared" si="1"/>
        <v>1</v>
      </c>
    </row>
    <row r="599">
      <c r="A599" s="32">
        <f t="shared" si="2"/>
        <v>44794</v>
      </c>
      <c r="B599" s="30" t="s">
        <v>13</v>
      </c>
      <c r="C599" s="31">
        <v>820.0</v>
      </c>
      <c r="D599" s="31">
        <f t="shared" si="1"/>
        <v>1</v>
      </c>
    </row>
    <row r="600">
      <c r="A600" s="32">
        <f t="shared" si="2"/>
        <v>44795</v>
      </c>
      <c r="B600" s="30" t="s">
        <v>14</v>
      </c>
      <c r="C600" s="31">
        <v>975.0</v>
      </c>
      <c r="D600" s="31">
        <f t="shared" si="1"/>
        <v>1</v>
      </c>
    </row>
    <row r="601">
      <c r="A601" s="32">
        <f t="shared" si="2"/>
        <v>44796</v>
      </c>
      <c r="B601" s="30" t="s">
        <v>14</v>
      </c>
      <c r="C601" s="31">
        <v>565.0</v>
      </c>
      <c r="D601" s="31">
        <f t="shared" si="1"/>
        <v>1</v>
      </c>
    </row>
    <row r="602">
      <c r="A602" s="32">
        <f t="shared" si="2"/>
        <v>44797</v>
      </c>
      <c r="B602" s="30" t="s">
        <v>14</v>
      </c>
      <c r="C602" s="31">
        <v>730.0</v>
      </c>
      <c r="D602" s="31">
        <f t="shared" si="1"/>
        <v>1</v>
      </c>
    </row>
    <row r="603">
      <c r="A603" s="32">
        <f t="shared" si="2"/>
        <v>44798</v>
      </c>
      <c r="B603" s="30" t="s">
        <v>15</v>
      </c>
      <c r="C603" s="31">
        <v>915.0</v>
      </c>
      <c r="D603" s="31">
        <f t="shared" si="1"/>
        <v>1</v>
      </c>
    </row>
    <row r="604">
      <c r="A604" s="32">
        <f t="shared" si="2"/>
        <v>44799</v>
      </c>
      <c r="B604" s="30" t="s">
        <v>16</v>
      </c>
      <c r="C604" s="31" t="s">
        <v>17</v>
      </c>
      <c r="D604" s="31">
        <f t="shared" si="1"/>
        <v>1</v>
      </c>
    </row>
    <row r="605">
      <c r="A605" s="32">
        <f t="shared" si="2"/>
        <v>44800</v>
      </c>
      <c r="B605" s="30" t="s">
        <v>13</v>
      </c>
      <c r="C605" s="31">
        <v>765.0</v>
      </c>
      <c r="D605" s="31">
        <f t="shared" si="1"/>
        <v>1</v>
      </c>
    </row>
    <row r="606">
      <c r="A606" s="32">
        <f t="shared" si="2"/>
        <v>44801</v>
      </c>
      <c r="B606" s="30" t="s">
        <v>14</v>
      </c>
      <c r="C606" s="31">
        <v>605.0</v>
      </c>
      <c r="D606" s="31">
        <f t="shared" si="1"/>
        <v>1</v>
      </c>
    </row>
    <row r="607">
      <c r="A607" s="32">
        <f t="shared" si="2"/>
        <v>44802</v>
      </c>
      <c r="B607" s="30" t="s">
        <v>14</v>
      </c>
      <c r="C607" s="31">
        <v>840.0</v>
      </c>
      <c r="D607" s="31">
        <f t="shared" si="1"/>
        <v>1</v>
      </c>
    </row>
    <row r="608">
      <c r="A608" s="32">
        <f t="shared" si="2"/>
        <v>44803</v>
      </c>
      <c r="B608" s="30" t="s">
        <v>15</v>
      </c>
      <c r="C608" s="31">
        <v>705.0</v>
      </c>
      <c r="D608" s="31">
        <f t="shared" si="1"/>
        <v>1</v>
      </c>
    </row>
    <row r="609">
      <c r="A609" s="32">
        <f t="shared" si="2"/>
        <v>44804</v>
      </c>
      <c r="B609" s="30" t="s">
        <v>15</v>
      </c>
      <c r="C609" s="31">
        <v>625.0</v>
      </c>
      <c r="D609" s="31">
        <f t="shared" si="1"/>
        <v>1</v>
      </c>
    </row>
    <row r="610">
      <c r="A610" s="32">
        <f t="shared" si="2"/>
        <v>44805</v>
      </c>
      <c r="B610" s="30" t="s">
        <v>16</v>
      </c>
      <c r="C610" s="31" t="s">
        <v>17</v>
      </c>
      <c r="D610" s="31">
        <f t="shared" si="1"/>
        <v>1</v>
      </c>
    </row>
    <row r="611">
      <c r="A611" s="32">
        <f t="shared" si="2"/>
        <v>44806</v>
      </c>
      <c r="B611" s="30" t="s">
        <v>14</v>
      </c>
      <c r="C611" s="31">
        <v>745.0</v>
      </c>
      <c r="D611" s="31">
        <f t="shared" si="1"/>
        <v>1</v>
      </c>
    </row>
    <row r="612">
      <c r="A612" s="32">
        <f t="shared" si="2"/>
        <v>44807</v>
      </c>
      <c r="B612" s="30" t="s">
        <v>14</v>
      </c>
      <c r="C612" s="31">
        <v>585.0</v>
      </c>
      <c r="D612" s="31">
        <f t="shared" si="1"/>
        <v>1</v>
      </c>
    </row>
    <row r="613">
      <c r="A613" s="32">
        <f t="shared" si="2"/>
        <v>44808</v>
      </c>
      <c r="B613" s="30" t="s">
        <v>13</v>
      </c>
      <c r="C613" s="31">
        <v>620.0</v>
      </c>
      <c r="D613" s="31">
        <f t="shared" si="1"/>
        <v>1</v>
      </c>
    </row>
    <row r="614">
      <c r="A614" s="32">
        <f t="shared" si="2"/>
        <v>44809</v>
      </c>
      <c r="B614" s="30" t="s">
        <v>14</v>
      </c>
      <c r="C614" s="31">
        <v>865.0</v>
      </c>
      <c r="D614" s="31">
        <f t="shared" si="1"/>
        <v>1</v>
      </c>
    </row>
    <row r="615">
      <c r="A615" s="32">
        <f t="shared" si="2"/>
        <v>44810</v>
      </c>
      <c r="B615" s="30" t="s">
        <v>14</v>
      </c>
      <c r="C615" s="31">
        <v>630.0</v>
      </c>
      <c r="D615" s="31">
        <f t="shared" si="1"/>
        <v>1</v>
      </c>
    </row>
    <row r="616">
      <c r="A616" s="32">
        <f t="shared" si="2"/>
        <v>44811</v>
      </c>
      <c r="B616" s="30" t="s">
        <v>15</v>
      </c>
      <c r="C616" s="31">
        <v>940.0</v>
      </c>
      <c r="D616" s="31">
        <f t="shared" si="1"/>
        <v>1</v>
      </c>
    </row>
    <row r="617">
      <c r="A617" s="32">
        <f t="shared" si="2"/>
        <v>44812</v>
      </c>
      <c r="B617" s="30" t="s">
        <v>14</v>
      </c>
      <c r="C617" s="31">
        <v>990.0</v>
      </c>
      <c r="D617" s="31">
        <f t="shared" si="1"/>
        <v>1</v>
      </c>
    </row>
    <row r="618">
      <c r="A618" s="32">
        <f t="shared" si="2"/>
        <v>44813</v>
      </c>
      <c r="B618" s="30" t="s">
        <v>15</v>
      </c>
      <c r="C618" s="31">
        <v>750.0</v>
      </c>
      <c r="D618" s="31">
        <f t="shared" si="1"/>
        <v>1</v>
      </c>
    </row>
    <row r="619">
      <c r="A619" s="32">
        <f t="shared" si="2"/>
        <v>44814</v>
      </c>
      <c r="B619" s="30" t="s">
        <v>16</v>
      </c>
      <c r="C619" s="31" t="s">
        <v>17</v>
      </c>
      <c r="D619" s="31">
        <f t="shared" si="1"/>
        <v>1</v>
      </c>
    </row>
    <row r="620">
      <c r="A620" s="32">
        <f t="shared" si="2"/>
        <v>44815</v>
      </c>
      <c r="B620" s="30" t="s">
        <v>14</v>
      </c>
      <c r="C620" s="31">
        <v>895.0</v>
      </c>
      <c r="D620" s="31">
        <f t="shared" si="1"/>
        <v>1</v>
      </c>
    </row>
    <row r="621">
      <c r="A621" s="32">
        <f t="shared" si="2"/>
        <v>44816</v>
      </c>
      <c r="B621" s="30" t="s">
        <v>13</v>
      </c>
      <c r="C621" s="31">
        <v>680.0</v>
      </c>
      <c r="D621" s="31">
        <f t="shared" si="1"/>
        <v>1</v>
      </c>
    </row>
    <row r="622">
      <c r="A622" s="32">
        <f t="shared" si="2"/>
        <v>44817</v>
      </c>
      <c r="B622" s="30" t="s">
        <v>14</v>
      </c>
      <c r="C622" s="31">
        <v>950.0</v>
      </c>
      <c r="D622" s="31">
        <f t="shared" si="1"/>
        <v>1</v>
      </c>
    </row>
    <row r="623">
      <c r="A623" s="32">
        <f t="shared" si="2"/>
        <v>44818</v>
      </c>
      <c r="B623" s="30" t="s">
        <v>14</v>
      </c>
      <c r="C623" s="31">
        <v>575.0</v>
      </c>
      <c r="D623" s="31">
        <f t="shared" si="1"/>
        <v>1</v>
      </c>
    </row>
    <row r="624">
      <c r="A624" s="32">
        <f t="shared" si="2"/>
        <v>44819</v>
      </c>
      <c r="B624" s="30" t="s">
        <v>14</v>
      </c>
      <c r="C624" s="31">
        <v>585.0</v>
      </c>
      <c r="D624" s="31">
        <f t="shared" si="1"/>
        <v>1</v>
      </c>
    </row>
    <row r="625">
      <c r="A625" s="32">
        <f t="shared" si="2"/>
        <v>44820</v>
      </c>
      <c r="B625" s="30" t="s">
        <v>15</v>
      </c>
      <c r="C625" s="31">
        <v>930.0</v>
      </c>
      <c r="D625" s="31">
        <f t="shared" si="1"/>
        <v>1</v>
      </c>
    </row>
    <row r="626">
      <c r="A626" s="32">
        <f t="shared" si="2"/>
        <v>44821</v>
      </c>
      <c r="B626" s="30" t="s">
        <v>16</v>
      </c>
      <c r="C626" s="31" t="s">
        <v>17</v>
      </c>
      <c r="D626" s="31">
        <f t="shared" si="1"/>
        <v>1</v>
      </c>
    </row>
    <row r="627">
      <c r="A627" s="32">
        <f t="shared" si="2"/>
        <v>44822</v>
      </c>
      <c r="B627" s="30" t="s">
        <v>14</v>
      </c>
      <c r="C627" s="31">
        <v>880.0</v>
      </c>
      <c r="D627" s="31">
        <f t="shared" si="1"/>
        <v>1</v>
      </c>
    </row>
    <row r="628">
      <c r="A628" s="32">
        <f t="shared" si="2"/>
        <v>44823</v>
      </c>
      <c r="B628" s="30" t="s">
        <v>15</v>
      </c>
      <c r="C628" s="31">
        <v>900.0</v>
      </c>
      <c r="D628" s="31">
        <f t="shared" si="1"/>
        <v>1</v>
      </c>
    </row>
    <row r="629">
      <c r="A629" s="32">
        <f t="shared" si="2"/>
        <v>44824</v>
      </c>
      <c r="B629" s="30" t="s">
        <v>14</v>
      </c>
      <c r="C629" s="31">
        <v>690.0</v>
      </c>
      <c r="D629" s="31">
        <f t="shared" si="1"/>
        <v>1</v>
      </c>
    </row>
    <row r="630">
      <c r="A630" s="32">
        <f t="shared" si="2"/>
        <v>44825</v>
      </c>
      <c r="B630" s="30" t="s">
        <v>14</v>
      </c>
      <c r="C630" s="31">
        <v>780.0</v>
      </c>
      <c r="D630" s="31">
        <f t="shared" si="1"/>
        <v>1</v>
      </c>
    </row>
    <row r="631">
      <c r="A631" s="32">
        <f t="shared" si="2"/>
        <v>44826</v>
      </c>
      <c r="B631" s="30" t="s">
        <v>15</v>
      </c>
      <c r="C631" s="31">
        <v>570.0</v>
      </c>
      <c r="D631" s="31">
        <f t="shared" si="1"/>
        <v>1</v>
      </c>
    </row>
    <row r="632">
      <c r="A632" s="32">
        <f t="shared" si="2"/>
        <v>44827</v>
      </c>
      <c r="B632" s="30" t="s">
        <v>14</v>
      </c>
      <c r="C632" s="31">
        <v>795.0</v>
      </c>
      <c r="D632" s="31">
        <f t="shared" si="1"/>
        <v>1</v>
      </c>
    </row>
    <row r="633">
      <c r="A633" s="32">
        <f t="shared" si="2"/>
        <v>44828</v>
      </c>
      <c r="B633" s="30" t="s">
        <v>13</v>
      </c>
      <c r="C633" s="31">
        <v>985.0</v>
      </c>
      <c r="D633" s="31">
        <f t="shared" si="1"/>
        <v>1</v>
      </c>
    </row>
    <row r="634">
      <c r="A634" s="32">
        <f t="shared" si="2"/>
        <v>44829</v>
      </c>
      <c r="B634" s="30" t="s">
        <v>16</v>
      </c>
      <c r="C634" s="31" t="s">
        <v>17</v>
      </c>
      <c r="D634" s="31">
        <f t="shared" si="1"/>
        <v>1</v>
      </c>
    </row>
    <row r="635">
      <c r="A635" s="32">
        <f t="shared" si="2"/>
        <v>44830</v>
      </c>
      <c r="B635" s="30" t="s">
        <v>14</v>
      </c>
      <c r="C635" s="31">
        <v>515.0</v>
      </c>
      <c r="D635" s="31">
        <f t="shared" si="1"/>
        <v>1</v>
      </c>
    </row>
    <row r="636">
      <c r="A636" s="32">
        <f t="shared" si="2"/>
        <v>44831</v>
      </c>
      <c r="B636" s="30" t="s">
        <v>14</v>
      </c>
      <c r="C636" s="31">
        <v>845.0</v>
      </c>
      <c r="D636" s="31">
        <f t="shared" si="1"/>
        <v>1</v>
      </c>
    </row>
    <row r="637">
      <c r="A637" s="32">
        <f t="shared" si="2"/>
        <v>44832</v>
      </c>
      <c r="B637" s="30" t="s">
        <v>15</v>
      </c>
      <c r="C637" s="31">
        <v>620.0</v>
      </c>
      <c r="D637" s="31">
        <f t="shared" si="1"/>
        <v>1</v>
      </c>
    </row>
    <row r="638">
      <c r="A638" s="32">
        <f t="shared" si="2"/>
        <v>44833</v>
      </c>
      <c r="B638" s="30" t="s">
        <v>15</v>
      </c>
      <c r="C638" s="31">
        <v>900.0</v>
      </c>
      <c r="D638" s="31">
        <f t="shared" si="1"/>
        <v>1</v>
      </c>
    </row>
    <row r="639">
      <c r="A639" s="32">
        <f t="shared" si="2"/>
        <v>44834</v>
      </c>
      <c r="B639" s="30" t="s">
        <v>16</v>
      </c>
      <c r="C639" s="31" t="s">
        <v>17</v>
      </c>
      <c r="D639" s="31">
        <f t="shared" si="1"/>
        <v>1</v>
      </c>
    </row>
    <row r="640">
      <c r="A640" s="32">
        <f t="shared" si="2"/>
        <v>44835</v>
      </c>
      <c r="B640" s="30" t="s">
        <v>14</v>
      </c>
      <c r="C640" s="31">
        <v>860.0</v>
      </c>
      <c r="D640" s="31">
        <f t="shared" si="1"/>
        <v>1</v>
      </c>
    </row>
    <row r="641">
      <c r="A641" s="32">
        <f t="shared" si="2"/>
        <v>44836</v>
      </c>
      <c r="B641" s="30" t="s">
        <v>13</v>
      </c>
      <c r="C641" s="31">
        <v>960.0</v>
      </c>
      <c r="D641" s="31">
        <f t="shared" si="1"/>
        <v>1</v>
      </c>
    </row>
    <row r="642">
      <c r="A642" s="32">
        <f t="shared" si="2"/>
        <v>44837</v>
      </c>
      <c r="B642" s="30" t="s">
        <v>14</v>
      </c>
      <c r="C642" s="31">
        <v>930.0</v>
      </c>
      <c r="D642" s="31">
        <f t="shared" si="1"/>
        <v>1</v>
      </c>
    </row>
    <row r="643">
      <c r="A643" s="32">
        <f t="shared" si="2"/>
        <v>44838</v>
      </c>
      <c r="B643" s="30" t="s">
        <v>14</v>
      </c>
      <c r="C643" s="31">
        <v>970.0</v>
      </c>
      <c r="D643" s="31">
        <f t="shared" si="1"/>
        <v>1</v>
      </c>
    </row>
    <row r="644">
      <c r="A644" s="32">
        <f t="shared" si="2"/>
        <v>44839</v>
      </c>
      <c r="B644" s="30" t="s">
        <v>15</v>
      </c>
      <c r="C644" s="31">
        <v>835.0</v>
      </c>
      <c r="D644" s="31">
        <f t="shared" si="1"/>
        <v>1</v>
      </c>
    </row>
    <row r="645">
      <c r="A645" s="32">
        <f t="shared" si="2"/>
        <v>44840</v>
      </c>
      <c r="B645" s="30" t="s">
        <v>14</v>
      </c>
      <c r="C645" s="31">
        <v>915.0</v>
      </c>
      <c r="D645" s="31">
        <f t="shared" si="1"/>
        <v>1</v>
      </c>
    </row>
    <row r="646">
      <c r="A646" s="32">
        <f t="shared" si="2"/>
        <v>44841</v>
      </c>
      <c r="B646" s="30" t="s">
        <v>15</v>
      </c>
      <c r="C646" s="31">
        <v>740.0</v>
      </c>
      <c r="D646" s="31">
        <f t="shared" si="1"/>
        <v>1</v>
      </c>
    </row>
    <row r="647">
      <c r="A647" s="32">
        <f t="shared" si="2"/>
        <v>44842</v>
      </c>
      <c r="B647" s="30" t="s">
        <v>16</v>
      </c>
      <c r="C647" s="31" t="s">
        <v>17</v>
      </c>
      <c r="D647" s="31">
        <f t="shared" si="1"/>
        <v>1</v>
      </c>
    </row>
    <row r="648">
      <c r="A648" s="32">
        <f t="shared" si="2"/>
        <v>44843</v>
      </c>
      <c r="B648" s="30" t="s">
        <v>13</v>
      </c>
      <c r="C648" s="31">
        <v>1000.0</v>
      </c>
      <c r="D648" s="31">
        <f t="shared" si="1"/>
        <v>1</v>
      </c>
    </row>
    <row r="649">
      <c r="A649" s="32">
        <f t="shared" si="2"/>
        <v>44844</v>
      </c>
      <c r="B649" s="30" t="s">
        <v>14</v>
      </c>
      <c r="C649" s="31">
        <v>820.0</v>
      </c>
      <c r="D649" s="31">
        <f t="shared" si="1"/>
        <v>1</v>
      </c>
    </row>
    <row r="650">
      <c r="A650" s="32">
        <f t="shared" si="2"/>
        <v>44845</v>
      </c>
      <c r="B650" s="30" t="s">
        <v>14</v>
      </c>
      <c r="C650" s="31">
        <v>640.0</v>
      </c>
      <c r="D650" s="31">
        <f t="shared" si="1"/>
        <v>1</v>
      </c>
    </row>
    <row r="651">
      <c r="A651" s="32">
        <f t="shared" si="2"/>
        <v>44846</v>
      </c>
      <c r="B651" s="30" t="s">
        <v>14</v>
      </c>
      <c r="C651" s="31">
        <v>995.0</v>
      </c>
      <c r="D651" s="31">
        <f t="shared" si="1"/>
        <v>1</v>
      </c>
    </row>
    <row r="652">
      <c r="A652" s="32">
        <f t="shared" si="2"/>
        <v>44847</v>
      </c>
      <c r="B652" s="30" t="s">
        <v>15</v>
      </c>
      <c r="C652" s="31">
        <v>570.0</v>
      </c>
      <c r="D652" s="31">
        <f t="shared" si="1"/>
        <v>1</v>
      </c>
    </row>
    <row r="653">
      <c r="A653" s="32">
        <f t="shared" si="2"/>
        <v>44848</v>
      </c>
      <c r="B653" s="30" t="s">
        <v>15</v>
      </c>
      <c r="C653" s="31">
        <v>650.0</v>
      </c>
      <c r="D653" s="31">
        <f t="shared" si="1"/>
        <v>1</v>
      </c>
    </row>
    <row r="654">
      <c r="A654" s="32">
        <f t="shared" si="2"/>
        <v>44849</v>
      </c>
      <c r="B654" s="30" t="s">
        <v>16</v>
      </c>
      <c r="C654" s="31" t="s">
        <v>17</v>
      </c>
      <c r="D654" s="31">
        <f t="shared" si="1"/>
        <v>1</v>
      </c>
    </row>
    <row r="655">
      <c r="A655" s="32">
        <f t="shared" si="2"/>
        <v>44850</v>
      </c>
      <c r="B655" s="30" t="s">
        <v>14</v>
      </c>
      <c r="C655" s="31">
        <v>850.0</v>
      </c>
      <c r="D655" s="31">
        <f t="shared" si="1"/>
        <v>1</v>
      </c>
    </row>
    <row r="656">
      <c r="A656" s="32">
        <f t="shared" si="2"/>
        <v>44851</v>
      </c>
      <c r="B656" s="30" t="s">
        <v>15</v>
      </c>
      <c r="C656" s="31">
        <v>680.0</v>
      </c>
      <c r="D656" s="31">
        <f t="shared" si="1"/>
        <v>1</v>
      </c>
    </row>
    <row r="657">
      <c r="A657" s="32">
        <f t="shared" si="2"/>
        <v>44852</v>
      </c>
      <c r="B657" s="30" t="s">
        <v>14</v>
      </c>
      <c r="C657" s="31">
        <v>745.0</v>
      </c>
      <c r="D657" s="31">
        <f t="shared" si="1"/>
        <v>1</v>
      </c>
    </row>
    <row r="658">
      <c r="A658" s="32">
        <f t="shared" si="2"/>
        <v>44853</v>
      </c>
      <c r="B658" s="30" t="s">
        <v>14</v>
      </c>
      <c r="C658" s="31">
        <v>880.0</v>
      </c>
      <c r="D658" s="31">
        <f t="shared" si="1"/>
        <v>1</v>
      </c>
    </row>
    <row r="659">
      <c r="A659" s="32">
        <f t="shared" si="2"/>
        <v>44854</v>
      </c>
      <c r="B659" s="30" t="s">
        <v>14</v>
      </c>
      <c r="C659" s="31">
        <v>730.0</v>
      </c>
      <c r="D659" s="31">
        <f t="shared" si="1"/>
        <v>1</v>
      </c>
    </row>
    <row r="660">
      <c r="A660" s="32">
        <f t="shared" si="2"/>
        <v>44855</v>
      </c>
      <c r="B660" s="30" t="s">
        <v>15</v>
      </c>
      <c r="C660" s="31">
        <v>850.0</v>
      </c>
      <c r="D660" s="31">
        <f t="shared" si="1"/>
        <v>1</v>
      </c>
    </row>
    <row r="661">
      <c r="A661" s="32">
        <f t="shared" si="2"/>
        <v>44856</v>
      </c>
      <c r="B661" s="30" t="s">
        <v>14</v>
      </c>
      <c r="C661" s="31">
        <v>615.0</v>
      </c>
      <c r="D661" s="31">
        <f t="shared" si="1"/>
        <v>1</v>
      </c>
    </row>
    <row r="662">
      <c r="A662" s="32">
        <f t="shared" si="2"/>
        <v>44857</v>
      </c>
      <c r="B662" s="30" t="s">
        <v>14</v>
      </c>
      <c r="C662" s="31">
        <v>800.0</v>
      </c>
      <c r="D662" s="31">
        <f t="shared" si="1"/>
        <v>1</v>
      </c>
    </row>
    <row r="663">
      <c r="A663" s="32">
        <f t="shared" si="2"/>
        <v>44858</v>
      </c>
      <c r="B663" s="30" t="s">
        <v>15</v>
      </c>
      <c r="C663" s="31">
        <v>750.0</v>
      </c>
      <c r="D663" s="31">
        <f t="shared" si="1"/>
        <v>1</v>
      </c>
    </row>
    <row r="664">
      <c r="A664" s="32">
        <f t="shared" si="2"/>
        <v>44859</v>
      </c>
      <c r="B664" s="30" t="s">
        <v>16</v>
      </c>
      <c r="C664" s="31" t="s">
        <v>17</v>
      </c>
      <c r="D664" s="31">
        <f t="shared" si="1"/>
        <v>1</v>
      </c>
    </row>
    <row r="665">
      <c r="A665" s="32">
        <f t="shared" si="2"/>
        <v>44860</v>
      </c>
      <c r="B665" s="30" t="s">
        <v>14</v>
      </c>
      <c r="C665" s="31">
        <v>590.0</v>
      </c>
      <c r="D665" s="31">
        <f t="shared" si="1"/>
        <v>1</v>
      </c>
    </row>
    <row r="666">
      <c r="A666" s="32">
        <f t="shared" si="2"/>
        <v>44861</v>
      </c>
      <c r="B666" s="30" t="s">
        <v>13</v>
      </c>
      <c r="C666" s="31">
        <v>635.0</v>
      </c>
      <c r="D666" s="31">
        <f t="shared" si="1"/>
        <v>1</v>
      </c>
    </row>
    <row r="667">
      <c r="A667" s="32">
        <f t="shared" si="2"/>
        <v>44862</v>
      </c>
      <c r="B667" s="30" t="s">
        <v>14</v>
      </c>
      <c r="C667" s="31">
        <v>890.0</v>
      </c>
      <c r="D667" s="31">
        <f t="shared" si="1"/>
        <v>1</v>
      </c>
    </row>
    <row r="668">
      <c r="A668" s="32">
        <f t="shared" si="2"/>
        <v>44863</v>
      </c>
      <c r="B668" s="30" t="s">
        <v>14</v>
      </c>
      <c r="C668" s="31">
        <v>1000.0</v>
      </c>
      <c r="D668" s="31">
        <f t="shared" si="1"/>
        <v>1</v>
      </c>
    </row>
    <row r="669">
      <c r="A669" s="32">
        <f t="shared" si="2"/>
        <v>44864</v>
      </c>
      <c r="B669" s="30" t="s">
        <v>14</v>
      </c>
      <c r="C669" s="31">
        <v>545.0</v>
      </c>
      <c r="D669" s="31">
        <f t="shared" si="1"/>
        <v>1</v>
      </c>
    </row>
    <row r="670">
      <c r="A670" s="32">
        <f t="shared" si="2"/>
        <v>44865</v>
      </c>
      <c r="B670" s="30" t="s">
        <v>15</v>
      </c>
      <c r="C670" s="31">
        <v>580.0</v>
      </c>
      <c r="D670" s="31">
        <f t="shared" si="1"/>
        <v>1</v>
      </c>
    </row>
    <row r="671">
      <c r="A671" s="32">
        <f t="shared" si="2"/>
        <v>44866</v>
      </c>
      <c r="B671" s="30" t="s">
        <v>16</v>
      </c>
      <c r="C671" s="31" t="s">
        <v>17</v>
      </c>
      <c r="D671" s="31">
        <f t="shared" si="1"/>
        <v>1</v>
      </c>
    </row>
    <row r="672">
      <c r="A672" s="32">
        <f t="shared" si="2"/>
        <v>44867</v>
      </c>
      <c r="B672" s="30" t="s">
        <v>13</v>
      </c>
      <c r="C672" s="31">
        <v>960.0</v>
      </c>
      <c r="D672" s="31">
        <f t="shared" si="1"/>
        <v>1</v>
      </c>
    </row>
    <row r="673">
      <c r="A673" s="32">
        <f t="shared" si="2"/>
        <v>44868</v>
      </c>
      <c r="B673" s="30" t="s">
        <v>14</v>
      </c>
      <c r="C673" s="31">
        <v>785.0</v>
      </c>
      <c r="D673" s="31">
        <f t="shared" si="1"/>
        <v>1</v>
      </c>
    </row>
    <row r="674">
      <c r="A674" s="32">
        <f t="shared" si="2"/>
        <v>44869</v>
      </c>
      <c r="B674" s="30" t="s">
        <v>14</v>
      </c>
      <c r="C674" s="31">
        <v>850.0</v>
      </c>
      <c r="D674" s="31">
        <f t="shared" si="1"/>
        <v>1</v>
      </c>
    </row>
    <row r="675">
      <c r="A675" s="32">
        <f t="shared" si="2"/>
        <v>44870</v>
      </c>
      <c r="B675" s="30" t="s">
        <v>15</v>
      </c>
      <c r="C675" s="31">
        <v>710.0</v>
      </c>
      <c r="D675" s="31">
        <f t="shared" si="1"/>
        <v>1</v>
      </c>
    </row>
    <row r="676">
      <c r="A676" s="32">
        <f t="shared" si="2"/>
        <v>44871</v>
      </c>
      <c r="B676" s="30" t="s">
        <v>15</v>
      </c>
      <c r="C676" s="31">
        <v>935.0</v>
      </c>
      <c r="D676" s="31">
        <f t="shared" si="1"/>
        <v>1</v>
      </c>
    </row>
    <row r="677">
      <c r="A677" s="32">
        <f t="shared" si="2"/>
        <v>44872</v>
      </c>
      <c r="B677" s="30" t="s">
        <v>16</v>
      </c>
      <c r="C677" s="31" t="s">
        <v>17</v>
      </c>
      <c r="D677" s="31">
        <f t="shared" si="1"/>
        <v>1</v>
      </c>
    </row>
    <row r="678">
      <c r="A678" s="32">
        <f t="shared" si="2"/>
        <v>44873</v>
      </c>
      <c r="B678" s="30" t="s">
        <v>14</v>
      </c>
      <c r="C678" s="31">
        <v>775.0</v>
      </c>
      <c r="D678" s="31">
        <f t="shared" si="1"/>
        <v>1</v>
      </c>
    </row>
    <row r="679">
      <c r="A679" s="32">
        <f t="shared" si="2"/>
        <v>44874</v>
      </c>
      <c r="B679" s="30" t="s">
        <v>14</v>
      </c>
      <c r="C679" s="31">
        <v>710.0</v>
      </c>
      <c r="D679" s="31">
        <f t="shared" si="1"/>
        <v>1</v>
      </c>
    </row>
    <row r="680">
      <c r="A680" s="32">
        <f t="shared" si="2"/>
        <v>44875</v>
      </c>
      <c r="B680" s="30" t="s">
        <v>13</v>
      </c>
      <c r="C680" s="31">
        <v>945.0</v>
      </c>
      <c r="D680" s="31">
        <f t="shared" si="1"/>
        <v>1</v>
      </c>
    </row>
    <row r="681">
      <c r="A681" s="32">
        <f t="shared" si="2"/>
        <v>44876</v>
      </c>
      <c r="B681" s="30" t="s">
        <v>14</v>
      </c>
      <c r="C681" s="31">
        <v>715.0</v>
      </c>
      <c r="D681" s="31">
        <f t="shared" si="1"/>
        <v>1</v>
      </c>
    </row>
    <row r="682">
      <c r="A682" s="32">
        <f t="shared" si="2"/>
        <v>44877</v>
      </c>
      <c r="B682" s="30" t="s">
        <v>14</v>
      </c>
      <c r="C682" s="31">
        <v>775.0</v>
      </c>
      <c r="D682" s="31">
        <f t="shared" si="1"/>
        <v>1</v>
      </c>
    </row>
    <row r="683">
      <c r="A683" s="32">
        <f t="shared" si="2"/>
        <v>44878</v>
      </c>
      <c r="B683" s="30" t="s">
        <v>15</v>
      </c>
      <c r="C683" s="31">
        <v>665.0</v>
      </c>
      <c r="D683" s="31">
        <f t="shared" si="1"/>
        <v>1</v>
      </c>
    </row>
    <row r="684">
      <c r="A684" s="32">
        <f t="shared" si="2"/>
        <v>44879</v>
      </c>
      <c r="B684" s="30" t="s">
        <v>14</v>
      </c>
      <c r="C684" s="31">
        <v>790.0</v>
      </c>
      <c r="D684" s="31">
        <f t="shared" si="1"/>
        <v>1</v>
      </c>
    </row>
    <row r="685">
      <c r="A685" s="32">
        <f t="shared" si="2"/>
        <v>44880</v>
      </c>
      <c r="B685" s="30" t="s">
        <v>15</v>
      </c>
      <c r="C685" s="31">
        <v>820.0</v>
      </c>
      <c r="D685" s="31">
        <f t="shared" si="1"/>
        <v>1</v>
      </c>
    </row>
    <row r="686">
      <c r="A686" s="32">
        <f t="shared" si="2"/>
        <v>44881</v>
      </c>
      <c r="B686" s="30" t="s">
        <v>16</v>
      </c>
      <c r="C686" s="31" t="s">
        <v>17</v>
      </c>
      <c r="D686" s="31">
        <f t="shared" si="1"/>
        <v>1</v>
      </c>
    </row>
    <row r="687">
      <c r="A687" s="32">
        <f t="shared" si="2"/>
        <v>44882</v>
      </c>
      <c r="B687" s="30" t="s">
        <v>14</v>
      </c>
      <c r="C687" s="31">
        <v>630.0</v>
      </c>
      <c r="D687" s="31">
        <f t="shared" si="1"/>
        <v>1</v>
      </c>
    </row>
    <row r="688">
      <c r="A688" s="32">
        <f t="shared" si="2"/>
        <v>44883</v>
      </c>
      <c r="B688" s="30" t="s">
        <v>13</v>
      </c>
      <c r="C688" s="31">
        <v>745.0</v>
      </c>
      <c r="D688" s="31">
        <f t="shared" si="1"/>
        <v>1</v>
      </c>
    </row>
    <row r="689">
      <c r="A689" s="32">
        <f t="shared" si="2"/>
        <v>44884</v>
      </c>
      <c r="B689" s="30" t="s">
        <v>14</v>
      </c>
      <c r="C689" s="31">
        <v>850.0</v>
      </c>
      <c r="D689" s="31">
        <f t="shared" si="1"/>
        <v>1</v>
      </c>
    </row>
    <row r="690">
      <c r="A690" s="32">
        <f t="shared" si="2"/>
        <v>44885</v>
      </c>
      <c r="B690" s="30" t="s">
        <v>14</v>
      </c>
      <c r="C690" s="31">
        <v>815.0</v>
      </c>
      <c r="D690" s="31">
        <f t="shared" si="1"/>
        <v>1</v>
      </c>
    </row>
    <row r="691">
      <c r="A691" s="32">
        <f t="shared" si="2"/>
        <v>44886</v>
      </c>
      <c r="B691" s="30" t="s">
        <v>14</v>
      </c>
      <c r="C691" s="31">
        <v>505.0</v>
      </c>
      <c r="D691" s="31">
        <f t="shared" si="1"/>
        <v>1</v>
      </c>
    </row>
    <row r="692">
      <c r="A692" s="32">
        <f t="shared" si="2"/>
        <v>44887</v>
      </c>
      <c r="B692" s="30" t="s">
        <v>15</v>
      </c>
      <c r="C692" s="31">
        <v>590.0</v>
      </c>
      <c r="D692" s="31">
        <f t="shared" si="1"/>
        <v>1</v>
      </c>
    </row>
    <row r="693">
      <c r="A693" s="32">
        <f t="shared" si="2"/>
        <v>44888</v>
      </c>
      <c r="B693" s="30" t="s">
        <v>16</v>
      </c>
      <c r="C693" s="31" t="s">
        <v>17</v>
      </c>
      <c r="D693" s="31">
        <f t="shared" si="1"/>
        <v>1</v>
      </c>
    </row>
    <row r="694">
      <c r="A694" s="32">
        <f t="shared" si="2"/>
        <v>44889</v>
      </c>
      <c r="B694" s="30" t="s">
        <v>14</v>
      </c>
      <c r="C694" s="31">
        <v>630.0</v>
      </c>
      <c r="D694" s="31">
        <f t="shared" si="1"/>
        <v>1</v>
      </c>
    </row>
    <row r="695">
      <c r="A695" s="32">
        <f t="shared" si="2"/>
        <v>44890</v>
      </c>
      <c r="B695" s="30" t="s">
        <v>15</v>
      </c>
      <c r="C695" s="31">
        <v>885.0</v>
      </c>
      <c r="D695" s="31">
        <f t="shared" si="1"/>
        <v>1</v>
      </c>
    </row>
    <row r="696">
      <c r="A696" s="32">
        <f t="shared" si="2"/>
        <v>44891</v>
      </c>
      <c r="B696" s="30" t="s">
        <v>14</v>
      </c>
      <c r="C696" s="31">
        <v>780.0</v>
      </c>
      <c r="D696" s="31">
        <f t="shared" si="1"/>
        <v>1</v>
      </c>
    </row>
    <row r="697">
      <c r="A697" s="32">
        <f t="shared" si="2"/>
        <v>44892</v>
      </c>
      <c r="B697" s="30" t="s">
        <v>14</v>
      </c>
      <c r="C697" s="31">
        <v>875.0</v>
      </c>
      <c r="D697" s="31">
        <f t="shared" si="1"/>
        <v>1</v>
      </c>
    </row>
    <row r="698">
      <c r="A698" s="32">
        <f t="shared" si="2"/>
        <v>44893</v>
      </c>
      <c r="B698" s="30" t="s">
        <v>15</v>
      </c>
      <c r="C698" s="31">
        <v>810.0</v>
      </c>
      <c r="D698" s="31">
        <f t="shared" si="1"/>
        <v>1</v>
      </c>
    </row>
    <row r="699">
      <c r="A699" s="32">
        <f t="shared" si="2"/>
        <v>44894</v>
      </c>
      <c r="B699" s="30" t="s">
        <v>14</v>
      </c>
      <c r="C699" s="31">
        <v>935.0</v>
      </c>
      <c r="D699" s="31">
        <f t="shared" si="1"/>
        <v>1</v>
      </c>
    </row>
    <row r="700">
      <c r="A700" s="32">
        <f t="shared" si="2"/>
        <v>44895</v>
      </c>
      <c r="B700" s="30" t="s">
        <v>13</v>
      </c>
      <c r="C700" s="31">
        <v>620.0</v>
      </c>
      <c r="D700" s="31">
        <f t="shared" si="1"/>
        <v>1</v>
      </c>
    </row>
    <row r="701">
      <c r="A701" s="32">
        <f t="shared" si="2"/>
        <v>44896</v>
      </c>
      <c r="B701" s="30" t="s">
        <v>16</v>
      </c>
      <c r="C701" s="31" t="s">
        <v>17</v>
      </c>
      <c r="D701" s="31">
        <f t="shared" si="1"/>
        <v>1</v>
      </c>
    </row>
    <row r="702">
      <c r="A702" s="32">
        <f t="shared" si="2"/>
        <v>44897</v>
      </c>
      <c r="B702" s="30" t="s">
        <v>14</v>
      </c>
      <c r="C702" s="31">
        <v>830.0</v>
      </c>
      <c r="D702" s="31">
        <f t="shared" si="1"/>
        <v>1</v>
      </c>
    </row>
    <row r="703">
      <c r="A703" s="32">
        <f t="shared" si="2"/>
        <v>44898</v>
      </c>
      <c r="B703" s="30" t="s">
        <v>14</v>
      </c>
      <c r="C703" s="31">
        <v>820.0</v>
      </c>
      <c r="D703" s="31">
        <f t="shared" si="1"/>
        <v>1</v>
      </c>
    </row>
    <row r="704">
      <c r="A704" s="32">
        <f t="shared" si="2"/>
        <v>44899</v>
      </c>
      <c r="B704" s="30" t="s">
        <v>15</v>
      </c>
      <c r="C704" s="31">
        <v>800.0</v>
      </c>
      <c r="D704" s="31">
        <f t="shared" si="1"/>
        <v>1</v>
      </c>
    </row>
    <row r="705">
      <c r="A705" s="32">
        <f t="shared" si="2"/>
        <v>44900</v>
      </c>
      <c r="B705" s="30" t="s">
        <v>15</v>
      </c>
      <c r="C705" s="31">
        <v>905.0</v>
      </c>
      <c r="D705" s="31">
        <f t="shared" si="1"/>
        <v>1</v>
      </c>
    </row>
    <row r="706">
      <c r="A706" s="32">
        <f t="shared" si="2"/>
        <v>44901</v>
      </c>
      <c r="B706" s="30" t="s">
        <v>16</v>
      </c>
      <c r="C706" s="31" t="s">
        <v>17</v>
      </c>
      <c r="D706" s="31">
        <f t="shared" si="1"/>
        <v>1</v>
      </c>
    </row>
    <row r="707">
      <c r="A707" s="32">
        <f t="shared" si="2"/>
        <v>44902</v>
      </c>
      <c r="B707" s="30" t="s">
        <v>14</v>
      </c>
      <c r="C707" s="31">
        <v>775.0</v>
      </c>
      <c r="D707" s="31">
        <f t="shared" si="1"/>
        <v>1</v>
      </c>
    </row>
    <row r="708">
      <c r="A708" s="32">
        <f t="shared" si="2"/>
        <v>44903</v>
      </c>
      <c r="B708" s="30" t="s">
        <v>13</v>
      </c>
      <c r="C708" s="31">
        <v>770.0</v>
      </c>
      <c r="D708" s="31">
        <f t="shared" si="1"/>
        <v>1</v>
      </c>
    </row>
    <row r="709">
      <c r="A709" s="32">
        <f t="shared" si="2"/>
        <v>44904</v>
      </c>
      <c r="B709" s="30" t="s">
        <v>14</v>
      </c>
      <c r="C709" s="31">
        <v>720.0</v>
      </c>
      <c r="D709" s="31">
        <f t="shared" si="1"/>
        <v>1</v>
      </c>
    </row>
    <row r="710">
      <c r="A710" s="32">
        <f t="shared" si="2"/>
        <v>44905</v>
      </c>
      <c r="B710" s="30" t="s">
        <v>14</v>
      </c>
      <c r="C710" s="31">
        <v>860.0</v>
      </c>
      <c r="D710" s="31">
        <f t="shared" si="1"/>
        <v>1</v>
      </c>
    </row>
    <row r="711">
      <c r="A711" s="32">
        <f t="shared" si="2"/>
        <v>44906</v>
      </c>
      <c r="B711" s="30" t="s">
        <v>15</v>
      </c>
      <c r="C711" s="31">
        <v>825.0</v>
      </c>
      <c r="D711" s="31">
        <f t="shared" si="1"/>
        <v>1</v>
      </c>
    </row>
    <row r="712">
      <c r="A712" s="32">
        <f t="shared" si="2"/>
        <v>44907</v>
      </c>
      <c r="B712" s="30" t="s">
        <v>14</v>
      </c>
      <c r="C712" s="31">
        <v>660.0</v>
      </c>
      <c r="D712" s="31">
        <f t="shared" si="1"/>
        <v>1</v>
      </c>
    </row>
    <row r="713">
      <c r="A713" s="32">
        <f t="shared" si="2"/>
        <v>44908</v>
      </c>
      <c r="B713" s="30" t="s">
        <v>15</v>
      </c>
      <c r="C713" s="31">
        <v>730.0</v>
      </c>
      <c r="D713" s="31">
        <f t="shared" si="1"/>
        <v>1</v>
      </c>
    </row>
    <row r="714">
      <c r="A714" s="32">
        <f t="shared" si="2"/>
        <v>44909</v>
      </c>
      <c r="B714" s="30" t="s">
        <v>16</v>
      </c>
      <c r="C714" s="31" t="s">
        <v>17</v>
      </c>
      <c r="D714" s="31">
        <f t="shared" si="1"/>
        <v>1</v>
      </c>
    </row>
    <row r="715">
      <c r="A715" s="32">
        <f t="shared" si="2"/>
        <v>44910</v>
      </c>
      <c r="B715" s="30" t="s">
        <v>13</v>
      </c>
      <c r="C715" s="31">
        <v>575.0</v>
      </c>
      <c r="D715" s="31">
        <f t="shared" si="1"/>
        <v>1</v>
      </c>
    </row>
    <row r="716">
      <c r="A716" s="32">
        <f t="shared" si="2"/>
        <v>44911</v>
      </c>
      <c r="B716" s="30" t="s">
        <v>14</v>
      </c>
      <c r="C716" s="31">
        <v>670.0</v>
      </c>
      <c r="D716" s="31">
        <f t="shared" si="1"/>
        <v>1</v>
      </c>
    </row>
    <row r="717">
      <c r="A717" s="32">
        <f t="shared" si="2"/>
        <v>44912</v>
      </c>
      <c r="B717" s="30" t="s">
        <v>14</v>
      </c>
      <c r="C717" s="31">
        <v>790.0</v>
      </c>
      <c r="D717" s="31">
        <f t="shared" si="1"/>
        <v>1</v>
      </c>
    </row>
    <row r="718">
      <c r="A718" s="32">
        <f t="shared" si="2"/>
        <v>44913</v>
      </c>
      <c r="B718" s="30" t="s">
        <v>14</v>
      </c>
      <c r="C718" s="31">
        <v>570.0</v>
      </c>
      <c r="D718" s="31">
        <f t="shared" si="1"/>
        <v>1</v>
      </c>
    </row>
    <row r="719">
      <c r="A719" s="32">
        <f t="shared" si="2"/>
        <v>44914</v>
      </c>
      <c r="B719" s="30" t="s">
        <v>15</v>
      </c>
      <c r="C719" s="31">
        <v>790.0</v>
      </c>
      <c r="D719" s="31">
        <f t="shared" si="1"/>
        <v>1</v>
      </c>
    </row>
    <row r="720">
      <c r="A720" s="32">
        <f t="shared" si="2"/>
        <v>44915</v>
      </c>
      <c r="B720" s="30" t="s">
        <v>15</v>
      </c>
      <c r="C720" s="31">
        <v>735.0</v>
      </c>
      <c r="D720" s="31">
        <f t="shared" si="1"/>
        <v>1</v>
      </c>
    </row>
    <row r="721">
      <c r="A721" s="32">
        <f t="shared" si="2"/>
        <v>44916</v>
      </c>
      <c r="B721" s="30" t="s">
        <v>16</v>
      </c>
      <c r="C721" s="31" t="s">
        <v>17</v>
      </c>
      <c r="D721" s="31">
        <f t="shared" si="1"/>
        <v>1</v>
      </c>
    </row>
    <row r="722">
      <c r="A722" s="32">
        <f t="shared" si="2"/>
        <v>44917</v>
      </c>
      <c r="B722" s="30" t="s">
        <v>14</v>
      </c>
      <c r="C722" s="31">
        <v>605.0</v>
      </c>
      <c r="D722" s="31">
        <f t="shared" si="1"/>
        <v>1</v>
      </c>
    </row>
    <row r="723">
      <c r="A723" s="32">
        <f t="shared" si="2"/>
        <v>44918</v>
      </c>
      <c r="B723" s="30" t="s">
        <v>15</v>
      </c>
      <c r="C723" s="31">
        <v>835.0</v>
      </c>
      <c r="D723" s="31">
        <f t="shared" si="1"/>
        <v>1</v>
      </c>
    </row>
    <row r="724">
      <c r="A724" s="32">
        <f t="shared" si="2"/>
        <v>44919</v>
      </c>
      <c r="B724" s="30" t="s">
        <v>14</v>
      </c>
      <c r="C724" s="31">
        <v>720.0</v>
      </c>
      <c r="D724" s="31">
        <f t="shared" si="1"/>
        <v>1</v>
      </c>
    </row>
    <row r="725">
      <c r="A725" s="32">
        <f t="shared" si="2"/>
        <v>44920</v>
      </c>
      <c r="B725" s="30" t="s">
        <v>14</v>
      </c>
      <c r="C725" s="31">
        <v>645.0</v>
      </c>
      <c r="D725" s="31">
        <f t="shared" si="1"/>
        <v>1</v>
      </c>
    </row>
    <row r="726">
      <c r="A726" s="32">
        <f t="shared" si="2"/>
        <v>44921</v>
      </c>
      <c r="B726" s="30" t="s">
        <v>14</v>
      </c>
      <c r="C726" s="31">
        <v>565.0</v>
      </c>
      <c r="D726" s="31">
        <f t="shared" si="1"/>
        <v>1</v>
      </c>
    </row>
    <row r="727">
      <c r="A727" s="32">
        <f t="shared" si="2"/>
        <v>44922</v>
      </c>
      <c r="B727" s="30" t="s">
        <v>15</v>
      </c>
      <c r="C727" s="31">
        <v>755.0</v>
      </c>
      <c r="D727" s="31">
        <f t="shared" si="1"/>
        <v>1</v>
      </c>
    </row>
    <row r="728">
      <c r="A728" s="32">
        <f t="shared" si="2"/>
        <v>44923</v>
      </c>
      <c r="B728" s="30" t="s">
        <v>14</v>
      </c>
      <c r="C728" s="31">
        <v>810.0</v>
      </c>
      <c r="D728" s="31">
        <f t="shared" si="1"/>
        <v>1</v>
      </c>
    </row>
    <row r="729">
      <c r="A729" s="32">
        <f t="shared" si="2"/>
        <v>44924</v>
      </c>
      <c r="B729" s="30" t="s">
        <v>14</v>
      </c>
      <c r="C729" s="31">
        <v>660.0</v>
      </c>
      <c r="D729" s="31">
        <f t="shared" si="1"/>
        <v>1</v>
      </c>
    </row>
    <row r="730">
      <c r="A730" s="32">
        <f t="shared" si="2"/>
        <v>44925</v>
      </c>
      <c r="B730" s="30" t="s">
        <v>15</v>
      </c>
      <c r="C730" s="31">
        <v>875.0</v>
      </c>
      <c r="D730" s="31">
        <f t="shared" si="1"/>
        <v>1</v>
      </c>
    </row>
    <row r="731">
      <c r="A731" s="32">
        <f t="shared" si="2"/>
        <v>44926</v>
      </c>
      <c r="B731" s="30" t="s">
        <v>16</v>
      </c>
      <c r="C731" s="31" t="s">
        <v>17</v>
      </c>
      <c r="D731" s="31">
        <f t="shared" si="1"/>
        <v>1</v>
      </c>
    </row>
    <row r="732">
      <c r="A732" s="32">
        <f t="shared" si="2"/>
        <v>44927</v>
      </c>
      <c r="B732" s="30" t="s">
        <v>14</v>
      </c>
      <c r="C732" s="31">
        <v>555.0</v>
      </c>
      <c r="D732" s="31">
        <f t="shared" si="1"/>
        <v>1</v>
      </c>
    </row>
    <row r="733">
      <c r="A733" s="32">
        <f t="shared" si="2"/>
        <v>44928</v>
      </c>
      <c r="B733" s="30" t="s">
        <v>13</v>
      </c>
      <c r="C733" s="31">
        <v>875.0</v>
      </c>
      <c r="D733" s="31">
        <f t="shared" si="1"/>
        <v>1</v>
      </c>
    </row>
    <row r="734">
      <c r="A734" s="32">
        <f t="shared" si="2"/>
        <v>44929</v>
      </c>
      <c r="B734" s="30" t="s">
        <v>14</v>
      </c>
      <c r="C734" s="31">
        <v>820.0</v>
      </c>
      <c r="D734" s="31">
        <f t="shared" si="1"/>
        <v>1</v>
      </c>
    </row>
    <row r="735">
      <c r="A735" s="32">
        <f t="shared" si="2"/>
        <v>44930</v>
      </c>
      <c r="B735" s="30" t="s">
        <v>14</v>
      </c>
      <c r="C735" s="31">
        <v>725.0</v>
      </c>
      <c r="D735" s="31">
        <f t="shared" si="1"/>
        <v>1</v>
      </c>
    </row>
    <row r="736">
      <c r="A736" s="32">
        <f t="shared" si="2"/>
        <v>44931</v>
      </c>
      <c r="B736" s="30" t="s">
        <v>14</v>
      </c>
      <c r="C736" s="31">
        <v>850.0</v>
      </c>
      <c r="D736" s="31">
        <f t="shared" si="1"/>
        <v>1</v>
      </c>
    </row>
    <row r="737">
      <c r="A737" s="32">
        <f t="shared" si="2"/>
        <v>44932</v>
      </c>
      <c r="B737" s="30" t="s">
        <v>15</v>
      </c>
      <c r="C737" s="31">
        <v>925.0</v>
      </c>
      <c r="D737" s="31">
        <f t="shared" si="1"/>
        <v>1</v>
      </c>
    </row>
    <row r="738">
      <c r="A738" s="32">
        <f t="shared" si="2"/>
        <v>44933</v>
      </c>
      <c r="B738" s="30" t="s">
        <v>16</v>
      </c>
      <c r="C738" s="31" t="s">
        <v>17</v>
      </c>
      <c r="D738" s="31">
        <f t="shared" si="1"/>
        <v>1</v>
      </c>
    </row>
    <row r="739">
      <c r="A739" s="32">
        <f t="shared" si="2"/>
        <v>44934</v>
      </c>
      <c r="B739" s="30" t="s">
        <v>13</v>
      </c>
      <c r="C739" s="31">
        <v>985.0</v>
      </c>
      <c r="D739" s="31">
        <f t="shared" si="1"/>
        <v>1</v>
      </c>
    </row>
    <row r="740">
      <c r="A740" s="32">
        <f t="shared" si="2"/>
        <v>44935</v>
      </c>
      <c r="B740" s="30" t="s">
        <v>14</v>
      </c>
      <c r="C740" s="31">
        <v>795.0</v>
      </c>
      <c r="D740" s="31">
        <f t="shared" si="1"/>
        <v>1</v>
      </c>
    </row>
    <row r="741">
      <c r="A741" s="32">
        <f t="shared" si="2"/>
        <v>44936</v>
      </c>
      <c r="B741" s="30" t="s">
        <v>14</v>
      </c>
      <c r="C741" s="31">
        <v>830.0</v>
      </c>
      <c r="D741" s="31">
        <f t="shared" si="1"/>
        <v>1</v>
      </c>
    </row>
    <row r="742">
      <c r="A742" s="32">
        <f t="shared" si="2"/>
        <v>44937</v>
      </c>
      <c r="B742" s="30" t="s">
        <v>15</v>
      </c>
      <c r="C742" s="31">
        <v>985.0</v>
      </c>
      <c r="D742" s="31">
        <f t="shared" si="1"/>
        <v>1</v>
      </c>
    </row>
    <row r="743">
      <c r="A743" s="32">
        <f t="shared" si="2"/>
        <v>44938</v>
      </c>
      <c r="B743" s="30" t="s">
        <v>15</v>
      </c>
      <c r="C743" s="31">
        <v>855.0</v>
      </c>
      <c r="D743" s="31">
        <f t="shared" si="1"/>
        <v>1</v>
      </c>
    </row>
    <row r="744">
      <c r="A744" s="32">
        <f t="shared" si="2"/>
        <v>44939</v>
      </c>
      <c r="B744" s="30" t="s">
        <v>16</v>
      </c>
      <c r="C744" s="31" t="s">
        <v>17</v>
      </c>
      <c r="D744" s="31">
        <f t="shared" si="1"/>
        <v>1</v>
      </c>
    </row>
    <row r="745">
      <c r="A745" s="32">
        <f t="shared" si="2"/>
        <v>44940</v>
      </c>
      <c r="B745" s="30" t="s">
        <v>14</v>
      </c>
      <c r="C745" s="31">
        <v>745.0</v>
      </c>
      <c r="D745" s="31">
        <f t="shared" si="1"/>
        <v>1</v>
      </c>
    </row>
    <row r="746">
      <c r="A746" s="32">
        <f t="shared" si="2"/>
        <v>44941</v>
      </c>
      <c r="B746" s="30" t="s">
        <v>14</v>
      </c>
      <c r="C746" s="31">
        <v>715.0</v>
      </c>
      <c r="D746" s="31">
        <f t="shared" si="1"/>
        <v>1</v>
      </c>
    </row>
    <row r="747">
      <c r="A747" s="32">
        <f t="shared" si="2"/>
        <v>44942</v>
      </c>
      <c r="B747" s="30" t="s">
        <v>13</v>
      </c>
      <c r="C747" s="31">
        <v>615.0</v>
      </c>
      <c r="D747" s="31">
        <f t="shared" si="1"/>
        <v>1</v>
      </c>
    </row>
    <row r="748">
      <c r="A748" s="32">
        <f t="shared" si="2"/>
        <v>44943</v>
      </c>
      <c r="B748" s="30" t="s">
        <v>14</v>
      </c>
      <c r="C748" s="31">
        <v>900.0</v>
      </c>
      <c r="D748" s="31">
        <f t="shared" si="1"/>
        <v>1</v>
      </c>
    </row>
    <row r="749">
      <c r="A749" s="32">
        <f t="shared" si="2"/>
        <v>44944</v>
      </c>
      <c r="B749" s="30" t="s">
        <v>14</v>
      </c>
      <c r="C749" s="31">
        <v>640.0</v>
      </c>
      <c r="D749" s="31">
        <f t="shared" si="1"/>
        <v>1</v>
      </c>
    </row>
    <row r="750">
      <c r="A750" s="32">
        <f t="shared" si="2"/>
        <v>44945</v>
      </c>
      <c r="B750" s="30" t="s">
        <v>15</v>
      </c>
      <c r="C750" s="31">
        <v>775.0</v>
      </c>
      <c r="D750" s="31">
        <f t="shared" si="1"/>
        <v>1</v>
      </c>
    </row>
    <row r="751">
      <c r="A751" s="32">
        <f t="shared" si="2"/>
        <v>44946</v>
      </c>
      <c r="B751" s="30" t="s">
        <v>14</v>
      </c>
      <c r="C751" s="31">
        <v>850.0</v>
      </c>
      <c r="D751" s="31">
        <f t="shared" si="1"/>
        <v>1</v>
      </c>
    </row>
    <row r="752">
      <c r="A752" s="32">
        <f t="shared" si="2"/>
        <v>44947</v>
      </c>
      <c r="B752" s="30" t="s">
        <v>15</v>
      </c>
      <c r="C752" s="31">
        <v>950.0</v>
      </c>
      <c r="D752" s="31">
        <f t="shared" si="1"/>
        <v>1</v>
      </c>
    </row>
    <row r="753">
      <c r="A753" s="32">
        <f t="shared" si="2"/>
        <v>44948</v>
      </c>
      <c r="B753" s="30" t="s">
        <v>16</v>
      </c>
      <c r="C753" s="31" t="s">
        <v>17</v>
      </c>
      <c r="D753" s="31">
        <f t="shared" si="1"/>
        <v>1</v>
      </c>
    </row>
    <row r="754">
      <c r="A754" s="32">
        <f t="shared" si="2"/>
        <v>44949</v>
      </c>
      <c r="B754" s="30" t="s">
        <v>14</v>
      </c>
      <c r="C754" s="31">
        <v>540.0</v>
      </c>
      <c r="D754" s="31">
        <f t="shared" si="1"/>
        <v>1</v>
      </c>
    </row>
    <row r="755">
      <c r="A755" s="32">
        <f t="shared" si="2"/>
        <v>44950</v>
      </c>
      <c r="B755" s="30" t="s">
        <v>13</v>
      </c>
      <c r="C755" s="31">
        <v>920.0</v>
      </c>
      <c r="D755" s="31">
        <f t="shared" si="1"/>
        <v>1</v>
      </c>
    </row>
    <row r="756">
      <c r="A756" s="32">
        <f t="shared" si="2"/>
        <v>44951</v>
      </c>
      <c r="B756" s="30" t="s">
        <v>14</v>
      </c>
      <c r="C756" s="31">
        <v>650.0</v>
      </c>
      <c r="D756" s="31">
        <f t="shared" si="1"/>
        <v>1</v>
      </c>
    </row>
    <row r="757">
      <c r="A757" s="32">
        <f t="shared" si="2"/>
        <v>44952</v>
      </c>
      <c r="B757" s="30" t="s">
        <v>14</v>
      </c>
      <c r="C757" s="31">
        <v>750.0</v>
      </c>
      <c r="D757" s="31">
        <f t="shared" si="1"/>
        <v>1</v>
      </c>
    </row>
    <row r="758">
      <c r="A758" s="32">
        <f t="shared" si="2"/>
        <v>44953</v>
      </c>
      <c r="B758" s="30" t="s">
        <v>14</v>
      </c>
      <c r="C758" s="31">
        <v>760.0</v>
      </c>
      <c r="D758" s="31">
        <f t="shared" si="1"/>
        <v>1</v>
      </c>
    </row>
    <row r="759">
      <c r="A759" s="32">
        <f t="shared" si="2"/>
        <v>44954</v>
      </c>
      <c r="B759" s="30" t="s">
        <v>15</v>
      </c>
      <c r="C759" s="31">
        <v>930.0</v>
      </c>
      <c r="D759" s="31">
        <f t="shared" si="1"/>
        <v>1</v>
      </c>
    </row>
    <row r="760">
      <c r="A760" s="32">
        <f t="shared" si="2"/>
        <v>44955</v>
      </c>
      <c r="B760" s="30" t="s">
        <v>16</v>
      </c>
      <c r="C760" s="31" t="s">
        <v>17</v>
      </c>
      <c r="D760" s="31">
        <f t="shared" si="1"/>
        <v>1</v>
      </c>
    </row>
    <row r="761">
      <c r="A761" s="32">
        <f t="shared" si="2"/>
        <v>44956</v>
      </c>
      <c r="B761" s="30" t="s">
        <v>14</v>
      </c>
      <c r="C761" s="31">
        <v>785.0</v>
      </c>
      <c r="D761" s="31">
        <f t="shared" si="1"/>
        <v>1</v>
      </c>
    </row>
    <row r="762">
      <c r="A762" s="32">
        <f t="shared" si="2"/>
        <v>44957</v>
      </c>
      <c r="B762" s="30" t="s">
        <v>15</v>
      </c>
      <c r="C762" s="31">
        <v>810.0</v>
      </c>
      <c r="D762" s="31">
        <f t="shared" si="1"/>
        <v>1</v>
      </c>
    </row>
    <row r="763">
      <c r="A763" s="32">
        <f t="shared" si="2"/>
        <v>44958</v>
      </c>
      <c r="B763" s="30" t="s">
        <v>14</v>
      </c>
      <c r="C763" s="31">
        <v>710.0</v>
      </c>
      <c r="D763" s="31">
        <f t="shared" si="1"/>
        <v>1</v>
      </c>
    </row>
    <row r="764">
      <c r="A764" s="32">
        <f t="shared" si="2"/>
        <v>44959</v>
      </c>
      <c r="B764" s="30" t="s">
        <v>14</v>
      </c>
      <c r="C764" s="31">
        <v>905.0</v>
      </c>
      <c r="D764" s="31">
        <f t="shared" si="1"/>
        <v>1</v>
      </c>
    </row>
    <row r="765">
      <c r="A765" s="32">
        <f t="shared" si="2"/>
        <v>44960</v>
      </c>
      <c r="B765" s="30" t="s">
        <v>15</v>
      </c>
      <c r="C765" s="31">
        <v>630.0</v>
      </c>
      <c r="D765" s="31">
        <f t="shared" si="1"/>
        <v>1</v>
      </c>
    </row>
    <row r="766">
      <c r="A766" s="32">
        <f t="shared" si="2"/>
        <v>44961</v>
      </c>
      <c r="B766" s="30" t="s">
        <v>14</v>
      </c>
      <c r="C766" s="31">
        <v>740.0</v>
      </c>
      <c r="D766" s="31">
        <f t="shared" si="1"/>
        <v>1</v>
      </c>
    </row>
    <row r="767">
      <c r="A767" s="32">
        <f t="shared" si="2"/>
        <v>44962</v>
      </c>
      <c r="B767" s="30" t="s">
        <v>13</v>
      </c>
      <c r="C767" s="31">
        <v>505.0</v>
      </c>
      <c r="D767" s="31">
        <f t="shared" si="1"/>
        <v>1</v>
      </c>
    </row>
    <row r="768">
      <c r="A768" s="32">
        <f t="shared" si="2"/>
        <v>44963</v>
      </c>
      <c r="B768" s="30" t="s">
        <v>16</v>
      </c>
      <c r="C768" s="31" t="s">
        <v>17</v>
      </c>
      <c r="D768" s="31">
        <f t="shared" si="1"/>
        <v>1</v>
      </c>
    </row>
    <row r="769">
      <c r="A769" s="32">
        <f t="shared" si="2"/>
        <v>44964</v>
      </c>
      <c r="B769" s="30" t="s">
        <v>14</v>
      </c>
      <c r="C769" s="31">
        <v>625.0</v>
      </c>
      <c r="D769" s="31">
        <f t="shared" si="1"/>
        <v>1</v>
      </c>
    </row>
    <row r="770">
      <c r="A770" s="32">
        <f t="shared" si="2"/>
        <v>44965</v>
      </c>
      <c r="B770" s="30" t="s">
        <v>14</v>
      </c>
      <c r="C770" s="31">
        <v>880.0</v>
      </c>
      <c r="D770" s="31">
        <f t="shared" si="1"/>
        <v>1</v>
      </c>
    </row>
    <row r="771">
      <c r="A771" s="32">
        <f t="shared" si="2"/>
        <v>44966</v>
      </c>
      <c r="B771" s="30" t="s">
        <v>15</v>
      </c>
      <c r="C771" s="31">
        <v>915.0</v>
      </c>
      <c r="D771" s="31">
        <f t="shared" si="1"/>
        <v>1</v>
      </c>
    </row>
    <row r="772">
      <c r="A772" s="32">
        <f t="shared" si="2"/>
        <v>44967</v>
      </c>
      <c r="B772" s="30" t="s">
        <v>15</v>
      </c>
      <c r="C772" s="31">
        <v>925.0</v>
      </c>
      <c r="D772" s="31">
        <f t="shared" si="1"/>
        <v>1</v>
      </c>
    </row>
    <row r="773">
      <c r="A773" s="32">
        <f t="shared" si="2"/>
        <v>44968</v>
      </c>
      <c r="B773" s="30" t="s">
        <v>16</v>
      </c>
      <c r="C773" s="31" t="s">
        <v>17</v>
      </c>
      <c r="D773" s="31">
        <f t="shared" si="1"/>
        <v>1</v>
      </c>
    </row>
    <row r="774">
      <c r="A774" s="32">
        <f t="shared" si="2"/>
        <v>44969</v>
      </c>
      <c r="B774" s="30" t="s">
        <v>14</v>
      </c>
      <c r="C774" s="31">
        <v>650.0</v>
      </c>
      <c r="D774" s="31">
        <f t="shared" si="1"/>
        <v>1</v>
      </c>
    </row>
    <row r="775">
      <c r="A775" s="32">
        <f t="shared" si="2"/>
        <v>44970</v>
      </c>
      <c r="B775" s="30" t="s">
        <v>13</v>
      </c>
      <c r="C775" s="31">
        <v>685.0</v>
      </c>
      <c r="D775" s="31">
        <f t="shared" si="1"/>
        <v>1</v>
      </c>
    </row>
    <row r="776">
      <c r="A776" s="32">
        <f t="shared" si="2"/>
        <v>44971</v>
      </c>
      <c r="B776" s="30" t="s">
        <v>14</v>
      </c>
      <c r="C776" s="31">
        <v>815.0</v>
      </c>
      <c r="D776" s="31">
        <f t="shared" si="1"/>
        <v>1</v>
      </c>
    </row>
    <row r="777">
      <c r="A777" s="32">
        <f t="shared" si="2"/>
        <v>44972</v>
      </c>
      <c r="B777" s="30" t="s">
        <v>14</v>
      </c>
      <c r="C777" s="31">
        <v>525.0</v>
      </c>
      <c r="D777" s="31">
        <f t="shared" si="1"/>
        <v>1</v>
      </c>
    </row>
    <row r="778">
      <c r="A778" s="32">
        <f t="shared" si="2"/>
        <v>44973</v>
      </c>
      <c r="B778" s="30" t="s">
        <v>15</v>
      </c>
      <c r="C778" s="31">
        <v>900.0</v>
      </c>
      <c r="D778" s="31">
        <f t="shared" si="1"/>
        <v>1</v>
      </c>
    </row>
    <row r="779">
      <c r="A779" s="32">
        <f t="shared" si="2"/>
        <v>44974</v>
      </c>
      <c r="B779" s="30" t="s">
        <v>14</v>
      </c>
      <c r="C779" s="31">
        <v>765.0</v>
      </c>
      <c r="D779" s="31">
        <f t="shared" si="1"/>
        <v>1</v>
      </c>
    </row>
    <row r="780">
      <c r="A780" s="32">
        <f t="shared" si="2"/>
        <v>44975</v>
      </c>
      <c r="B780" s="30" t="s">
        <v>15</v>
      </c>
      <c r="C780" s="31">
        <v>535.0</v>
      </c>
      <c r="D780" s="31">
        <f t="shared" si="1"/>
        <v>1</v>
      </c>
    </row>
    <row r="781">
      <c r="A781" s="32">
        <f t="shared" si="2"/>
        <v>44976</v>
      </c>
      <c r="B781" s="30" t="s">
        <v>16</v>
      </c>
      <c r="C781" s="31" t="s">
        <v>17</v>
      </c>
      <c r="D781" s="31">
        <f t="shared" si="1"/>
        <v>1</v>
      </c>
    </row>
    <row r="782">
      <c r="A782" s="32">
        <f t="shared" si="2"/>
        <v>44977</v>
      </c>
      <c r="B782" s="30" t="s">
        <v>13</v>
      </c>
      <c r="C782" s="31">
        <v>570.0</v>
      </c>
      <c r="D782" s="31">
        <f t="shared" si="1"/>
        <v>1</v>
      </c>
    </row>
    <row r="783">
      <c r="A783" s="32">
        <f t="shared" si="2"/>
        <v>44978</v>
      </c>
      <c r="B783" s="30" t="s">
        <v>14</v>
      </c>
      <c r="C783" s="31">
        <v>935.0</v>
      </c>
      <c r="D783" s="31">
        <f t="shared" si="1"/>
        <v>1</v>
      </c>
    </row>
    <row r="784">
      <c r="A784" s="32">
        <f t="shared" si="2"/>
        <v>44979</v>
      </c>
      <c r="B784" s="30" t="s">
        <v>14</v>
      </c>
      <c r="C784" s="31">
        <v>980.0</v>
      </c>
      <c r="D784" s="31">
        <f t="shared" si="1"/>
        <v>1</v>
      </c>
    </row>
    <row r="785">
      <c r="A785" s="32">
        <f t="shared" si="2"/>
        <v>44980</v>
      </c>
      <c r="B785" s="30" t="s">
        <v>14</v>
      </c>
      <c r="C785" s="31">
        <v>620.0</v>
      </c>
      <c r="D785" s="31">
        <f t="shared" si="1"/>
        <v>1</v>
      </c>
    </row>
    <row r="786">
      <c r="A786" s="32">
        <f t="shared" si="2"/>
        <v>44981</v>
      </c>
      <c r="B786" s="30" t="s">
        <v>15</v>
      </c>
      <c r="C786" s="31">
        <v>825.0</v>
      </c>
      <c r="D786" s="31">
        <f t="shared" si="1"/>
        <v>1</v>
      </c>
    </row>
    <row r="787">
      <c r="A787" s="32">
        <f t="shared" si="2"/>
        <v>44982</v>
      </c>
      <c r="B787" s="30" t="s">
        <v>15</v>
      </c>
      <c r="C787" s="31">
        <v>555.0</v>
      </c>
      <c r="D787" s="31">
        <f t="shared" si="1"/>
        <v>1</v>
      </c>
    </row>
    <row r="788">
      <c r="A788" s="32">
        <f t="shared" si="2"/>
        <v>44983</v>
      </c>
      <c r="B788" s="30" t="s">
        <v>16</v>
      </c>
      <c r="C788" s="31" t="s">
        <v>17</v>
      </c>
      <c r="D788" s="31">
        <f t="shared" si="1"/>
        <v>1</v>
      </c>
    </row>
    <row r="789">
      <c r="A789" s="32">
        <f t="shared" si="2"/>
        <v>44984</v>
      </c>
      <c r="B789" s="30" t="s">
        <v>14</v>
      </c>
      <c r="C789" s="31">
        <v>935.0</v>
      </c>
      <c r="D789" s="31">
        <f t="shared" si="1"/>
        <v>1</v>
      </c>
    </row>
    <row r="790">
      <c r="A790" s="32">
        <f t="shared" si="2"/>
        <v>44985</v>
      </c>
      <c r="B790" s="30" t="s">
        <v>15</v>
      </c>
      <c r="C790" s="31">
        <v>960.0</v>
      </c>
      <c r="D790" s="31">
        <f t="shared" si="1"/>
        <v>1</v>
      </c>
    </row>
    <row r="791">
      <c r="A791" s="32">
        <f t="shared" si="2"/>
        <v>44986</v>
      </c>
      <c r="B791" s="30" t="s">
        <v>14</v>
      </c>
      <c r="C791" s="31">
        <v>850.0</v>
      </c>
      <c r="D791" s="31">
        <f t="shared" si="1"/>
        <v>1</v>
      </c>
    </row>
    <row r="792">
      <c r="A792" s="32">
        <f t="shared" si="2"/>
        <v>44987</v>
      </c>
      <c r="B792" s="30" t="s">
        <v>14</v>
      </c>
      <c r="C792" s="31">
        <v>770.0</v>
      </c>
      <c r="D792" s="31">
        <f t="shared" si="1"/>
        <v>1</v>
      </c>
    </row>
    <row r="793">
      <c r="A793" s="32">
        <f t="shared" si="2"/>
        <v>44988</v>
      </c>
      <c r="B793" s="30" t="s">
        <v>14</v>
      </c>
      <c r="C793" s="31">
        <v>960.0</v>
      </c>
      <c r="D793" s="31">
        <f t="shared" si="1"/>
        <v>1</v>
      </c>
    </row>
    <row r="794">
      <c r="A794" s="32">
        <f t="shared" si="2"/>
        <v>44989</v>
      </c>
      <c r="B794" s="30" t="s">
        <v>15</v>
      </c>
      <c r="C794" s="31">
        <v>825.0</v>
      </c>
      <c r="D794" s="31">
        <f t="shared" si="1"/>
        <v>1</v>
      </c>
    </row>
    <row r="795">
      <c r="A795" s="32">
        <f t="shared" si="2"/>
        <v>44990</v>
      </c>
      <c r="B795" s="30" t="s">
        <v>14</v>
      </c>
      <c r="C795" s="31">
        <v>660.0</v>
      </c>
      <c r="D795" s="31">
        <f t="shared" si="1"/>
        <v>1</v>
      </c>
    </row>
    <row r="796">
      <c r="A796" s="32">
        <f t="shared" si="2"/>
        <v>44991</v>
      </c>
      <c r="B796" s="30" t="s">
        <v>14</v>
      </c>
      <c r="C796" s="31">
        <v>665.0</v>
      </c>
      <c r="D796" s="31">
        <f t="shared" si="1"/>
        <v>1</v>
      </c>
    </row>
    <row r="797">
      <c r="A797" s="32">
        <f t="shared" si="2"/>
        <v>44992</v>
      </c>
      <c r="B797" s="30" t="s">
        <v>15</v>
      </c>
      <c r="C797" s="31">
        <v>885.0</v>
      </c>
      <c r="D797" s="31">
        <f t="shared" si="1"/>
        <v>1</v>
      </c>
    </row>
    <row r="798">
      <c r="A798" s="32">
        <f t="shared" si="2"/>
        <v>44993</v>
      </c>
      <c r="B798" s="30" t="s">
        <v>16</v>
      </c>
      <c r="C798" s="31" t="s">
        <v>17</v>
      </c>
      <c r="D798" s="31">
        <f t="shared" si="1"/>
        <v>1</v>
      </c>
    </row>
    <row r="799">
      <c r="A799" s="32">
        <f t="shared" si="2"/>
        <v>44994</v>
      </c>
      <c r="B799" s="30" t="s">
        <v>14</v>
      </c>
      <c r="C799" s="31">
        <v>535.0</v>
      </c>
      <c r="D799" s="31">
        <f t="shared" si="1"/>
        <v>1</v>
      </c>
    </row>
    <row r="800">
      <c r="A800" s="32">
        <f t="shared" si="2"/>
        <v>44995</v>
      </c>
      <c r="B800" s="30" t="s">
        <v>13</v>
      </c>
      <c r="C800" s="31">
        <v>635.0</v>
      </c>
      <c r="D800" s="31">
        <f t="shared" si="1"/>
        <v>1</v>
      </c>
    </row>
    <row r="801">
      <c r="A801" s="32">
        <f t="shared" si="2"/>
        <v>44996</v>
      </c>
      <c r="B801" s="30" t="s">
        <v>14</v>
      </c>
      <c r="C801" s="31">
        <v>970.0</v>
      </c>
      <c r="D801" s="31">
        <f t="shared" si="1"/>
        <v>1</v>
      </c>
    </row>
    <row r="802">
      <c r="A802" s="32">
        <f t="shared" si="2"/>
        <v>44997</v>
      </c>
      <c r="B802" s="30" t="s">
        <v>14</v>
      </c>
      <c r="C802" s="31">
        <v>770.0</v>
      </c>
      <c r="D802" s="31">
        <f t="shared" si="1"/>
        <v>1</v>
      </c>
    </row>
    <row r="803">
      <c r="A803" s="32">
        <f t="shared" si="2"/>
        <v>44998</v>
      </c>
      <c r="B803" s="30" t="s">
        <v>14</v>
      </c>
      <c r="C803" s="31">
        <v>750.0</v>
      </c>
      <c r="D803" s="31">
        <f t="shared" si="1"/>
        <v>1</v>
      </c>
    </row>
    <row r="804">
      <c r="A804" s="32">
        <f t="shared" si="2"/>
        <v>44999</v>
      </c>
      <c r="B804" s="30" t="s">
        <v>15</v>
      </c>
      <c r="C804" s="31">
        <v>535.0</v>
      </c>
      <c r="D804" s="31">
        <f t="shared" si="1"/>
        <v>1</v>
      </c>
    </row>
    <row r="805">
      <c r="A805" s="32">
        <f t="shared" si="2"/>
        <v>45000</v>
      </c>
      <c r="B805" s="30" t="s">
        <v>16</v>
      </c>
      <c r="C805" s="31" t="s">
        <v>17</v>
      </c>
      <c r="D805" s="31">
        <f t="shared" si="1"/>
        <v>1</v>
      </c>
    </row>
    <row r="806">
      <c r="A806" s="32">
        <f t="shared" si="2"/>
        <v>45001</v>
      </c>
      <c r="B806" s="30" t="s">
        <v>14</v>
      </c>
      <c r="C806" s="31">
        <v>930.0</v>
      </c>
      <c r="D806" s="31">
        <f t="shared" si="1"/>
        <v>1</v>
      </c>
    </row>
    <row r="807">
      <c r="A807" s="32">
        <f t="shared" si="2"/>
        <v>45002</v>
      </c>
      <c r="B807" s="30" t="s">
        <v>14</v>
      </c>
      <c r="C807" s="31">
        <v>880.0</v>
      </c>
      <c r="D807" s="31">
        <f t="shared" si="1"/>
        <v>1</v>
      </c>
    </row>
    <row r="808">
      <c r="A808" s="32">
        <f t="shared" si="2"/>
        <v>45003</v>
      </c>
      <c r="B808" s="30" t="s">
        <v>14</v>
      </c>
      <c r="C808" s="31">
        <v>815.0</v>
      </c>
      <c r="D808" s="31">
        <f t="shared" si="1"/>
        <v>1</v>
      </c>
    </row>
    <row r="809">
      <c r="A809" s="32">
        <f t="shared" si="2"/>
        <v>45004</v>
      </c>
      <c r="B809" s="30" t="s">
        <v>15</v>
      </c>
      <c r="C809" s="31">
        <v>845.0</v>
      </c>
      <c r="D809" s="31">
        <f t="shared" si="1"/>
        <v>1</v>
      </c>
    </row>
    <row r="810">
      <c r="A810" s="32">
        <f t="shared" si="2"/>
        <v>45005</v>
      </c>
      <c r="B810" s="30" t="s">
        <v>16</v>
      </c>
      <c r="C810" s="31" t="s">
        <v>17</v>
      </c>
      <c r="D810" s="31">
        <f t="shared" si="1"/>
        <v>1</v>
      </c>
    </row>
    <row r="811">
      <c r="A811" s="32">
        <f t="shared" si="2"/>
        <v>45006</v>
      </c>
      <c r="B811" s="30" t="s">
        <v>14</v>
      </c>
      <c r="C811" s="31">
        <v>615.0</v>
      </c>
      <c r="D811" s="31">
        <f t="shared" si="1"/>
        <v>1</v>
      </c>
    </row>
    <row r="812">
      <c r="A812" s="32">
        <f t="shared" si="2"/>
        <v>45007</v>
      </c>
      <c r="B812" s="30" t="s">
        <v>14</v>
      </c>
      <c r="C812" s="31">
        <v>925.0</v>
      </c>
      <c r="D812" s="31">
        <f t="shared" si="1"/>
        <v>1</v>
      </c>
    </row>
    <row r="813">
      <c r="A813" s="32">
        <f t="shared" si="2"/>
        <v>45008</v>
      </c>
      <c r="B813" s="30" t="s">
        <v>15</v>
      </c>
      <c r="C813" s="31">
        <v>860.0</v>
      </c>
      <c r="D813" s="31">
        <f t="shared" si="1"/>
        <v>1</v>
      </c>
    </row>
    <row r="814">
      <c r="A814" s="32">
        <f t="shared" si="2"/>
        <v>45009</v>
      </c>
      <c r="B814" s="30" t="s">
        <v>15</v>
      </c>
      <c r="C814" s="31">
        <v>565.0</v>
      </c>
      <c r="D814" s="31">
        <f t="shared" si="1"/>
        <v>1</v>
      </c>
    </row>
    <row r="815">
      <c r="A815" s="32">
        <f t="shared" si="2"/>
        <v>45010</v>
      </c>
      <c r="B815" s="30" t="s">
        <v>16</v>
      </c>
      <c r="C815" s="31" t="s">
        <v>17</v>
      </c>
      <c r="D815" s="31">
        <f t="shared" si="1"/>
        <v>1</v>
      </c>
    </row>
    <row r="816">
      <c r="A816" s="32">
        <f t="shared" si="2"/>
        <v>45011</v>
      </c>
      <c r="B816" s="30" t="s">
        <v>14</v>
      </c>
      <c r="C816" s="31">
        <v>865.0</v>
      </c>
      <c r="D816" s="31">
        <f t="shared" si="1"/>
        <v>1</v>
      </c>
    </row>
    <row r="817">
      <c r="A817" s="32">
        <f t="shared" si="2"/>
        <v>45012</v>
      </c>
      <c r="B817" s="30" t="s">
        <v>15</v>
      </c>
      <c r="C817" s="31">
        <v>545.0</v>
      </c>
      <c r="D817" s="31">
        <f t="shared" si="1"/>
        <v>1</v>
      </c>
    </row>
    <row r="818">
      <c r="A818" s="32">
        <f t="shared" si="2"/>
        <v>45013</v>
      </c>
      <c r="B818" s="30" t="s">
        <v>14</v>
      </c>
      <c r="C818" s="31">
        <v>980.0</v>
      </c>
      <c r="D818" s="31">
        <f t="shared" si="1"/>
        <v>1</v>
      </c>
    </row>
    <row r="819">
      <c r="A819" s="32">
        <f t="shared" si="2"/>
        <v>45014</v>
      </c>
      <c r="B819" s="30" t="s">
        <v>15</v>
      </c>
      <c r="C819" s="31">
        <v>805.0</v>
      </c>
      <c r="D819" s="31">
        <f t="shared" si="1"/>
        <v>1</v>
      </c>
    </row>
    <row r="820">
      <c r="A820" s="32">
        <f t="shared" si="2"/>
        <v>45015</v>
      </c>
      <c r="B820" s="30" t="s">
        <v>14</v>
      </c>
      <c r="C820" s="31">
        <v>910.0</v>
      </c>
      <c r="D820" s="31">
        <f t="shared" si="1"/>
        <v>1</v>
      </c>
    </row>
    <row r="821">
      <c r="A821" s="32">
        <f t="shared" si="2"/>
        <v>45016</v>
      </c>
      <c r="B821" s="30" t="s">
        <v>13</v>
      </c>
      <c r="C821" s="31">
        <v>865.0</v>
      </c>
      <c r="D821" s="31">
        <f t="shared" si="1"/>
        <v>1</v>
      </c>
    </row>
    <row r="822">
      <c r="A822" s="32">
        <f t="shared" si="2"/>
        <v>45017</v>
      </c>
      <c r="B822" s="30" t="s">
        <v>14</v>
      </c>
      <c r="C822" s="31">
        <v>855.0</v>
      </c>
      <c r="D822" s="31">
        <f t="shared" si="1"/>
        <v>1</v>
      </c>
    </row>
    <row r="823">
      <c r="A823" s="32">
        <f t="shared" si="2"/>
        <v>45018</v>
      </c>
      <c r="B823" s="30" t="s">
        <v>15</v>
      </c>
      <c r="C823" s="31">
        <v>570.0</v>
      </c>
      <c r="D823" s="31">
        <f t="shared" si="1"/>
        <v>1</v>
      </c>
    </row>
    <row r="824">
      <c r="A824" s="32">
        <f t="shared" si="2"/>
        <v>45019</v>
      </c>
      <c r="B824" s="30" t="s">
        <v>16</v>
      </c>
      <c r="C824" s="31" t="s">
        <v>17</v>
      </c>
      <c r="D824" s="31">
        <f t="shared" si="1"/>
        <v>1</v>
      </c>
    </row>
    <row r="825">
      <c r="A825" s="32">
        <f t="shared" si="2"/>
        <v>45020</v>
      </c>
      <c r="B825" s="30" t="s">
        <v>14</v>
      </c>
      <c r="C825" s="31">
        <v>745.0</v>
      </c>
      <c r="D825" s="31">
        <f t="shared" si="1"/>
        <v>1</v>
      </c>
    </row>
    <row r="826">
      <c r="A826" s="32">
        <f t="shared" si="2"/>
        <v>45021</v>
      </c>
      <c r="B826" s="30" t="s">
        <v>15</v>
      </c>
      <c r="C826" s="31">
        <v>685.0</v>
      </c>
      <c r="D826" s="31">
        <f t="shared" si="1"/>
        <v>1</v>
      </c>
    </row>
    <row r="827">
      <c r="A827" s="32">
        <f t="shared" si="2"/>
        <v>45022</v>
      </c>
      <c r="B827" s="30" t="s">
        <v>14</v>
      </c>
      <c r="C827" s="31">
        <v>735.0</v>
      </c>
      <c r="D827" s="31">
        <f t="shared" si="1"/>
        <v>1</v>
      </c>
    </row>
    <row r="828">
      <c r="A828" s="32">
        <f t="shared" si="2"/>
        <v>45023</v>
      </c>
      <c r="B828" s="30" t="s">
        <v>14</v>
      </c>
      <c r="C828" s="31">
        <v>925.0</v>
      </c>
      <c r="D828" s="31">
        <f t="shared" si="1"/>
        <v>1</v>
      </c>
    </row>
    <row r="829">
      <c r="A829" s="32">
        <f t="shared" si="2"/>
        <v>45024</v>
      </c>
      <c r="B829" s="30" t="s">
        <v>15</v>
      </c>
      <c r="C829" s="31">
        <v>1000.0</v>
      </c>
      <c r="D829" s="31">
        <f t="shared" si="1"/>
        <v>1</v>
      </c>
    </row>
    <row r="830">
      <c r="A830" s="32">
        <f t="shared" si="2"/>
        <v>45025</v>
      </c>
      <c r="B830" s="30" t="s">
        <v>14</v>
      </c>
      <c r="C830" s="31">
        <v>615.0</v>
      </c>
      <c r="D830" s="31">
        <f t="shared" si="1"/>
        <v>1</v>
      </c>
    </row>
    <row r="831">
      <c r="A831" s="32">
        <f t="shared" si="2"/>
        <v>45026</v>
      </c>
      <c r="B831" s="30" t="s">
        <v>14</v>
      </c>
      <c r="C831" s="31">
        <v>640.0</v>
      </c>
      <c r="D831" s="31">
        <f t="shared" si="1"/>
        <v>1</v>
      </c>
    </row>
    <row r="832">
      <c r="A832" s="32">
        <f t="shared" si="2"/>
        <v>45027</v>
      </c>
      <c r="B832" s="30" t="s">
        <v>15</v>
      </c>
      <c r="C832" s="31">
        <v>505.0</v>
      </c>
      <c r="D832" s="31">
        <f t="shared" si="1"/>
        <v>1</v>
      </c>
    </row>
    <row r="833">
      <c r="A833" s="32">
        <f t="shared" si="2"/>
        <v>45028</v>
      </c>
      <c r="B833" s="30" t="s">
        <v>16</v>
      </c>
      <c r="C833" s="31" t="s">
        <v>17</v>
      </c>
      <c r="D833" s="31">
        <f t="shared" si="1"/>
        <v>1</v>
      </c>
    </row>
    <row r="834">
      <c r="A834" s="32">
        <f t="shared" si="2"/>
        <v>45029</v>
      </c>
      <c r="B834" s="30" t="s">
        <v>16</v>
      </c>
      <c r="C834" s="31" t="s">
        <v>17</v>
      </c>
      <c r="D834" s="31">
        <f t="shared" si="1"/>
        <v>1</v>
      </c>
    </row>
    <row r="835">
      <c r="A835" s="32">
        <f t="shared" si="2"/>
        <v>45030</v>
      </c>
      <c r="B835" s="30" t="s">
        <v>16</v>
      </c>
      <c r="C835" s="31" t="s">
        <v>17</v>
      </c>
      <c r="D835" s="31">
        <f t="shared" si="1"/>
        <v>1</v>
      </c>
    </row>
    <row r="836">
      <c r="A836" s="32">
        <f t="shared" si="2"/>
        <v>45031</v>
      </c>
      <c r="B836" s="30" t="s">
        <v>16</v>
      </c>
      <c r="C836" s="31" t="s">
        <v>17</v>
      </c>
      <c r="D836" s="31">
        <f t="shared" si="1"/>
        <v>1</v>
      </c>
    </row>
    <row r="837">
      <c r="A837" s="32">
        <f t="shared" si="2"/>
        <v>45032</v>
      </c>
      <c r="B837" s="30" t="s">
        <v>16</v>
      </c>
      <c r="C837" s="31" t="s">
        <v>17</v>
      </c>
      <c r="D837" s="31">
        <f t="shared" si="1"/>
        <v>1</v>
      </c>
    </row>
    <row r="838">
      <c r="A838" s="32">
        <f t="shared" si="2"/>
        <v>45033</v>
      </c>
      <c r="B838" s="30" t="s">
        <v>16</v>
      </c>
      <c r="C838" s="31" t="s">
        <v>17</v>
      </c>
      <c r="D838" s="31">
        <f t="shared" si="1"/>
        <v>1</v>
      </c>
    </row>
    <row r="839">
      <c r="A839" s="32">
        <f t="shared" si="2"/>
        <v>45034</v>
      </c>
      <c r="B839" s="30" t="s">
        <v>13</v>
      </c>
      <c r="C839" s="31">
        <v>720.0</v>
      </c>
      <c r="D839" s="31">
        <f t="shared" si="1"/>
        <v>1</v>
      </c>
    </row>
    <row r="840">
      <c r="A840" s="32">
        <f t="shared" si="2"/>
        <v>45035</v>
      </c>
      <c r="B840" s="30" t="s">
        <v>13</v>
      </c>
      <c r="C840" s="31">
        <v>755.0</v>
      </c>
      <c r="D840" s="31">
        <f t="shared" si="1"/>
        <v>1</v>
      </c>
    </row>
    <row r="841">
      <c r="A841" s="32">
        <f t="shared" si="2"/>
        <v>45036</v>
      </c>
      <c r="B841" s="30" t="s">
        <v>14</v>
      </c>
      <c r="C841" s="31">
        <v>810.0</v>
      </c>
      <c r="D841" s="31">
        <f t="shared" si="1"/>
        <v>1</v>
      </c>
    </row>
    <row r="842">
      <c r="A842" s="32">
        <f t="shared" si="2"/>
        <v>45037</v>
      </c>
      <c r="B842" s="30" t="s">
        <v>14</v>
      </c>
      <c r="C842" s="31">
        <v>670.0</v>
      </c>
      <c r="D842" s="31">
        <f t="shared" si="1"/>
        <v>1</v>
      </c>
    </row>
    <row r="843">
      <c r="A843" s="32">
        <f t="shared" si="2"/>
        <v>45038</v>
      </c>
      <c r="B843" s="30" t="s">
        <v>14</v>
      </c>
      <c r="C843" s="31">
        <v>980.0</v>
      </c>
      <c r="D843" s="31">
        <f t="shared" si="1"/>
        <v>1</v>
      </c>
    </row>
    <row r="844">
      <c r="A844" s="32">
        <f t="shared" si="2"/>
        <v>45039</v>
      </c>
      <c r="B844" s="30" t="s">
        <v>14</v>
      </c>
      <c r="C844" s="31">
        <v>735.0</v>
      </c>
      <c r="D844" s="31">
        <f t="shared" si="1"/>
        <v>1</v>
      </c>
    </row>
    <row r="845">
      <c r="A845" s="32">
        <f t="shared" si="2"/>
        <v>45040</v>
      </c>
      <c r="B845" s="30" t="s">
        <v>14</v>
      </c>
      <c r="C845" s="31">
        <v>555.0</v>
      </c>
      <c r="D845" s="31">
        <f t="shared" si="1"/>
        <v>1</v>
      </c>
    </row>
    <row r="846">
      <c r="A846" s="32">
        <f t="shared" si="2"/>
        <v>45041</v>
      </c>
      <c r="B846" s="30" t="s">
        <v>14</v>
      </c>
      <c r="C846" s="31">
        <v>770.0</v>
      </c>
      <c r="D846" s="31">
        <f t="shared" si="1"/>
        <v>1</v>
      </c>
    </row>
    <row r="847">
      <c r="A847" s="32">
        <f t="shared" si="2"/>
        <v>45042</v>
      </c>
      <c r="B847" s="30" t="s">
        <v>15</v>
      </c>
      <c r="C847" s="31">
        <v>880.0</v>
      </c>
      <c r="D847" s="31">
        <f t="shared" si="1"/>
        <v>1</v>
      </c>
    </row>
    <row r="848">
      <c r="A848" s="32">
        <f t="shared" si="2"/>
        <v>45043</v>
      </c>
      <c r="B848" s="30" t="s">
        <v>14</v>
      </c>
      <c r="C848" s="31">
        <v>830.0</v>
      </c>
      <c r="D848" s="31">
        <f t="shared" si="1"/>
        <v>1</v>
      </c>
    </row>
    <row r="849">
      <c r="A849" s="32">
        <f t="shared" si="2"/>
        <v>45044</v>
      </c>
      <c r="B849" s="30" t="s">
        <v>15</v>
      </c>
      <c r="C849" s="31">
        <v>870.0</v>
      </c>
      <c r="D849" s="31">
        <f t="shared" si="1"/>
        <v>1</v>
      </c>
    </row>
    <row r="850">
      <c r="A850" s="32">
        <f t="shared" si="2"/>
        <v>45045</v>
      </c>
      <c r="B850" s="30" t="s">
        <v>16</v>
      </c>
      <c r="C850" s="31" t="s">
        <v>17</v>
      </c>
      <c r="D850" s="31">
        <f t="shared" si="1"/>
        <v>1</v>
      </c>
    </row>
    <row r="851">
      <c r="A851" s="32">
        <f t="shared" si="2"/>
        <v>45046</v>
      </c>
      <c r="B851" s="30" t="s">
        <v>14</v>
      </c>
      <c r="C851" s="31">
        <v>770.0</v>
      </c>
      <c r="D851" s="31">
        <f t="shared" si="1"/>
        <v>1</v>
      </c>
    </row>
    <row r="852">
      <c r="A852" s="32">
        <f t="shared" si="2"/>
        <v>45047</v>
      </c>
      <c r="B852" s="30" t="s">
        <v>14</v>
      </c>
      <c r="C852" s="31">
        <v>525.0</v>
      </c>
      <c r="D852" s="31">
        <f t="shared" si="1"/>
        <v>1</v>
      </c>
    </row>
    <row r="853">
      <c r="A853" s="32">
        <f t="shared" si="2"/>
        <v>45048</v>
      </c>
      <c r="B853" s="30" t="s">
        <v>15</v>
      </c>
      <c r="C853" s="31">
        <v>610.0</v>
      </c>
      <c r="D853" s="31">
        <f t="shared" si="1"/>
        <v>1</v>
      </c>
    </row>
    <row r="854">
      <c r="A854" s="32">
        <f t="shared" si="2"/>
        <v>45049</v>
      </c>
      <c r="B854" s="30" t="s">
        <v>15</v>
      </c>
      <c r="C854" s="31">
        <v>585.0</v>
      </c>
      <c r="D854" s="31">
        <f t="shared" si="1"/>
        <v>1</v>
      </c>
    </row>
    <row r="855">
      <c r="A855" s="32">
        <f t="shared" si="2"/>
        <v>45050</v>
      </c>
      <c r="B855" s="30" t="s">
        <v>16</v>
      </c>
      <c r="C855" s="31" t="s">
        <v>17</v>
      </c>
      <c r="D855" s="31">
        <f t="shared" si="1"/>
        <v>1</v>
      </c>
    </row>
    <row r="856">
      <c r="A856" s="32">
        <f t="shared" si="2"/>
        <v>45051</v>
      </c>
      <c r="B856" s="30" t="s">
        <v>14</v>
      </c>
      <c r="C856" s="31">
        <v>760.0</v>
      </c>
      <c r="D856" s="31">
        <f t="shared" si="1"/>
        <v>1</v>
      </c>
    </row>
    <row r="857">
      <c r="A857" s="32">
        <f t="shared" si="2"/>
        <v>45052</v>
      </c>
      <c r="B857" s="30" t="s">
        <v>15</v>
      </c>
      <c r="C857" s="31">
        <v>615.0</v>
      </c>
      <c r="D857" s="31">
        <f t="shared" si="1"/>
        <v>1</v>
      </c>
    </row>
    <row r="858">
      <c r="A858" s="32">
        <f t="shared" si="2"/>
        <v>45053</v>
      </c>
      <c r="B858" s="30" t="s">
        <v>14</v>
      </c>
      <c r="C858" s="31">
        <v>630.0</v>
      </c>
      <c r="D858" s="31">
        <f t="shared" si="1"/>
        <v>1</v>
      </c>
    </row>
    <row r="859">
      <c r="A859" s="32">
        <f t="shared" si="2"/>
        <v>45054</v>
      </c>
      <c r="B859" s="30" t="s">
        <v>14</v>
      </c>
      <c r="C859" s="31">
        <v>795.0</v>
      </c>
      <c r="D859" s="31">
        <f t="shared" si="1"/>
        <v>1</v>
      </c>
    </row>
    <row r="860">
      <c r="A860" s="32">
        <f t="shared" si="2"/>
        <v>45055</v>
      </c>
      <c r="B860" s="30" t="s">
        <v>14</v>
      </c>
      <c r="C860" s="31">
        <v>725.0</v>
      </c>
      <c r="D860" s="31">
        <f t="shared" si="1"/>
        <v>1</v>
      </c>
    </row>
    <row r="861">
      <c r="A861" s="32">
        <f t="shared" si="2"/>
        <v>45056</v>
      </c>
      <c r="B861" s="30" t="s">
        <v>15</v>
      </c>
      <c r="C861" s="31">
        <v>540.0</v>
      </c>
      <c r="D861" s="31">
        <f t="shared" si="1"/>
        <v>1</v>
      </c>
    </row>
    <row r="862">
      <c r="A862" s="32">
        <f t="shared" si="2"/>
        <v>45057</v>
      </c>
      <c r="B862" s="30" t="s">
        <v>14</v>
      </c>
      <c r="C862" s="31">
        <v>910.0</v>
      </c>
      <c r="D862" s="31">
        <f t="shared" si="1"/>
        <v>1</v>
      </c>
    </row>
    <row r="863">
      <c r="A863" s="32">
        <f t="shared" si="2"/>
        <v>45058</v>
      </c>
      <c r="B863" s="30" t="s">
        <v>14</v>
      </c>
      <c r="C863" s="31">
        <v>645.0</v>
      </c>
      <c r="D863" s="31">
        <f t="shared" si="1"/>
        <v>1</v>
      </c>
    </row>
    <row r="864">
      <c r="A864" s="32">
        <f t="shared" si="2"/>
        <v>45059</v>
      </c>
      <c r="B864" s="30" t="s">
        <v>15</v>
      </c>
      <c r="C864" s="31">
        <v>860.0</v>
      </c>
      <c r="D864" s="31">
        <f t="shared" si="1"/>
        <v>1</v>
      </c>
    </row>
    <row r="865">
      <c r="A865" s="32">
        <f t="shared" si="2"/>
        <v>45060</v>
      </c>
      <c r="B865" s="30" t="s">
        <v>16</v>
      </c>
      <c r="C865" s="31" t="s">
        <v>17</v>
      </c>
      <c r="D865" s="31">
        <f t="shared" si="1"/>
        <v>1</v>
      </c>
    </row>
    <row r="866">
      <c r="A866" s="32">
        <f t="shared" si="2"/>
        <v>45061</v>
      </c>
      <c r="B866" s="30" t="s">
        <v>14</v>
      </c>
      <c r="C866" s="31">
        <v>675.0</v>
      </c>
      <c r="D866" s="31">
        <f t="shared" si="1"/>
        <v>1</v>
      </c>
    </row>
    <row r="867">
      <c r="A867" s="32">
        <f t="shared" si="2"/>
        <v>45062</v>
      </c>
      <c r="B867" s="30" t="s">
        <v>13</v>
      </c>
      <c r="C867" s="31">
        <v>850.0</v>
      </c>
      <c r="D867" s="31">
        <f t="shared" si="1"/>
        <v>1</v>
      </c>
    </row>
    <row r="868">
      <c r="A868" s="32">
        <f t="shared" si="2"/>
        <v>45063</v>
      </c>
      <c r="B868" s="30" t="s">
        <v>14</v>
      </c>
      <c r="C868" s="31">
        <v>500.0</v>
      </c>
      <c r="D868" s="31">
        <f t="shared" si="1"/>
        <v>1</v>
      </c>
    </row>
    <row r="869">
      <c r="A869" s="32">
        <f t="shared" si="2"/>
        <v>45064</v>
      </c>
      <c r="B869" s="30" t="s">
        <v>14</v>
      </c>
      <c r="C869" s="31">
        <v>810.0</v>
      </c>
      <c r="D869" s="31">
        <f t="shared" si="1"/>
        <v>1</v>
      </c>
    </row>
    <row r="870">
      <c r="A870" s="32">
        <f t="shared" si="2"/>
        <v>45065</v>
      </c>
      <c r="B870" s="30" t="s">
        <v>14</v>
      </c>
      <c r="C870" s="31">
        <v>635.0</v>
      </c>
      <c r="D870" s="31">
        <f t="shared" si="1"/>
        <v>1</v>
      </c>
    </row>
    <row r="871">
      <c r="A871" s="32">
        <f t="shared" si="2"/>
        <v>45066</v>
      </c>
      <c r="B871" s="30" t="s">
        <v>15</v>
      </c>
      <c r="C871" s="31">
        <v>900.0</v>
      </c>
      <c r="D871" s="31">
        <f t="shared" si="1"/>
        <v>1</v>
      </c>
    </row>
    <row r="872">
      <c r="A872" s="32">
        <f t="shared" si="2"/>
        <v>45067</v>
      </c>
      <c r="B872" s="30" t="s">
        <v>16</v>
      </c>
      <c r="C872" s="31" t="s">
        <v>17</v>
      </c>
      <c r="D872" s="31">
        <f t="shared" si="1"/>
        <v>1</v>
      </c>
    </row>
    <row r="873">
      <c r="A873" s="32">
        <f t="shared" si="2"/>
        <v>45068</v>
      </c>
      <c r="B873" s="30" t="s">
        <v>13</v>
      </c>
      <c r="C873" s="31">
        <v>715.0</v>
      </c>
      <c r="D873" s="31">
        <f t="shared" si="1"/>
        <v>1</v>
      </c>
    </row>
    <row r="874">
      <c r="A874" s="32">
        <f t="shared" si="2"/>
        <v>45069</v>
      </c>
      <c r="B874" s="30" t="s">
        <v>14</v>
      </c>
      <c r="C874" s="31">
        <v>895.0</v>
      </c>
      <c r="D874" s="31">
        <f t="shared" si="1"/>
        <v>1</v>
      </c>
    </row>
    <row r="875">
      <c r="A875" s="32">
        <f t="shared" si="2"/>
        <v>45070</v>
      </c>
      <c r="B875" s="30" t="s">
        <v>14</v>
      </c>
      <c r="C875" s="31">
        <v>660.0</v>
      </c>
      <c r="D875" s="31">
        <f t="shared" si="1"/>
        <v>1</v>
      </c>
    </row>
    <row r="876">
      <c r="A876" s="32">
        <f t="shared" si="2"/>
        <v>45071</v>
      </c>
      <c r="B876" s="30" t="s">
        <v>15</v>
      </c>
      <c r="C876" s="31">
        <v>635.0</v>
      </c>
      <c r="D876" s="31">
        <f t="shared" si="1"/>
        <v>1</v>
      </c>
    </row>
    <row r="877">
      <c r="A877" s="32">
        <f t="shared" si="2"/>
        <v>45072</v>
      </c>
      <c r="B877" s="30" t="s">
        <v>15</v>
      </c>
      <c r="C877" s="31">
        <v>625.0</v>
      </c>
      <c r="D877" s="31">
        <f t="shared" si="1"/>
        <v>1</v>
      </c>
    </row>
    <row r="878">
      <c r="A878" s="32">
        <f t="shared" si="2"/>
        <v>45073</v>
      </c>
      <c r="B878" s="30" t="s">
        <v>16</v>
      </c>
      <c r="C878" s="31" t="s">
        <v>17</v>
      </c>
      <c r="D878" s="31">
        <f t="shared" si="1"/>
        <v>1</v>
      </c>
    </row>
    <row r="879">
      <c r="A879" s="32">
        <f t="shared" si="2"/>
        <v>45074</v>
      </c>
      <c r="B879" s="30" t="s">
        <v>14</v>
      </c>
      <c r="C879" s="31">
        <v>920.0</v>
      </c>
      <c r="D879" s="31">
        <f t="shared" si="1"/>
        <v>1</v>
      </c>
    </row>
    <row r="880">
      <c r="A880" s="32">
        <f t="shared" si="2"/>
        <v>45075</v>
      </c>
      <c r="B880" s="30" t="s">
        <v>14</v>
      </c>
      <c r="C880" s="31">
        <v>645.0</v>
      </c>
      <c r="D880" s="31">
        <f t="shared" si="1"/>
        <v>1</v>
      </c>
    </row>
    <row r="881">
      <c r="A881" s="32">
        <f t="shared" si="2"/>
        <v>45076</v>
      </c>
      <c r="B881" s="30" t="s">
        <v>13</v>
      </c>
      <c r="C881" s="31">
        <v>985.0</v>
      </c>
      <c r="D881" s="31">
        <f t="shared" si="1"/>
        <v>1</v>
      </c>
    </row>
    <row r="882">
      <c r="A882" s="32">
        <f t="shared" si="2"/>
        <v>45077</v>
      </c>
      <c r="B882" s="30" t="s">
        <v>14</v>
      </c>
      <c r="C882" s="31">
        <v>890.0</v>
      </c>
      <c r="D882" s="31">
        <f t="shared" si="1"/>
        <v>1</v>
      </c>
    </row>
    <row r="883">
      <c r="A883" s="32">
        <f t="shared" si="2"/>
        <v>45078</v>
      </c>
      <c r="B883" s="30" t="s">
        <v>14</v>
      </c>
      <c r="C883" s="31">
        <v>520.0</v>
      </c>
      <c r="D883" s="31">
        <f t="shared" si="1"/>
        <v>1</v>
      </c>
    </row>
    <row r="884">
      <c r="A884" s="32">
        <f t="shared" si="2"/>
        <v>45079</v>
      </c>
      <c r="B884" s="30" t="s">
        <v>15</v>
      </c>
      <c r="C884" s="31">
        <v>515.0</v>
      </c>
      <c r="D884" s="31">
        <f t="shared" si="1"/>
        <v>1</v>
      </c>
    </row>
    <row r="885">
      <c r="A885" s="32">
        <f t="shared" si="2"/>
        <v>45080</v>
      </c>
      <c r="B885" s="30" t="s">
        <v>14</v>
      </c>
      <c r="C885" s="31">
        <v>575.0</v>
      </c>
      <c r="D885" s="31">
        <f t="shared" si="1"/>
        <v>1</v>
      </c>
    </row>
    <row r="886">
      <c r="A886" s="32">
        <f t="shared" si="2"/>
        <v>45081</v>
      </c>
      <c r="B886" s="30" t="s">
        <v>15</v>
      </c>
      <c r="C886" s="31">
        <v>835.0</v>
      </c>
      <c r="D886" s="31">
        <f t="shared" si="1"/>
        <v>1</v>
      </c>
    </row>
    <row r="887">
      <c r="A887" s="32">
        <f t="shared" si="2"/>
        <v>45082</v>
      </c>
      <c r="B887" s="30" t="s">
        <v>16</v>
      </c>
      <c r="C887" s="31" t="s">
        <v>17</v>
      </c>
      <c r="D887" s="31">
        <f t="shared" si="1"/>
        <v>1</v>
      </c>
    </row>
    <row r="888">
      <c r="A888" s="32">
        <f t="shared" si="2"/>
        <v>45083</v>
      </c>
      <c r="B888" s="30" t="s">
        <v>14</v>
      </c>
      <c r="C888" s="31">
        <v>830.0</v>
      </c>
      <c r="D888" s="31">
        <f t="shared" si="1"/>
        <v>1</v>
      </c>
    </row>
    <row r="889">
      <c r="A889" s="32">
        <f t="shared" si="2"/>
        <v>45084</v>
      </c>
      <c r="B889" s="30" t="s">
        <v>13</v>
      </c>
      <c r="C889" s="31">
        <v>710.0</v>
      </c>
      <c r="D889" s="31">
        <f t="shared" si="1"/>
        <v>1</v>
      </c>
    </row>
    <row r="890">
      <c r="A890" s="32">
        <f t="shared" si="2"/>
        <v>45085</v>
      </c>
      <c r="B890" s="30" t="s">
        <v>14</v>
      </c>
      <c r="C890" s="31">
        <v>970.0</v>
      </c>
      <c r="D890" s="31">
        <f t="shared" si="1"/>
        <v>1</v>
      </c>
    </row>
    <row r="891">
      <c r="A891" s="32">
        <f t="shared" si="2"/>
        <v>45086</v>
      </c>
      <c r="B891" s="30" t="s">
        <v>14</v>
      </c>
      <c r="C891" s="31">
        <v>805.0</v>
      </c>
      <c r="D891" s="31">
        <f t="shared" si="1"/>
        <v>1</v>
      </c>
    </row>
    <row r="892">
      <c r="A892" s="32">
        <f t="shared" si="2"/>
        <v>45087</v>
      </c>
      <c r="B892" s="30" t="s">
        <v>14</v>
      </c>
      <c r="C892" s="31">
        <v>550.0</v>
      </c>
      <c r="D892" s="31">
        <f t="shared" si="1"/>
        <v>1</v>
      </c>
    </row>
    <row r="893">
      <c r="A893" s="32">
        <f t="shared" si="2"/>
        <v>45088</v>
      </c>
      <c r="B893" s="30" t="s">
        <v>15</v>
      </c>
      <c r="C893" s="31">
        <v>830.0</v>
      </c>
      <c r="D893" s="31">
        <f t="shared" si="1"/>
        <v>1</v>
      </c>
    </row>
    <row r="894">
      <c r="A894" s="32">
        <f t="shared" si="2"/>
        <v>45089</v>
      </c>
      <c r="B894" s="30" t="s">
        <v>16</v>
      </c>
      <c r="C894" s="31" t="s">
        <v>17</v>
      </c>
      <c r="D894" s="31">
        <f t="shared" si="1"/>
        <v>1</v>
      </c>
    </row>
    <row r="895">
      <c r="A895" s="32">
        <f t="shared" si="2"/>
        <v>45090</v>
      </c>
      <c r="B895" s="30" t="s">
        <v>14</v>
      </c>
      <c r="C895" s="31">
        <v>500.0</v>
      </c>
      <c r="D895" s="31">
        <f t="shared" si="1"/>
        <v>1</v>
      </c>
    </row>
    <row r="896">
      <c r="A896" s="32">
        <f t="shared" si="2"/>
        <v>45091</v>
      </c>
      <c r="B896" s="30" t="s">
        <v>15</v>
      </c>
      <c r="C896" s="31">
        <v>820.0</v>
      </c>
      <c r="D896" s="31">
        <f t="shared" si="1"/>
        <v>1</v>
      </c>
    </row>
    <row r="897">
      <c r="A897" s="32">
        <f t="shared" si="2"/>
        <v>45092</v>
      </c>
      <c r="B897" s="30" t="s">
        <v>14</v>
      </c>
      <c r="C897" s="31">
        <v>710.0</v>
      </c>
      <c r="D897" s="31">
        <f t="shared" si="1"/>
        <v>1</v>
      </c>
    </row>
    <row r="898">
      <c r="A898" s="32">
        <f t="shared" si="2"/>
        <v>45093</v>
      </c>
      <c r="B898" s="30" t="s">
        <v>14</v>
      </c>
      <c r="C898" s="31">
        <v>645.0</v>
      </c>
      <c r="D898" s="31">
        <f t="shared" si="1"/>
        <v>1</v>
      </c>
    </row>
    <row r="899">
      <c r="A899" s="32">
        <f t="shared" si="2"/>
        <v>45094</v>
      </c>
      <c r="B899" s="30" t="s">
        <v>15</v>
      </c>
      <c r="C899" s="31">
        <v>880.0</v>
      </c>
      <c r="D899" s="31">
        <f t="shared" si="1"/>
        <v>1</v>
      </c>
    </row>
    <row r="900">
      <c r="A900" s="32">
        <f t="shared" si="2"/>
        <v>45095</v>
      </c>
      <c r="B900" s="30" t="s">
        <v>14</v>
      </c>
      <c r="C900" s="31">
        <v>790.0</v>
      </c>
      <c r="D900" s="31">
        <f t="shared" si="1"/>
        <v>1</v>
      </c>
    </row>
    <row r="901">
      <c r="A901" s="32">
        <f t="shared" si="2"/>
        <v>45096</v>
      </c>
      <c r="B901" s="30" t="s">
        <v>13</v>
      </c>
      <c r="C901" s="31">
        <v>685.0</v>
      </c>
      <c r="D901" s="31">
        <f t="shared" si="1"/>
        <v>1</v>
      </c>
    </row>
    <row r="902">
      <c r="A902" s="32">
        <f t="shared" si="2"/>
        <v>45097</v>
      </c>
      <c r="B902" s="30" t="s">
        <v>16</v>
      </c>
      <c r="C902" s="31" t="s">
        <v>17</v>
      </c>
      <c r="D902" s="31">
        <f t="shared" si="1"/>
        <v>1</v>
      </c>
    </row>
    <row r="903">
      <c r="A903" s="32">
        <f t="shared" si="2"/>
        <v>45098</v>
      </c>
      <c r="B903" s="30" t="s">
        <v>14</v>
      </c>
      <c r="C903" s="31">
        <v>820.0</v>
      </c>
      <c r="D903" s="31">
        <f t="shared" si="1"/>
        <v>1</v>
      </c>
    </row>
    <row r="904">
      <c r="A904" s="32">
        <f t="shared" si="2"/>
        <v>45099</v>
      </c>
      <c r="B904" s="30" t="s">
        <v>14</v>
      </c>
      <c r="C904" s="31">
        <v>765.0</v>
      </c>
      <c r="D904" s="31">
        <f t="shared" si="1"/>
        <v>1</v>
      </c>
    </row>
    <row r="905">
      <c r="A905" s="32">
        <f t="shared" si="2"/>
        <v>45100</v>
      </c>
      <c r="B905" s="30" t="s">
        <v>15</v>
      </c>
      <c r="C905" s="31">
        <v>605.0</v>
      </c>
      <c r="D905" s="31">
        <f t="shared" si="1"/>
        <v>1</v>
      </c>
    </row>
    <row r="906">
      <c r="A906" s="32">
        <f t="shared" si="2"/>
        <v>45101</v>
      </c>
      <c r="B906" s="30" t="s">
        <v>15</v>
      </c>
      <c r="C906" s="31">
        <v>925.0</v>
      </c>
      <c r="D906" s="31">
        <f t="shared" si="1"/>
        <v>1</v>
      </c>
    </row>
    <row r="907">
      <c r="A907" s="32">
        <f t="shared" si="2"/>
        <v>45102</v>
      </c>
      <c r="B907" s="30" t="s">
        <v>16</v>
      </c>
      <c r="C907" s="31" t="s">
        <v>17</v>
      </c>
      <c r="D907" s="31">
        <f t="shared" si="1"/>
        <v>1</v>
      </c>
    </row>
    <row r="908">
      <c r="A908" s="32">
        <f t="shared" si="2"/>
        <v>45103</v>
      </c>
      <c r="B908" s="30" t="s">
        <v>14</v>
      </c>
      <c r="C908" s="31">
        <v>575.0</v>
      </c>
      <c r="D908" s="31">
        <f t="shared" si="1"/>
        <v>1</v>
      </c>
    </row>
    <row r="909">
      <c r="A909" s="32">
        <f t="shared" si="2"/>
        <v>45104</v>
      </c>
      <c r="B909" s="30" t="s">
        <v>13</v>
      </c>
      <c r="C909" s="31">
        <v>840.0</v>
      </c>
      <c r="D909" s="31">
        <f t="shared" si="1"/>
        <v>1</v>
      </c>
    </row>
    <row r="910">
      <c r="A910" s="32">
        <f t="shared" si="2"/>
        <v>45105</v>
      </c>
      <c r="B910" s="30" t="s">
        <v>14</v>
      </c>
      <c r="C910" s="31">
        <v>810.0</v>
      </c>
      <c r="D910" s="31">
        <f t="shared" si="1"/>
        <v>1</v>
      </c>
    </row>
    <row r="911">
      <c r="A911" s="32">
        <f t="shared" si="2"/>
        <v>45106</v>
      </c>
      <c r="B911" s="30" t="s">
        <v>14</v>
      </c>
      <c r="C911" s="31">
        <v>635.0</v>
      </c>
      <c r="D911" s="31">
        <f t="shared" si="1"/>
        <v>1</v>
      </c>
    </row>
    <row r="912">
      <c r="A912" s="32">
        <f t="shared" si="2"/>
        <v>45107</v>
      </c>
      <c r="B912" s="30" t="s">
        <v>15</v>
      </c>
      <c r="C912" s="31">
        <v>620.0</v>
      </c>
      <c r="D912" s="31">
        <f t="shared" si="1"/>
        <v>1</v>
      </c>
    </row>
    <row r="913">
      <c r="A913" s="32">
        <f t="shared" si="2"/>
        <v>45108</v>
      </c>
      <c r="B913" s="30" t="s">
        <v>14</v>
      </c>
      <c r="C913" s="31">
        <v>865.0</v>
      </c>
      <c r="D913" s="31">
        <f t="shared" si="1"/>
        <v>1</v>
      </c>
    </row>
    <row r="914">
      <c r="A914" s="32">
        <f t="shared" si="2"/>
        <v>45109</v>
      </c>
      <c r="B914" s="30" t="s">
        <v>15</v>
      </c>
      <c r="C914" s="31">
        <v>705.0</v>
      </c>
      <c r="D914" s="31">
        <f t="shared" si="1"/>
        <v>1</v>
      </c>
    </row>
    <row r="915">
      <c r="A915" s="32">
        <f t="shared" si="2"/>
        <v>45110</v>
      </c>
      <c r="B915" s="30" t="s">
        <v>16</v>
      </c>
      <c r="C915" s="31" t="s">
        <v>17</v>
      </c>
      <c r="D915" s="31">
        <f t="shared" si="1"/>
        <v>1</v>
      </c>
    </row>
    <row r="916">
      <c r="A916" s="32">
        <f t="shared" si="2"/>
        <v>45111</v>
      </c>
      <c r="B916" s="30" t="s">
        <v>13</v>
      </c>
      <c r="C916" s="31">
        <v>810.0</v>
      </c>
      <c r="D916" s="31">
        <f t="shared" si="1"/>
        <v>1</v>
      </c>
    </row>
    <row r="917">
      <c r="A917" s="32">
        <f t="shared" si="2"/>
        <v>45112</v>
      </c>
      <c r="B917" s="30" t="s">
        <v>14</v>
      </c>
      <c r="C917" s="31">
        <v>950.0</v>
      </c>
      <c r="D917" s="31">
        <f t="shared" si="1"/>
        <v>1</v>
      </c>
    </row>
    <row r="918">
      <c r="A918" s="32">
        <f t="shared" si="2"/>
        <v>45113</v>
      </c>
      <c r="B918" s="30" t="s">
        <v>14</v>
      </c>
      <c r="C918" s="31">
        <v>570.0</v>
      </c>
      <c r="D918" s="31">
        <f t="shared" si="1"/>
        <v>1</v>
      </c>
    </row>
    <row r="919">
      <c r="A919" s="32">
        <f t="shared" si="2"/>
        <v>45114</v>
      </c>
      <c r="B919" s="30" t="s">
        <v>14</v>
      </c>
      <c r="C919" s="31">
        <v>635.0</v>
      </c>
      <c r="D919" s="31">
        <f t="shared" si="1"/>
        <v>1</v>
      </c>
    </row>
    <row r="920">
      <c r="A920" s="32">
        <f t="shared" si="2"/>
        <v>45115</v>
      </c>
      <c r="B920" s="30" t="s">
        <v>15</v>
      </c>
      <c r="C920" s="31">
        <v>740.0</v>
      </c>
      <c r="D920" s="31">
        <f t="shared" si="1"/>
        <v>1</v>
      </c>
    </row>
    <row r="921">
      <c r="A921" s="32">
        <f t="shared" si="2"/>
        <v>45116</v>
      </c>
      <c r="B921" s="30" t="s">
        <v>15</v>
      </c>
      <c r="C921" s="31">
        <v>645.0</v>
      </c>
      <c r="D921" s="31">
        <f t="shared" si="1"/>
        <v>1</v>
      </c>
    </row>
    <row r="922">
      <c r="A922" s="32">
        <f t="shared" si="2"/>
        <v>45117</v>
      </c>
      <c r="B922" s="30" t="s">
        <v>16</v>
      </c>
      <c r="C922" s="31" t="s">
        <v>17</v>
      </c>
      <c r="D922" s="31">
        <f t="shared" si="1"/>
        <v>1</v>
      </c>
    </row>
    <row r="923">
      <c r="A923" s="32">
        <f t="shared" si="2"/>
        <v>45118</v>
      </c>
      <c r="B923" s="30" t="s">
        <v>14</v>
      </c>
      <c r="C923" s="31">
        <v>520.0</v>
      </c>
      <c r="D923" s="31">
        <f t="shared" si="1"/>
        <v>1</v>
      </c>
    </row>
    <row r="924">
      <c r="A924" s="32">
        <f t="shared" si="2"/>
        <v>45119</v>
      </c>
      <c r="B924" s="30" t="s">
        <v>15</v>
      </c>
      <c r="C924" s="31">
        <v>925.0</v>
      </c>
      <c r="D924" s="31">
        <f t="shared" si="1"/>
        <v>1</v>
      </c>
    </row>
    <row r="925">
      <c r="A925" s="32">
        <f t="shared" si="2"/>
        <v>45120</v>
      </c>
      <c r="B925" s="30" t="s">
        <v>14</v>
      </c>
      <c r="C925" s="31">
        <v>595.0</v>
      </c>
      <c r="D925" s="31">
        <f t="shared" si="1"/>
        <v>1</v>
      </c>
    </row>
    <row r="926">
      <c r="A926" s="32">
        <f t="shared" si="2"/>
        <v>45121</v>
      </c>
      <c r="B926" s="30" t="s">
        <v>14</v>
      </c>
      <c r="C926" s="31">
        <v>885.0</v>
      </c>
      <c r="D926" s="31">
        <f t="shared" si="1"/>
        <v>1</v>
      </c>
    </row>
    <row r="927">
      <c r="A927" s="32">
        <f t="shared" si="2"/>
        <v>45122</v>
      </c>
      <c r="B927" s="30" t="s">
        <v>14</v>
      </c>
      <c r="C927" s="31">
        <v>585.0</v>
      </c>
      <c r="D927" s="31">
        <f t="shared" si="1"/>
        <v>1</v>
      </c>
    </row>
    <row r="928">
      <c r="A928" s="32">
        <f t="shared" si="2"/>
        <v>45123</v>
      </c>
      <c r="B928" s="30" t="s">
        <v>15</v>
      </c>
      <c r="C928" s="31">
        <v>670.0</v>
      </c>
      <c r="D928" s="31">
        <f t="shared" si="1"/>
        <v>1</v>
      </c>
    </row>
    <row r="929">
      <c r="A929" s="32">
        <f t="shared" si="2"/>
        <v>45124</v>
      </c>
      <c r="B929" s="30" t="s">
        <v>14</v>
      </c>
      <c r="C929" s="31">
        <v>840.0</v>
      </c>
      <c r="D929" s="31">
        <f t="shared" si="1"/>
        <v>1</v>
      </c>
    </row>
    <row r="930">
      <c r="A930" s="32">
        <f t="shared" si="2"/>
        <v>45125</v>
      </c>
      <c r="B930" s="30" t="s">
        <v>14</v>
      </c>
      <c r="C930" s="31">
        <v>870.0</v>
      </c>
      <c r="D930" s="31">
        <f t="shared" si="1"/>
        <v>1</v>
      </c>
    </row>
    <row r="931">
      <c r="A931" s="32">
        <f t="shared" si="2"/>
        <v>45126</v>
      </c>
      <c r="B931" s="30" t="s">
        <v>15</v>
      </c>
      <c r="C931" s="31">
        <v>945.0</v>
      </c>
      <c r="D931" s="31">
        <f t="shared" si="1"/>
        <v>1</v>
      </c>
    </row>
    <row r="932">
      <c r="A932" s="32">
        <f t="shared" si="2"/>
        <v>45127</v>
      </c>
      <c r="B932" s="30" t="s">
        <v>16</v>
      </c>
      <c r="C932" s="31" t="s">
        <v>17</v>
      </c>
      <c r="D932" s="31">
        <f t="shared" si="1"/>
        <v>1</v>
      </c>
    </row>
    <row r="933">
      <c r="A933" s="32">
        <f t="shared" si="2"/>
        <v>45128</v>
      </c>
      <c r="B933" s="30" t="s">
        <v>14</v>
      </c>
      <c r="C933" s="31">
        <v>940.0</v>
      </c>
      <c r="D933" s="31">
        <f t="shared" si="1"/>
        <v>1</v>
      </c>
    </row>
    <row r="934">
      <c r="A934" s="32">
        <f t="shared" si="2"/>
        <v>45129</v>
      </c>
      <c r="B934" s="30" t="s">
        <v>13</v>
      </c>
      <c r="C934" s="31">
        <v>795.0</v>
      </c>
      <c r="D934" s="31">
        <f t="shared" si="1"/>
        <v>1</v>
      </c>
    </row>
    <row r="935">
      <c r="A935" s="32">
        <f t="shared" si="2"/>
        <v>45130</v>
      </c>
      <c r="B935" s="30" t="s">
        <v>14</v>
      </c>
      <c r="C935" s="31">
        <v>520.0</v>
      </c>
      <c r="D935" s="31">
        <f t="shared" si="1"/>
        <v>1</v>
      </c>
    </row>
    <row r="936">
      <c r="A936" s="32">
        <f t="shared" si="2"/>
        <v>45131</v>
      </c>
      <c r="B936" s="30" t="s">
        <v>14</v>
      </c>
      <c r="C936" s="31">
        <v>590.0</v>
      </c>
      <c r="D936" s="31">
        <f t="shared" si="1"/>
        <v>1</v>
      </c>
    </row>
    <row r="937">
      <c r="A937" s="32">
        <f t="shared" si="2"/>
        <v>45132</v>
      </c>
      <c r="B937" s="30" t="s">
        <v>14</v>
      </c>
      <c r="C937" s="31">
        <v>925.0</v>
      </c>
      <c r="D937" s="31">
        <f t="shared" si="1"/>
        <v>1</v>
      </c>
    </row>
    <row r="938">
      <c r="A938" s="32">
        <f t="shared" si="2"/>
        <v>45133</v>
      </c>
      <c r="B938" s="30" t="s">
        <v>15</v>
      </c>
      <c r="C938" s="31">
        <v>520.0</v>
      </c>
      <c r="D938" s="31">
        <f t="shared" si="1"/>
        <v>1</v>
      </c>
    </row>
    <row r="939">
      <c r="A939" s="32">
        <f t="shared" si="2"/>
        <v>45134</v>
      </c>
      <c r="B939" s="30" t="s">
        <v>16</v>
      </c>
      <c r="C939" s="31" t="s">
        <v>17</v>
      </c>
      <c r="D939" s="31">
        <f t="shared" si="1"/>
        <v>1</v>
      </c>
    </row>
    <row r="940">
      <c r="A940" s="32">
        <f t="shared" si="2"/>
        <v>45135</v>
      </c>
      <c r="B940" s="30" t="s">
        <v>13</v>
      </c>
      <c r="C940" s="31">
        <v>710.0</v>
      </c>
      <c r="D940" s="31">
        <f t="shared" si="1"/>
        <v>1</v>
      </c>
    </row>
    <row r="941">
      <c r="A941" s="32">
        <f t="shared" si="2"/>
        <v>45136</v>
      </c>
      <c r="B941" s="30" t="s">
        <v>14</v>
      </c>
      <c r="C941" s="31">
        <v>975.0</v>
      </c>
      <c r="D941" s="31">
        <f t="shared" si="1"/>
        <v>1</v>
      </c>
    </row>
    <row r="942">
      <c r="A942" s="32">
        <f t="shared" si="2"/>
        <v>45137</v>
      </c>
      <c r="B942" s="30" t="s">
        <v>14</v>
      </c>
      <c r="C942" s="31">
        <v>725.0</v>
      </c>
      <c r="D942" s="31">
        <f t="shared" si="1"/>
        <v>1</v>
      </c>
    </row>
    <row r="943">
      <c r="A943" s="32">
        <f t="shared" si="2"/>
        <v>45138</v>
      </c>
      <c r="B943" s="30" t="s">
        <v>15</v>
      </c>
      <c r="C943" s="31">
        <v>970.0</v>
      </c>
      <c r="D943" s="31">
        <f t="shared" si="1"/>
        <v>1</v>
      </c>
    </row>
    <row r="944">
      <c r="A944" s="32">
        <f t="shared" si="2"/>
        <v>45139</v>
      </c>
      <c r="B944" s="30" t="s">
        <v>15</v>
      </c>
      <c r="C944" s="31">
        <v>740.0</v>
      </c>
      <c r="D944" s="31">
        <f t="shared" si="1"/>
        <v>1</v>
      </c>
    </row>
    <row r="945">
      <c r="A945" s="32">
        <f t="shared" si="2"/>
        <v>45140</v>
      </c>
      <c r="B945" s="30" t="s">
        <v>16</v>
      </c>
      <c r="C945" s="31" t="s">
        <v>17</v>
      </c>
      <c r="D945" s="31">
        <f t="shared" si="1"/>
        <v>1</v>
      </c>
    </row>
    <row r="946">
      <c r="A946" s="32">
        <f t="shared" si="2"/>
        <v>45141</v>
      </c>
      <c r="B946" s="30" t="s">
        <v>14</v>
      </c>
      <c r="C946" s="31">
        <v>700.0</v>
      </c>
      <c r="D946" s="31">
        <f t="shared" si="1"/>
        <v>1</v>
      </c>
    </row>
    <row r="947">
      <c r="A947" s="32">
        <f t="shared" si="2"/>
        <v>45142</v>
      </c>
      <c r="B947" s="30" t="s">
        <v>14</v>
      </c>
      <c r="C947" s="31">
        <v>835.0</v>
      </c>
      <c r="D947" s="31">
        <f t="shared" si="1"/>
        <v>1</v>
      </c>
    </row>
    <row r="948">
      <c r="A948" s="32">
        <f t="shared" si="2"/>
        <v>45143</v>
      </c>
      <c r="B948" s="30" t="s">
        <v>13</v>
      </c>
      <c r="C948" s="31">
        <v>720.0</v>
      </c>
      <c r="D948" s="31">
        <f t="shared" si="1"/>
        <v>1</v>
      </c>
    </row>
    <row r="949">
      <c r="A949" s="32">
        <f t="shared" si="2"/>
        <v>45144</v>
      </c>
      <c r="B949" s="30" t="s">
        <v>14</v>
      </c>
      <c r="C949" s="31">
        <v>910.0</v>
      </c>
      <c r="D949" s="31">
        <f t="shared" si="1"/>
        <v>1</v>
      </c>
    </row>
    <row r="950">
      <c r="A950" s="32">
        <f t="shared" si="2"/>
        <v>45145</v>
      </c>
      <c r="B950" s="30" t="s">
        <v>14</v>
      </c>
      <c r="C950" s="31">
        <v>925.0</v>
      </c>
      <c r="D950" s="31">
        <f t="shared" si="1"/>
        <v>1</v>
      </c>
    </row>
    <row r="951">
      <c r="A951" s="32">
        <f t="shared" si="2"/>
        <v>45146</v>
      </c>
      <c r="B951" s="30" t="s">
        <v>15</v>
      </c>
      <c r="C951" s="31">
        <v>615.0</v>
      </c>
      <c r="D951" s="31">
        <f t="shared" si="1"/>
        <v>1</v>
      </c>
    </row>
    <row r="952">
      <c r="A952" s="32">
        <f t="shared" si="2"/>
        <v>45147</v>
      </c>
      <c r="B952" s="30" t="s">
        <v>14</v>
      </c>
      <c r="C952" s="31">
        <v>510.0</v>
      </c>
      <c r="D952" s="31">
        <f t="shared" si="1"/>
        <v>1</v>
      </c>
    </row>
    <row r="953">
      <c r="A953" s="32">
        <f t="shared" si="2"/>
        <v>45148</v>
      </c>
      <c r="B953" s="30" t="s">
        <v>15</v>
      </c>
      <c r="C953" s="31">
        <v>505.0</v>
      </c>
      <c r="D953" s="31">
        <f t="shared" si="1"/>
        <v>1</v>
      </c>
    </row>
    <row r="954">
      <c r="A954" s="32">
        <f t="shared" si="2"/>
        <v>45149</v>
      </c>
      <c r="B954" s="30" t="s">
        <v>16</v>
      </c>
      <c r="C954" s="31" t="s">
        <v>17</v>
      </c>
      <c r="D954" s="31">
        <f t="shared" si="1"/>
        <v>1</v>
      </c>
    </row>
    <row r="955">
      <c r="A955" s="32">
        <f t="shared" si="2"/>
        <v>45150</v>
      </c>
      <c r="B955" s="30" t="s">
        <v>14</v>
      </c>
      <c r="C955" s="31">
        <v>820.0</v>
      </c>
      <c r="D955" s="31">
        <f t="shared" si="1"/>
        <v>1</v>
      </c>
    </row>
    <row r="956">
      <c r="A956" s="32">
        <f t="shared" si="2"/>
        <v>45151</v>
      </c>
      <c r="B956" s="30" t="s">
        <v>13</v>
      </c>
      <c r="C956" s="31">
        <v>640.0</v>
      </c>
      <c r="D956" s="31">
        <f t="shared" si="1"/>
        <v>1</v>
      </c>
    </row>
    <row r="957">
      <c r="A957" s="32">
        <f t="shared" si="2"/>
        <v>45152</v>
      </c>
      <c r="B957" s="30" t="s">
        <v>14</v>
      </c>
      <c r="C957" s="31">
        <v>800.0</v>
      </c>
      <c r="D957" s="31">
        <f t="shared" si="1"/>
        <v>1</v>
      </c>
    </row>
    <row r="958">
      <c r="A958" s="32">
        <f t="shared" si="2"/>
        <v>45153</v>
      </c>
      <c r="B958" s="30" t="s">
        <v>14</v>
      </c>
      <c r="C958" s="31">
        <v>565.0</v>
      </c>
      <c r="D958" s="31">
        <f t="shared" si="1"/>
        <v>1</v>
      </c>
    </row>
    <row r="959">
      <c r="A959" s="32">
        <f t="shared" si="2"/>
        <v>45154</v>
      </c>
      <c r="B959" s="30" t="s">
        <v>14</v>
      </c>
      <c r="C959" s="31">
        <v>560.0</v>
      </c>
      <c r="D959" s="31">
        <f t="shared" si="1"/>
        <v>1</v>
      </c>
    </row>
    <row r="960">
      <c r="A960" s="32">
        <f t="shared" si="2"/>
        <v>45155</v>
      </c>
      <c r="B960" s="30" t="s">
        <v>15</v>
      </c>
      <c r="C960" s="31">
        <v>775.0</v>
      </c>
      <c r="D960" s="31">
        <f t="shared" si="1"/>
        <v>1</v>
      </c>
    </row>
    <row r="961">
      <c r="A961" s="32">
        <f t="shared" si="2"/>
        <v>45156</v>
      </c>
      <c r="B961" s="30" t="s">
        <v>16</v>
      </c>
      <c r="C961" s="31" t="s">
        <v>17</v>
      </c>
      <c r="D961" s="31">
        <f t="shared" si="1"/>
        <v>1</v>
      </c>
    </row>
    <row r="962">
      <c r="A962" s="32">
        <f t="shared" si="2"/>
        <v>45157</v>
      </c>
      <c r="B962" s="30" t="s">
        <v>14</v>
      </c>
      <c r="C962" s="31">
        <v>980.0</v>
      </c>
      <c r="D962" s="31">
        <f t="shared" si="1"/>
        <v>1</v>
      </c>
    </row>
    <row r="963">
      <c r="A963" s="32">
        <f t="shared" si="2"/>
        <v>45158</v>
      </c>
      <c r="B963" s="30" t="s">
        <v>15</v>
      </c>
      <c r="C963" s="31">
        <v>855.0</v>
      </c>
      <c r="D963" s="31">
        <f t="shared" si="1"/>
        <v>1</v>
      </c>
    </row>
    <row r="964">
      <c r="A964" s="32">
        <f t="shared" si="2"/>
        <v>45159</v>
      </c>
      <c r="B964" s="30" t="s">
        <v>14</v>
      </c>
      <c r="C964" s="31">
        <v>860.0</v>
      </c>
      <c r="D964" s="31">
        <f t="shared" si="1"/>
        <v>1</v>
      </c>
    </row>
    <row r="965">
      <c r="A965" s="32">
        <f t="shared" si="2"/>
        <v>45160</v>
      </c>
      <c r="B965" s="30" t="s">
        <v>14</v>
      </c>
      <c r="C965" s="31">
        <v>715.0</v>
      </c>
      <c r="D965" s="31">
        <f t="shared" si="1"/>
        <v>1</v>
      </c>
    </row>
    <row r="966">
      <c r="A966" s="32">
        <f t="shared" si="2"/>
        <v>45161</v>
      </c>
      <c r="B966" s="30" t="s">
        <v>15</v>
      </c>
      <c r="C966" s="31">
        <v>825.0</v>
      </c>
      <c r="D966" s="31">
        <f t="shared" si="1"/>
        <v>1</v>
      </c>
    </row>
    <row r="967">
      <c r="A967" s="32">
        <f t="shared" si="2"/>
        <v>45162</v>
      </c>
      <c r="B967" s="30" t="s">
        <v>14</v>
      </c>
      <c r="C967" s="31">
        <v>735.0</v>
      </c>
      <c r="D967" s="31">
        <f t="shared" si="1"/>
        <v>1</v>
      </c>
    </row>
    <row r="968">
      <c r="A968" s="32">
        <f t="shared" si="2"/>
        <v>45163</v>
      </c>
      <c r="B968" s="30" t="s">
        <v>13</v>
      </c>
      <c r="C968" s="31">
        <v>925.0</v>
      </c>
      <c r="D968" s="31">
        <f t="shared" si="1"/>
        <v>1</v>
      </c>
    </row>
    <row r="969">
      <c r="A969" s="32">
        <f t="shared" si="2"/>
        <v>45164</v>
      </c>
      <c r="B969" s="30" t="s">
        <v>16</v>
      </c>
      <c r="C969" s="31" t="s">
        <v>17</v>
      </c>
      <c r="D969" s="31">
        <f t="shared" si="1"/>
        <v>1</v>
      </c>
    </row>
    <row r="970">
      <c r="A970" s="32">
        <f t="shared" si="2"/>
        <v>45165</v>
      </c>
      <c r="B970" s="30" t="s">
        <v>14</v>
      </c>
      <c r="C970" s="31">
        <v>995.0</v>
      </c>
      <c r="D970" s="31">
        <f t="shared" si="1"/>
        <v>1</v>
      </c>
    </row>
    <row r="971">
      <c r="A971" s="32">
        <f t="shared" si="2"/>
        <v>45166</v>
      </c>
      <c r="B971" s="30" t="s">
        <v>14</v>
      </c>
      <c r="C971" s="31">
        <v>845.0</v>
      </c>
      <c r="D971" s="31">
        <f t="shared" si="1"/>
        <v>1</v>
      </c>
    </row>
    <row r="972">
      <c r="A972" s="32">
        <f t="shared" si="2"/>
        <v>45167</v>
      </c>
      <c r="B972" s="30" t="s">
        <v>15</v>
      </c>
      <c r="C972" s="31">
        <v>935.0</v>
      </c>
      <c r="D972" s="31">
        <f t="shared" si="1"/>
        <v>1</v>
      </c>
    </row>
    <row r="973">
      <c r="A973" s="32">
        <f t="shared" si="2"/>
        <v>45168</v>
      </c>
      <c r="B973" s="30" t="s">
        <v>15</v>
      </c>
      <c r="C973" s="31">
        <v>900.0</v>
      </c>
      <c r="D973" s="31">
        <f t="shared" si="1"/>
        <v>1</v>
      </c>
    </row>
    <row r="974">
      <c r="A974" s="32">
        <f t="shared" si="2"/>
        <v>45169</v>
      </c>
      <c r="B974" s="30" t="s">
        <v>16</v>
      </c>
      <c r="C974" s="31" t="s">
        <v>17</v>
      </c>
      <c r="D974" s="31">
        <f t="shared" si="1"/>
        <v>1</v>
      </c>
    </row>
    <row r="975">
      <c r="A975" s="32">
        <f t="shared" si="2"/>
        <v>45170</v>
      </c>
      <c r="B975" s="30" t="s">
        <v>14</v>
      </c>
      <c r="C975" s="31">
        <v>835.0</v>
      </c>
      <c r="D975" s="31">
        <f t="shared" si="1"/>
        <v>1</v>
      </c>
    </row>
    <row r="976">
      <c r="A976" s="32">
        <f t="shared" si="2"/>
        <v>45171</v>
      </c>
      <c r="B976" s="30" t="s">
        <v>13</v>
      </c>
      <c r="C976" s="31">
        <v>895.0</v>
      </c>
      <c r="D976" s="31">
        <f t="shared" si="1"/>
        <v>1</v>
      </c>
    </row>
    <row r="977">
      <c r="A977" s="32">
        <f t="shared" si="2"/>
        <v>45172</v>
      </c>
      <c r="B977" s="30" t="s">
        <v>14</v>
      </c>
      <c r="C977" s="31">
        <v>825.0</v>
      </c>
      <c r="D977" s="31">
        <f t="shared" si="1"/>
        <v>1</v>
      </c>
    </row>
    <row r="978">
      <c r="A978" s="32">
        <f t="shared" si="2"/>
        <v>45173</v>
      </c>
      <c r="B978" s="30" t="s">
        <v>14</v>
      </c>
      <c r="C978" s="31">
        <v>990.0</v>
      </c>
      <c r="D978" s="31">
        <f t="shared" si="1"/>
        <v>1</v>
      </c>
    </row>
    <row r="979">
      <c r="A979" s="32">
        <f t="shared" si="2"/>
        <v>45174</v>
      </c>
      <c r="B979" s="30" t="s">
        <v>15</v>
      </c>
      <c r="C979" s="31">
        <v>805.0</v>
      </c>
      <c r="D979" s="31">
        <f t="shared" si="1"/>
        <v>1</v>
      </c>
    </row>
    <row r="980">
      <c r="A980" s="32">
        <f t="shared" si="2"/>
        <v>45175</v>
      </c>
      <c r="B980" s="30" t="s">
        <v>14</v>
      </c>
      <c r="C980" s="31">
        <v>860.0</v>
      </c>
      <c r="D980" s="31">
        <f t="shared" si="1"/>
        <v>1</v>
      </c>
    </row>
    <row r="981">
      <c r="A981" s="32">
        <f t="shared" si="2"/>
        <v>45176</v>
      </c>
      <c r="B981" s="30" t="s">
        <v>15</v>
      </c>
      <c r="C981" s="31">
        <v>845.0</v>
      </c>
      <c r="D981" s="31">
        <f t="shared" si="1"/>
        <v>1</v>
      </c>
    </row>
    <row r="982">
      <c r="A982" s="32">
        <f t="shared" si="2"/>
        <v>45177</v>
      </c>
      <c r="B982" s="30" t="s">
        <v>16</v>
      </c>
      <c r="C982" s="31" t="s">
        <v>17</v>
      </c>
      <c r="D982" s="31">
        <f t="shared" si="1"/>
        <v>1</v>
      </c>
    </row>
    <row r="983">
      <c r="A983" s="32">
        <f t="shared" si="2"/>
        <v>45178</v>
      </c>
      <c r="B983" s="30" t="s">
        <v>13</v>
      </c>
      <c r="C983" s="31">
        <v>750.0</v>
      </c>
      <c r="D983" s="31">
        <f t="shared" si="1"/>
        <v>1</v>
      </c>
    </row>
    <row r="984">
      <c r="A984" s="32">
        <f t="shared" si="2"/>
        <v>45179</v>
      </c>
      <c r="B984" s="30" t="s">
        <v>14</v>
      </c>
      <c r="C984" s="31">
        <v>940.0</v>
      </c>
      <c r="D984" s="31">
        <f t="shared" si="1"/>
        <v>1</v>
      </c>
    </row>
    <row r="985">
      <c r="A985" s="32">
        <f t="shared" si="2"/>
        <v>45180</v>
      </c>
      <c r="B985" s="30" t="s">
        <v>14</v>
      </c>
      <c r="C985" s="31">
        <v>920.0</v>
      </c>
      <c r="D985" s="31">
        <f t="shared" si="1"/>
        <v>1</v>
      </c>
    </row>
    <row r="986">
      <c r="A986" s="32">
        <f t="shared" si="2"/>
        <v>45181</v>
      </c>
      <c r="B986" s="30" t="s">
        <v>14</v>
      </c>
      <c r="C986" s="31">
        <v>555.0</v>
      </c>
      <c r="D986" s="31">
        <f t="shared" si="1"/>
        <v>1</v>
      </c>
    </row>
    <row r="987">
      <c r="A987" s="32">
        <f t="shared" si="2"/>
        <v>45182</v>
      </c>
      <c r="B987" s="30" t="s">
        <v>15</v>
      </c>
      <c r="C987" s="31">
        <v>620.0</v>
      </c>
      <c r="D987" s="31">
        <f t="shared" si="1"/>
        <v>1</v>
      </c>
    </row>
    <row r="988">
      <c r="A988" s="32">
        <f t="shared" si="2"/>
        <v>45183</v>
      </c>
      <c r="B988" s="30" t="s">
        <v>15</v>
      </c>
      <c r="C988" s="31">
        <v>615.0</v>
      </c>
      <c r="D988" s="31">
        <f t="shared" si="1"/>
        <v>1</v>
      </c>
    </row>
    <row r="989">
      <c r="A989" s="32">
        <f t="shared" si="2"/>
        <v>45184</v>
      </c>
      <c r="B989" s="30" t="s">
        <v>16</v>
      </c>
      <c r="C989" s="31" t="s">
        <v>17</v>
      </c>
      <c r="D989" s="31">
        <f t="shared" si="1"/>
        <v>1</v>
      </c>
    </row>
    <row r="990">
      <c r="A990" s="32">
        <f t="shared" si="2"/>
        <v>45185</v>
      </c>
      <c r="B990" s="30" t="s">
        <v>14</v>
      </c>
      <c r="C990" s="31">
        <v>520.0</v>
      </c>
      <c r="D990" s="31">
        <f t="shared" si="1"/>
        <v>1</v>
      </c>
    </row>
    <row r="991">
      <c r="A991" s="32">
        <f t="shared" si="2"/>
        <v>45186</v>
      </c>
      <c r="B991" s="30" t="s">
        <v>15</v>
      </c>
      <c r="C991" s="31">
        <v>940.0</v>
      </c>
      <c r="D991" s="31">
        <f t="shared" si="1"/>
        <v>1</v>
      </c>
    </row>
    <row r="992">
      <c r="A992" s="32">
        <f t="shared" si="2"/>
        <v>45187</v>
      </c>
      <c r="B992" s="30" t="s">
        <v>14</v>
      </c>
      <c r="C992" s="31">
        <v>640.0</v>
      </c>
      <c r="D992" s="31">
        <f t="shared" si="1"/>
        <v>1</v>
      </c>
    </row>
    <row r="993">
      <c r="A993" s="32">
        <f t="shared" si="2"/>
        <v>45188</v>
      </c>
      <c r="B993" s="30" t="s">
        <v>14</v>
      </c>
      <c r="C993" s="31">
        <v>685.0</v>
      </c>
      <c r="D993" s="31">
        <f t="shared" si="1"/>
        <v>1</v>
      </c>
    </row>
    <row r="994">
      <c r="A994" s="32">
        <f t="shared" si="2"/>
        <v>45189</v>
      </c>
      <c r="B994" s="30" t="s">
        <v>14</v>
      </c>
      <c r="C994" s="31">
        <v>985.0</v>
      </c>
      <c r="D994" s="31">
        <f t="shared" si="1"/>
        <v>1</v>
      </c>
    </row>
    <row r="995">
      <c r="A995" s="32">
        <f t="shared" si="2"/>
        <v>45190</v>
      </c>
      <c r="B995" s="30" t="s">
        <v>15</v>
      </c>
      <c r="C995" s="31">
        <v>760.0</v>
      </c>
      <c r="D995" s="31">
        <f t="shared" si="1"/>
        <v>1</v>
      </c>
    </row>
    <row r="996">
      <c r="A996" s="32">
        <f t="shared" si="2"/>
        <v>45191</v>
      </c>
      <c r="B996" s="30" t="s">
        <v>14</v>
      </c>
      <c r="C996" s="31">
        <v>780.0</v>
      </c>
      <c r="D996" s="31">
        <f t="shared" si="1"/>
        <v>1</v>
      </c>
    </row>
    <row r="997">
      <c r="A997" s="32">
        <f t="shared" si="2"/>
        <v>45192</v>
      </c>
      <c r="B997" s="30" t="s">
        <v>14</v>
      </c>
      <c r="C997" s="31">
        <v>990.0</v>
      </c>
      <c r="D997" s="31">
        <f t="shared" si="1"/>
        <v>1</v>
      </c>
    </row>
    <row r="998">
      <c r="A998" s="32">
        <f t="shared" si="2"/>
        <v>45193</v>
      </c>
      <c r="B998" s="30" t="s">
        <v>15</v>
      </c>
      <c r="C998" s="31">
        <v>845.0</v>
      </c>
      <c r="D998" s="31">
        <f t="shared" si="1"/>
        <v>1</v>
      </c>
    </row>
    <row r="999">
      <c r="A999" s="32">
        <f t="shared" si="2"/>
        <v>45194</v>
      </c>
      <c r="B999" s="30" t="s">
        <v>16</v>
      </c>
      <c r="C999" s="31" t="s">
        <v>17</v>
      </c>
      <c r="D999" s="31">
        <f t="shared" si="1"/>
        <v>1</v>
      </c>
    </row>
    <row r="1000">
      <c r="A1000" s="32">
        <f t="shared" si="2"/>
        <v>45195</v>
      </c>
      <c r="B1000" s="30" t="s">
        <v>14</v>
      </c>
      <c r="C1000" s="31">
        <v>710.0</v>
      </c>
      <c r="D1000" s="31">
        <f t="shared" si="1"/>
        <v>1</v>
      </c>
    </row>
    <row r="1001">
      <c r="A1001" s="32"/>
      <c r="D1001" s="31" t="str">
        <f t="shared" si="1"/>
        <v/>
      </c>
    </row>
    <row r="1002">
      <c r="A1002" s="32"/>
      <c r="D1002" s="31" t="str">
        <f t="shared" si="1"/>
        <v/>
      </c>
    </row>
    <row r="1003">
      <c r="A1003" s="32"/>
      <c r="D1003" s="31" t="str">
        <f t="shared" si="1"/>
        <v/>
      </c>
    </row>
    <row r="1004">
      <c r="A1004" s="32"/>
      <c r="D1004" s="31" t="str">
        <f t="shared" si="1"/>
        <v/>
      </c>
    </row>
    <row r="1005">
      <c r="A1005" s="32"/>
      <c r="D1005" s="31" t="str">
        <f t="shared" si="1"/>
        <v/>
      </c>
    </row>
    <row r="1006">
      <c r="A1006" s="32"/>
      <c r="D1006" s="31" t="str">
        <f t="shared" si="1"/>
        <v/>
      </c>
    </row>
    <row r="1007">
      <c r="A1007" s="32"/>
      <c r="D1007" s="31" t="str">
        <f t="shared" si="1"/>
        <v/>
      </c>
    </row>
    <row r="1008">
      <c r="A1008" s="32"/>
      <c r="D1008" s="31" t="str">
        <f t="shared" si="1"/>
        <v/>
      </c>
    </row>
    <row r="1009">
      <c r="A1009" s="32"/>
      <c r="D1009" s="31" t="str">
        <f t="shared" si="1"/>
        <v/>
      </c>
    </row>
    <row r="1010">
      <c r="A1010" s="32"/>
      <c r="D1010" s="31" t="str">
        <f t="shared" si="1"/>
        <v/>
      </c>
    </row>
    <row r="1011">
      <c r="A1011" s="32"/>
      <c r="D1011" s="31" t="str">
        <f t="shared" si="1"/>
        <v/>
      </c>
    </row>
    <row r="1012">
      <c r="A1012" s="32"/>
      <c r="D1012" s="31" t="str">
        <f t="shared" si="1"/>
        <v/>
      </c>
    </row>
    <row r="1013">
      <c r="A1013" s="32"/>
      <c r="D1013" s="31" t="str">
        <f t="shared" si="1"/>
        <v/>
      </c>
    </row>
    <row r="1014">
      <c r="A1014" s="32"/>
      <c r="D1014" s="31" t="str">
        <f t="shared" si="1"/>
        <v/>
      </c>
    </row>
    <row r="1015">
      <c r="A1015" s="32"/>
      <c r="D1015" s="31" t="str">
        <f t="shared" si="1"/>
        <v/>
      </c>
    </row>
    <row r="1016">
      <c r="A1016" s="32"/>
      <c r="D1016" s="31" t="str">
        <f t="shared" si="1"/>
        <v/>
      </c>
    </row>
    <row r="1017">
      <c r="A1017" s="32"/>
      <c r="D1017" s="31" t="str">
        <f t="shared" si="1"/>
        <v/>
      </c>
    </row>
    <row r="1018">
      <c r="A1018" s="32"/>
      <c r="D1018" s="31" t="str">
        <f t="shared" si="1"/>
        <v/>
      </c>
    </row>
    <row r="1019">
      <c r="A1019" s="32"/>
      <c r="D1019" s="31" t="str">
        <f t="shared" si="1"/>
        <v/>
      </c>
    </row>
    <row r="1020">
      <c r="A1020" s="32"/>
      <c r="D1020" s="31" t="str">
        <f t="shared" si="1"/>
        <v/>
      </c>
    </row>
    <row r="1021">
      <c r="A1021" s="32"/>
      <c r="D1021" s="31" t="str">
        <f t="shared" si="1"/>
        <v/>
      </c>
    </row>
    <row r="1022">
      <c r="A1022" s="32"/>
      <c r="D1022" s="31" t="str">
        <f t="shared" si="1"/>
        <v/>
      </c>
    </row>
    <row r="1023">
      <c r="A1023" s="32"/>
      <c r="D1023" s="31" t="str">
        <f t="shared" si="1"/>
        <v/>
      </c>
    </row>
    <row r="1024">
      <c r="A1024" s="32"/>
      <c r="D1024" s="31" t="str">
        <f t="shared" si="1"/>
        <v/>
      </c>
    </row>
    <row r="1025">
      <c r="A1025" s="32"/>
      <c r="D1025" s="31" t="str">
        <f t="shared" si="1"/>
        <v/>
      </c>
    </row>
    <row r="1026">
      <c r="A1026" s="32"/>
      <c r="D1026" s="31" t="str">
        <f t="shared" si="1"/>
        <v/>
      </c>
    </row>
    <row r="1027">
      <c r="A1027" s="32"/>
      <c r="D1027" s="31" t="str">
        <f t="shared" si="1"/>
        <v/>
      </c>
    </row>
    <row r="1028">
      <c r="A1028" s="32"/>
      <c r="D1028" s="31" t="str">
        <f t="shared" si="1"/>
        <v/>
      </c>
    </row>
    <row r="1029">
      <c r="A1029" s="32"/>
      <c r="D1029" s="31" t="str">
        <f t="shared" si="1"/>
        <v/>
      </c>
    </row>
    <row r="1030">
      <c r="A1030" s="32"/>
      <c r="D1030" s="31" t="str">
        <f t="shared" si="1"/>
        <v/>
      </c>
    </row>
    <row r="1031">
      <c r="A1031" s="32"/>
      <c r="D1031" s="31" t="str">
        <f t="shared" si="1"/>
        <v/>
      </c>
    </row>
    <row r="1032">
      <c r="A1032" s="32"/>
      <c r="D1032" s="31" t="str">
        <f t="shared" si="1"/>
        <v/>
      </c>
    </row>
    <row r="1033">
      <c r="A1033" s="32"/>
      <c r="D1033" s="31" t="str">
        <f t="shared" si="1"/>
        <v/>
      </c>
    </row>
    <row r="1034">
      <c r="A1034" s="32"/>
      <c r="D1034" s="31" t="str">
        <f t="shared" si="1"/>
        <v/>
      </c>
    </row>
    <row r="1035">
      <c r="A1035" s="32"/>
      <c r="D1035" s="31" t="str">
        <f t="shared" si="1"/>
        <v/>
      </c>
    </row>
    <row r="1036">
      <c r="A1036" s="32"/>
      <c r="D1036" s="31" t="str">
        <f t="shared" si="1"/>
        <v/>
      </c>
    </row>
    <row r="1037">
      <c r="A1037" s="32"/>
      <c r="D1037" s="31" t="str">
        <f t="shared" si="1"/>
        <v/>
      </c>
    </row>
    <row r="1038">
      <c r="A1038" s="32"/>
      <c r="D1038" s="31" t="str">
        <f t="shared" si="1"/>
        <v/>
      </c>
    </row>
    <row r="1039">
      <c r="A1039" s="32"/>
      <c r="D1039" s="31" t="str">
        <f t="shared" si="1"/>
        <v/>
      </c>
    </row>
    <row r="1040">
      <c r="A1040" s="32"/>
      <c r="D1040" s="31" t="str">
        <f t="shared" si="1"/>
        <v/>
      </c>
    </row>
    <row r="1041">
      <c r="A1041" s="32"/>
      <c r="D1041" s="31" t="str">
        <f t="shared" si="1"/>
        <v/>
      </c>
    </row>
    <row r="1042">
      <c r="A1042" s="32"/>
      <c r="D1042" s="31" t="str">
        <f t="shared" si="1"/>
        <v/>
      </c>
    </row>
    <row r="1043">
      <c r="A1043" s="32"/>
      <c r="D1043" s="31" t="str">
        <f t="shared" si="1"/>
        <v/>
      </c>
    </row>
    <row r="1044">
      <c r="A1044" s="32"/>
      <c r="D1044" s="31" t="str">
        <f t="shared" si="1"/>
        <v/>
      </c>
    </row>
    <row r="1045">
      <c r="A1045" s="32"/>
      <c r="D1045" s="31" t="str">
        <f t="shared" si="1"/>
        <v/>
      </c>
    </row>
    <row r="1046">
      <c r="A1046" s="32"/>
      <c r="D1046" s="31" t="str">
        <f t="shared" si="1"/>
        <v/>
      </c>
    </row>
    <row r="1047">
      <c r="A1047" s="32"/>
      <c r="D1047" s="31" t="str">
        <f t="shared" si="1"/>
        <v/>
      </c>
    </row>
    <row r="1048">
      <c r="A1048" s="32"/>
      <c r="D1048" s="31" t="str">
        <f t="shared" si="1"/>
        <v/>
      </c>
    </row>
    <row r="1049">
      <c r="A1049" s="32"/>
      <c r="D1049" s="31" t="str">
        <f t="shared" si="1"/>
        <v/>
      </c>
    </row>
    <row r="1050">
      <c r="A1050" s="32"/>
      <c r="D1050" s="31" t="str">
        <f t="shared" si="1"/>
        <v/>
      </c>
    </row>
    <row r="1051">
      <c r="A1051" s="32"/>
      <c r="D1051" s="31" t="str">
        <f t="shared" si="1"/>
        <v/>
      </c>
    </row>
    <row r="1052">
      <c r="A1052" s="32"/>
      <c r="D1052" s="31" t="str">
        <f t="shared" si="1"/>
        <v/>
      </c>
    </row>
    <row r="1053">
      <c r="A1053" s="32"/>
      <c r="D1053" s="31" t="str">
        <f t="shared" si="1"/>
        <v/>
      </c>
    </row>
    <row r="1054">
      <c r="A1054" s="32"/>
      <c r="D1054" s="31" t="str">
        <f t="shared" si="1"/>
        <v/>
      </c>
    </row>
    <row r="1055">
      <c r="A1055" s="32"/>
      <c r="D1055" s="31" t="str">
        <f t="shared" si="1"/>
        <v/>
      </c>
    </row>
    <row r="1056">
      <c r="A1056" s="32"/>
      <c r="D1056" s="31" t="str">
        <f t="shared" si="1"/>
        <v/>
      </c>
    </row>
    <row r="1057">
      <c r="A1057" s="32"/>
      <c r="D1057" s="31" t="str">
        <f t="shared" si="1"/>
        <v/>
      </c>
    </row>
    <row r="1058">
      <c r="A1058" s="32"/>
      <c r="D1058" s="31" t="str">
        <f t="shared" si="1"/>
        <v/>
      </c>
    </row>
    <row r="1059">
      <c r="A1059" s="32"/>
      <c r="D1059" s="31" t="str">
        <f t="shared" si="1"/>
        <v/>
      </c>
    </row>
    <row r="1060">
      <c r="A1060" s="32"/>
      <c r="D1060" s="31" t="str">
        <f t="shared" si="1"/>
        <v/>
      </c>
    </row>
    <row r="1061">
      <c r="A1061" s="32"/>
      <c r="D1061" s="31" t="str">
        <f t="shared" si="1"/>
        <v/>
      </c>
    </row>
    <row r="1062">
      <c r="A1062" s="32"/>
      <c r="D1062" s="31" t="str">
        <f t="shared" si="1"/>
        <v/>
      </c>
    </row>
    <row r="1063">
      <c r="A1063" s="32"/>
      <c r="D1063" s="31" t="str">
        <f t="shared" si="1"/>
        <v/>
      </c>
    </row>
    <row r="1064">
      <c r="A1064" s="32"/>
      <c r="D1064" s="31" t="str">
        <f t="shared" si="1"/>
        <v/>
      </c>
    </row>
    <row r="1065">
      <c r="A1065" s="32"/>
      <c r="D1065" s="31" t="str">
        <f t="shared" si="1"/>
        <v/>
      </c>
    </row>
    <row r="1066">
      <c r="A1066" s="32"/>
      <c r="D1066" s="31" t="str">
        <f t="shared" si="1"/>
        <v/>
      </c>
    </row>
    <row r="1067">
      <c r="A1067" s="32"/>
      <c r="D1067" s="31" t="str">
        <f t="shared" si="1"/>
        <v/>
      </c>
    </row>
    <row r="1068">
      <c r="A1068" s="32"/>
      <c r="D1068" s="31" t="str">
        <f t="shared" si="1"/>
        <v/>
      </c>
    </row>
    <row r="1069">
      <c r="A1069" s="32"/>
      <c r="D1069" s="31" t="str">
        <f t="shared" si="1"/>
        <v/>
      </c>
    </row>
    <row r="1070">
      <c r="A1070" s="32"/>
      <c r="D1070" s="31" t="str">
        <f t="shared" si="1"/>
        <v/>
      </c>
    </row>
    <row r="1071">
      <c r="A1071" s="32"/>
      <c r="D1071" s="31" t="str">
        <f t="shared" si="1"/>
        <v/>
      </c>
    </row>
    <row r="1072">
      <c r="A1072" s="32"/>
      <c r="D1072" s="31" t="str">
        <f t="shared" si="1"/>
        <v/>
      </c>
    </row>
    <row r="1073">
      <c r="A1073" s="32"/>
      <c r="D1073" s="31" t="str">
        <f t="shared" si="1"/>
        <v/>
      </c>
    </row>
    <row r="1074">
      <c r="A1074" s="32"/>
      <c r="D1074" s="31" t="str">
        <f t="shared" si="1"/>
        <v/>
      </c>
    </row>
    <row r="1075">
      <c r="A1075" s="32"/>
      <c r="D1075" s="31" t="str">
        <f t="shared" si="1"/>
        <v/>
      </c>
    </row>
    <row r="1076">
      <c r="A1076" s="32"/>
      <c r="D1076" s="31" t="str">
        <f t="shared" si="1"/>
        <v/>
      </c>
    </row>
    <row r="1077">
      <c r="A1077" s="32"/>
      <c r="D1077" s="31" t="str">
        <f t="shared" si="1"/>
        <v/>
      </c>
    </row>
    <row r="1078">
      <c r="A1078" s="32"/>
      <c r="D1078" s="31" t="str">
        <f t="shared" si="1"/>
        <v/>
      </c>
    </row>
    <row r="1079">
      <c r="A1079" s="32"/>
      <c r="D1079" s="31" t="str">
        <f t="shared" si="1"/>
        <v/>
      </c>
    </row>
    <row r="1080">
      <c r="A1080" s="32"/>
      <c r="D1080" s="31" t="str">
        <f t="shared" si="1"/>
        <v/>
      </c>
    </row>
    <row r="1081">
      <c r="A1081" s="32"/>
      <c r="D1081" s="31" t="str">
        <f t="shared" si="1"/>
        <v/>
      </c>
    </row>
    <row r="1082">
      <c r="A1082" s="32"/>
      <c r="D1082" s="31" t="str">
        <f t="shared" si="1"/>
        <v/>
      </c>
    </row>
    <row r="1083">
      <c r="A1083" s="32"/>
      <c r="D1083" s="31" t="str">
        <f t="shared" si="1"/>
        <v/>
      </c>
    </row>
    <row r="1084">
      <c r="A1084" s="32"/>
      <c r="D1084" s="31" t="str">
        <f t="shared" si="1"/>
        <v/>
      </c>
    </row>
    <row r="1085">
      <c r="A1085" s="32"/>
      <c r="D1085" s="31" t="str">
        <f t="shared" si="1"/>
        <v/>
      </c>
    </row>
    <row r="1086">
      <c r="A1086" s="32"/>
      <c r="D1086" s="31" t="str">
        <f t="shared" si="1"/>
        <v/>
      </c>
    </row>
    <row r="1087">
      <c r="A1087" s="32"/>
      <c r="D1087" s="31" t="str">
        <f t="shared" si="1"/>
        <v/>
      </c>
    </row>
    <row r="1088">
      <c r="A1088" s="32"/>
      <c r="D1088" s="31" t="str">
        <f t="shared" si="1"/>
        <v/>
      </c>
    </row>
    <row r="1089">
      <c r="A1089" s="32"/>
      <c r="D1089" s="31" t="str">
        <f t="shared" si="1"/>
        <v/>
      </c>
    </row>
    <row r="1090">
      <c r="A1090" s="32"/>
      <c r="D1090" s="31" t="str">
        <f t="shared" si="1"/>
        <v/>
      </c>
    </row>
    <row r="1091">
      <c r="A1091" s="32"/>
      <c r="D1091" s="31" t="str">
        <f t="shared" si="1"/>
        <v/>
      </c>
    </row>
    <row r="1092">
      <c r="A1092" s="32"/>
      <c r="D1092" s="31" t="str">
        <f t="shared" si="1"/>
        <v/>
      </c>
    </row>
    <row r="1093">
      <c r="A1093" s="32"/>
      <c r="D1093" s="31" t="str">
        <f t="shared" si="1"/>
        <v/>
      </c>
    </row>
    <row r="1094">
      <c r="A1094" s="32"/>
      <c r="D1094" s="31" t="str">
        <f t="shared" si="1"/>
        <v/>
      </c>
    </row>
    <row r="1095">
      <c r="A1095" s="32"/>
      <c r="D1095" s="31" t="str">
        <f t="shared" si="1"/>
        <v/>
      </c>
    </row>
    <row r="1096">
      <c r="A1096" s="32"/>
      <c r="D1096" s="31" t="str">
        <f t="shared" si="1"/>
        <v/>
      </c>
    </row>
    <row r="1097">
      <c r="A1097" s="32"/>
      <c r="D1097" s="31" t="str">
        <f t="shared" si="1"/>
        <v/>
      </c>
    </row>
    <row r="1098">
      <c r="A1098" s="32"/>
      <c r="D1098" s="31" t="str">
        <f t="shared" si="1"/>
        <v/>
      </c>
    </row>
    <row r="1099">
      <c r="A1099" s="32"/>
      <c r="D1099" s="31" t="str">
        <f t="shared" si="1"/>
        <v/>
      </c>
    </row>
    <row r="1100">
      <c r="A1100" s="32"/>
      <c r="D1100" s="31" t="str">
        <f t="shared" si="1"/>
        <v/>
      </c>
    </row>
    <row r="1101">
      <c r="A1101" s="32"/>
      <c r="D1101" s="31" t="str">
        <f t="shared" si="1"/>
        <v/>
      </c>
    </row>
    <row r="1102">
      <c r="A1102" s="32"/>
      <c r="D1102" s="31" t="str">
        <f t="shared" si="1"/>
        <v/>
      </c>
    </row>
    <row r="1103">
      <c r="A1103" s="32"/>
      <c r="D1103" s="31" t="str">
        <f t="shared" si="1"/>
        <v/>
      </c>
    </row>
    <row r="1104">
      <c r="A1104" s="32"/>
      <c r="D1104" s="31" t="str">
        <f t="shared" si="1"/>
        <v/>
      </c>
    </row>
    <row r="1105">
      <c r="A1105" s="32"/>
      <c r="D1105" s="31" t="str">
        <f t="shared" si="1"/>
        <v/>
      </c>
    </row>
    <row r="1106">
      <c r="A1106" s="32"/>
      <c r="D1106" s="31" t="str">
        <f t="shared" si="1"/>
        <v/>
      </c>
    </row>
    <row r="1107">
      <c r="A1107" s="32"/>
      <c r="D1107" s="31" t="str">
        <f t="shared" si="1"/>
        <v/>
      </c>
    </row>
    <row r="1108">
      <c r="A1108" s="32"/>
      <c r="D1108" s="31" t="str">
        <f t="shared" si="1"/>
        <v/>
      </c>
    </row>
    <row r="1109">
      <c r="A1109" s="32"/>
      <c r="D1109" s="31" t="str">
        <f t="shared" si="1"/>
        <v/>
      </c>
    </row>
    <row r="1110">
      <c r="A1110" s="32"/>
      <c r="D1110" s="31" t="str">
        <f t="shared" si="1"/>
        <v/>
      </c>
    </row>
    <row r="1111">
      <c r="A1111" s="32"/>
      <c r="D1111" s="31" t="str">
        <f t="shared" si="1"/>
        <v/>
      </c>
    </row>
    <row r="1112">
      <c r="A1112" s="32"/>
      <c r="D1112" s="31" t="str">
        <f t="shared" si="1"/>
        <v/>
      </c>
    </row>
    <row r="1113">
      <c r="A1113" s="32"/>
      <c r="D1113" s="31" t="str">
        <f t="shared" si="1"/>
        <v/>
      </c>
    </row>
    <row r="1114">
      <c r="A1114" s="32"/>
      <c r="D1114" s="31" t="str">
        <f t="shared" si="1"/>
        <v/>
      </c>
    </row>
    <row r="1115">
      <c r="A1115" s="32"/>
      <c r="D1115" s="31" t="str">
        <f t="shared" si="1"/>
        <v/>
      </c>
    </row>
    <row r="1116">
      <c r="A1116" s="32"/>
      <c r="D1116" s="31" t="str">
        <f t="shared" si="1"/>
        <v/>
      </c>
    </row>
    <row r="1117">
      <c r="A1117" s="32"/>
      <c r="D1117" s="31" t="str">
        <f t="shared" si="1"/>
        <v/>
      </c>
    </row>
    <row r="1118">
      <c r="A1118" s="32"/>
      <c r="D1118" s="31" t="str">
        <f t="shared" si="1"/>
        <v/>
      </c>
    </row>
    <row r="1119">
      <c r="A1119" s="32"/>
      <c r="D1119" s="31" t="str">
        <f t="shared" si="1"/>
        <v/>
      </c>
    </row>
    <row r="1120">
      <c r="A1120" s="32"/>
      <c r="D1120" s="31" t="str">
        <f t="shared" si="1"/>
        <v/>
      </c>
    </row>
    <row r="1121">
      <c r="A1121" s="32"/>
      <c r="D1121" s="31" t="str">
        <f t="shared" si="1"/>
        <v/>
      </c>
    </row>
    <row r="1122">
      <c r="A1122" s="32"/>
      <c r="D1122" s="31" t="str">
        <f t="shared" si="1"/>
        <v/>
      </c>
    </row>
    <row r="1123">
      <c r="A1123" s="32"/>
      <c r="D1123" s="31" t="str">
        <f t="shared" si="1"/>
        <v/>
      </c>
    </row>
    <row r="1124">
      <c r="A1124" s="32"/>
      <c r="D1124" s="31" t="str">
        <f t="shared" si="1"/>
        <v/>
      </c>
    </row>
    <row r="1125">
      <c r="A1125" s="32"/>
      <c r="D1125" s="31" t="str">
        <f t="shared" si="1"/>
        <v/>
      </c>
    </row>
    <row r="1126">
      <c r="A1126" s="32"/>
      <c r="D1126" s="31" t="str">
        <f t="shared" si="1"/>
        <v/>
      </c>
    </row>
    <row r="1127">
      <c r="A1127" s="32"/>
      <c r="D1127" s="31" t="str">
        <f t="shared" si="1"/>
        <v/>
      </c>
    </row>
    <row r="1128">
      <c r="A1128" s="32"/>
      <c r="D1128" s="31" t="str">
        <f t="shared" si="1"/>
        <v/>
      </c>
    </row>
    <row r="1129">
      <c r="A1129" s="32"/>
      <c r="D1129" s="31" t="str">
        <f t="shared" si="1"/>
        <v/>
      </c>
    </row>
    <row r="1130">
      <c r="A1130" s="32"/>
      <c r="D1130" s="31" t="str">
        <f t="shared" si="1"/>
        <v/>
      </c>
    </row>
    <row r="1131">
      <c r="A1131" s="32"/>
      <c r="D1131" s="31" t="str">
        <f t="shared" si="1"/>
        <v/>
      </c>
    </row>
    <row r="1132">
      <c r="A1132" s="32"/>
      <c r="D1132" s="31" t="str">
        <f t="shared" si="1"/>
        <v/>
      </c>
    </row>
    <row r="1133">
      <c r="A1133" s="32"/>
      <c r="D1133" s="31" t="str">
        <f t="shared" si="1"/>
        <v/>
      </c>
    </row>
    <row r="1134">
      <c r="A1134" s="32"/>
      <c r="D1134" s="31" t="str">
        <f t="shared" si="1"/>
        <v/>
      </c>
    </row>
    <row r="1135">
      <c r="A1135" s="32"/>
      <c r="D1135" s="31" t="str">
        <f t="shared" si="1"/>
        <v/>
      </c>
    </row>
    <row r="1136">
      <c r="A1136" s="32"/>
      <c r="D1136" s="31" t="str">
        <f t="shared" si="1"/>
        <v/>
      </c>
    </row>
    <row r="1137">
      <c r="A1137" s="32"/>
      <c r="D1137" s="31" t="str">
        <f t="shared" si="1"/>
        <v/>
      </c>
    </row>
    <row r="1138">
      <c r="A1138" s="32"/>
      <c r="D1138" s="31" t="str">
        <f t="shared" si="1"/>
        <v/>
      </c>
    </row>
    <row r="1139">
      <c r="A1139" s="32"/>
      <c r="D1139" s="31" t="str">
        <f t="shared" si="1"/>
        <v/>
      </c>
    </row>
    <row r="1140">
      <c r="A1140" s="32"/>
      <c r="D1140" s="31" t="str">
        <f t="shared" si="1"/>
        <v/>
      </c>
    </row>
    <row r="1141">
      <c r="A1141" s="32"/>
      <c r="D1141" s="31" t="str">
        <f t="shared" si="1"/>
        <v/>
      </c>
    </row>
    <row r="1142">
      <c r="A1142" s="32"/>
      <c r="D1142" s="31" t="str">
        <f t="shared" si="1"/>
        <v/>
      </c>
    </row>
    <row r="1143">
      <c r="A1143" s="32"/>
      <c r="D1143" s="31" t="str">
        <f t="shared" si="1"/>
        <v/>
      </c>
    </row>
    <row r="1144">
      <c r="A1144" s="32"/>
      <c r="D1144" s="31" t="str">
        <f t="shared" si="1"/>
        <v/>
      </c>
    </row>
    <row r="1145">
      <c r="A1145" s="32"/>
      <c r="D1145" s="31" t="str">
        <f t="shared" si="1"/>
        <v/>
      </c>
    </row>
    <row r="1146">
      <c r="A1146" s="32"/>
      <c r="D1146" s="31" t="str">
        <f t="shared" si="1"/>
        <v/>
      </c>
    </row>
    <row r="1147">
      <c r="A1147" s="32"/>
      <c r="D1147" s="31" t="str">
        <f t="shared" si="1"/>
        <v/>
      </c>
    </row>
    <row r="1148">
      <c r="A1148" s="32"/>
      <c r="D1148" s="31" t="str">
        <f t="shared" si="1"/>
        <v/>
      </c>
    </row>
    <row r="1149">
      <c r="A1149" s="32"/>
      <c r="D1149" s="31" t="str">
        <f t="shared" si="1"/>
        <v/>
      </c>
    </row>
    <row r="1150">
      <c r="A1150" s="32"/>
      <c r="D1150" s="31" t="str">
        <f t="shared" si="1"/>
        <v/>
      </c>
    </row>
    <row r="1151">
      <c r="A1151" s="32"/>
      <c r="D1151" s="31" t="str">
        <f t="shared" si="1"/>
        <v/>
      </c>
    </row>
    <row r="1152">
      <c r="A1152" s="32"/>
      <c r="D1152" s="31" t="str">
        <f t="shared" si="1"/>
        <v/>
      </c>
    </row>
    <row r="1153">
      <c r="A1153" s="32"/>
      <c r="D1153" s="31" t="str">
        <f t="shared" si="1"/>
        <v/>
      </c>
    </row>
    <row r="1154">
      <c r="A1154" s="32"/>
      <c r="D1154" s="31" t="str">
        <f t="shared" si="1"/>
        <v/>
      </c>
    </row>
    <row r="1155">
      <c r="A1155" s="32"/>
      <c r="D1155" s="31" t="str">
        <f t="shared" si="1"/>
        <v/>
      </c>
    </row>
    <row r="1156">
      <c r="A1156" s="32"/>
      <c r="D1156" s="31" t="str">
        <f t="shared" si="1"/>
        <v/>
      </c>
    </row>
    <row r="1157">
      <c r="A1157" s="32"/>
      <c r="D1157" s="31" t="str">
        <f t="shared" si="1"/>
        <v/>
      </c>
    </row>
    <row r="1158">
      <c r="A1158" s="32"/>
      <c r="D1158" s="31" t="str">
        <f t="shared" si="1"/>
        <v/>
      </c>
    </row>
    <row r="1159">
      <c r="A1159" s="32"/>
      <c r="D1159" s="31" t="str">
        <f t="shared" si="1"/>
        <v/>
      </c>
    </row>
    <row r="1160">
      <c r="A1160" s="32"/>
      <c r="D1160" s="31" t="str">
        <f t="shared" si="1"/>
        <v/>
      </c>
    </row>
    <row r="1161">
      <c r="A1161" s="32"/>
      <c r="D1161" s="31" t="str">
        <f t="shared" si="1"/>
        <v/>
      </c>
    </row>
    <row r="1162">
      <c r="A1162" s="32"/>
      <c r="D1162" s="31" t="str">
        <f t="shared" si="1"/>
        <v/>
      </c>
    </row>
    <row r="1163">
      <c r="A1163" s="32"/>
      <c r="D1163" s="31" t="str">
        <f t="shared" si="1"/>
        <v/>
      </c>
    </row>
    <row r="1164">
      <c r="A1164" s="32"/>
      <c r="D1164" s="31" t="str">
        <f t="shared" si="1"/>
        <v/>
      </c>
    </row>
    <row r="1165">
      <c r="A1165" s="32"/>
      <c r="D1165" s="31" t="str">
        <f t="shared" si="1"/>
        <v/>
      </c>
    </row>
    <row r="1166">
      <c r="A1166" s="32"/>
      <c r="D1166" s="31" t="str">
        <f t="shared" si="1"/>
        <v/>
      </c>
    </row>
    <row r="1167">
      <c r="A1167" s="32"/>
      <c r="D1167" s="31" t="str">
        <f t="shared" si="1"/>
        <v/>
      </c>
    </row>
    <row r="1168">
      <c r="A1168" s="32"/>
      <c r="D1168" s="31" t="str">
        <f t="shared" si="1"/>
        <v/>
      </c>
    </row>
    <row r="1169">
      <c r="A1169" s="32"/>
      <c r="D1169" s="31" t="str">
        <f t="shared" si="1"/>
        <v/>
      </c>
    </row>
    <row r="1170">
      <c r="A1170" s="32"/>
      <c r="D1170" s="31" t="str">
        <f t="shared" si="1"/>
        <v/>
      </c>
    </row>
    <row r="1171">
      <c r="A1171" s="32"/>
      <c r="D1171" s="31" t="str">
        <f t="shared" si="1"/>
        <v/>
      </c>
    </row>
    <row r="1172">
      <c r="A1172" s="32"/>
      <c r="D1172" s="31" t="str">
        <f t="shared" si="1"/>
        <v/>
      </c>
    </row>
    <row r="1173">
      <c r="A1173" s="32"/>
      <c r="D1173" s="31" t="str">
        <f t="shared" si="1"/>
        <v/>
      </c>
    </row>
    <row r="1174">
      <c r="A1174" s="32"/>
      <c r="D1174" s="31" t="str">
        <f t="shared" si="1"/>
        <v/>
      </c>
    </row>
    <row r="1175">
      <c r="A1175" s="32"/>
      <c r="D1175" s="31" t="str">
        <f t="shared" si="1"/>
        <v/>
      </c>
    </row>
    <row r="1176">
      <c r="A1176" s="32"/>
      <c r="D1176" s="31" t="str">
        <f t="shared" si="1"/>
        <v/>
      </c>
    </row>
    <row r="1177">
      <c r="A1177" s="32"/>
      <c r="D1177" s="31" t="str">
        <f t="shared" si="1"/>
        <v/>
      </c>
    </row>
    <row r="1178">
      <c r="A1178" s="32"/>
      <c r="D1178" s="31" t="str">
        <f t="shared" si="1"/>
        <v/>
      </c>
    </row>
    <row r="1179">
      <c r="A1179" s="32"/>
      <c r="D1179" s="31" t="str">
        <f t="shared" si="1"/>
        <v/>
      </c>
    </row>
    <row r="1180">
      <c r="A1180" s="32"/>
      <c r="D1180" s="31" t="str">
        <f t="shared" si="1"/>
        <v/>
      </c>
    </row>
    <row r="1181">
      <c r="A1181" s="32"/>
      <c r="D1181" s="31" t="str">
        <f t="shared" si="1"/>
        <v/>
      </c>
    </row>
    <row r="1182">
      <c r="A1182" s="32"/>
      <c r="D1182" s="31" t="str">
        <f t="shared" si="1"/>
        <v/>
      </c>
    </row>
    <row r="1183">
      <c r="A1183" s="32"/>
      <c r="D1183" s="31" t="str">
        <f t="shared" si="1"/>
        <v/>
      </c>
    </row>
    <row r="1184">
      <c r="A1184" s="32"/>
      <c r="D1184" s="31" t="str">
        <f t="shared" si="1"/>
        <v/>
      </c>
    </row>
    <row r="1185">
      <c r="A1185" s="32"/>
      <c r="D1185" s="31" t="str">
        <f t="shared" si="1"/>
        <v/>
      </c>
    </row>
    <row r="1186">
      <c r="A1186" s="32"/>
      <c r="D1186" s="31" t="str">
        <f t="shared" si="1"/>
        <v/>
      </c>
    </row>
    <row r="1187">
      <c r="A1187" s="32"/>
      <c r="D1187" s="31" t="str">
        <f t="shared" si="1"/>
        <v/>
      </c>
    </row>
    <row r="1188">
      <c r="A1188" s="32"/>
      <c r="D1188" s="31" t="str">
        <f t="shared" si="1"/>
        <v/>
      </c>
    </row>
    <row r="1189">
      <c r="A1189" s="32"/>
      <c r="D1189" s="31" t="str">
        <f t="shared" si="1"/>
        <v/>
      </c>
    </row>
    <row r="1190">
      <c r="A1190" s="32"/>
      <c r="D1190" s="31" t="str">
        <f t="shared" si="1"/>
        <v/>
      </c>
    </row>
    <row r="1191">
      <c r="A1191" s="32"/>
      <c r="D1191" s="31" t="str">
        <f t="shared" si="1"/>
        <v/>
      </c>
    </row>
    <row r="1192">
      <c r="A1192" s="32"/>
      <c r="D1192" s="31" t="str">
        <f t="shared" si="1"/>
        <v/>
      </c>
    </row>
    <row r="1193">
      <c r="A1193" s="32"/>
      <c r="D1193" s="31" t="str">
        <f t="shared" si="1"/>
        <v/>
      </c>
    </row>
    <row r="1194">
      <c r="A1194" s="32"/>
      <c r="D1194" s="31" t="str">
        <f t="shared" si="1"/>
        <v/>
      </c>
    </row>
    <row r="1195">
      <c r="A1195" s="32"/>
      <c r="D1195" s="31" t="str">
        <f t="shared" si="1"/>
        <v/>
      </c>
    </row>
    <row r="1196">
      <c r="A1196" s="32"/>
      <c r="D1196" s="31" t="str">
        <f t="shared" si="1"/>
        <v/>
      </c>
    </row>
    <row r="1197">
      <c r="A1197" s="32"/>
      <c r="D1197" s="31" t="str">
        <f t="shared" si="1"/>
        <v/>
      </c>
    </row>
    <row r="1198">
      <c r="A1198" s="32"/>
      <c r="D1198" s="31" t="str">
        <f t="shared" si="1"/>
        <v/>
      </c>
    </row>
    <row r="1199">
      <c r="A1199" s="32"/>
      <c r="D1199" s="31" t="str">
        <f t="shared" si="1"/>
        <v/>
      </c>
    </row>
    <row r="1200">
      <c r="A1200" s="32"/>
      <c r="D1200" s="31" t="str">
        <f t="shared" si="1"/>
        <v/>
      </c>
    </row>
    <row r="1201">
      <c r="A1201" s="32"/>
      <c r="D1201" s="31" t="str">
        <f t="shared" si="1"/>
        <v/>
      </c>
    </row>
    <row r="1202">
      <c r="A1202" s="32"/>
      <c r="D1202" s="31" t="str">
        <f t="shared" si="1"/>
        <v/>
      </c>
    </row>
    <row r="1203">
      <c r="A1203" s="32"/>
      <c r="D1203" s="31" t="str">
        <f t="shared" si="1"/>
        <v/>
      </c>
    </row>
    <row r="1204">
      <c r="A1204" s="32"/>
      <c r="D1204" s="31" t="str">
        <f t="shared" si="1"/>
        <v/>
      </c>
    </row>
    <row r="1205">
      <c r="A1205" s="32"/>
      <c r="D1205" s="31" t="str">
        <f t="shared" si="1"/>
        <v/>
      </c>
    </row>
    <row r="1206">
      <c r="A1206" s="32"/>
      <c r="D1206" s="31" t="str">
        <f t="shared" si="1"/>
        <v/>
      </c>
    </row>
    <row r="1207">
      <c r="A1207" s="32"/>
      <c r="D1207" s="31" t="str">
        <f t="shared" si="1"/>
        <v/>
      </c>
    </row>
    <row r="1208">
      <c r="A1208" s="32"/>
      <c r="D1208" s="31" t="str">
        <f t="shared" si="1"/>
        <v/>
      </c>
    </row>
    <row r="1209">
      <c r="A1209" s="32"/>
      <c r="D1209" s="31" t="str">
        <f t="shared" si="1"/>
        <v/>
      </c>
    </row>
    <row r="1210">
      <c r="A1210" s="32"/>
      <c r="D1210" s="31" t="str">
        <f t="shared" si="1"/>
        <v/>
      </c>
    </row>
    <row r="1211">
      <c r="A1211" s="32"/>
      <c r="D1211" s="31" t="str">
        <f t="shared" si="1"/>
        <v/>
      </c>
    </row>
    <row r="1212">
      <c r="A1212" s="32"/>
      <c r="D1212" s="31" t="str">
        <f t="shared" si="1"/>
        <v/>
      </c>
    </row>
    <row r="1213">
      <c r="A1213" s="32"/>
      <c r="D1213" s="31" t="str">
        <f t="shared" si="1"/>
        <v/>
      </c>
    </row>
    <row r="1214">
      <c r="A1214" s="32"/>
      <c r="D1214" s="31" t="str">
        <f t="shared" si="1"/>
        <v/>
      </c>
    </row>
    <row r="1215">
      <c r="A1215" s="32"/>
      <c r="D1215" s="31" t="str">
        <f t="shared" si="1"/>
        <v/>
      </c>
    </row>
    <row r="1216">
      <c r="A1216" s="32"/>
      <c r="D1216" s="31" t="str">
        <f t="shared" si="1"/>
        <v/>
      </c>
    </row>
    <row r="1217">
      <c r="A1217" s="32"/>
      <c r="D1217" s="31" t="str">
        <f t="shared" si="1"/>
        <v/>
      </c>
    </row>
    <row r="1218">
      <c r="A1218" s="32"/>
      <c r="D1218" s="31" t="str">
        <f t="shared" si="1"/>
        <v/>
      </c>
    </row>
    <row r="1219">
      <c r="A1219" s="32"/>
      <c r="D1219" s="31" t="str">
        <f t="shared" si="1"/>
        <v/>
      </c>
    </row>
    <row r="1220">
      <c r="A1220" s="32"/>
      <c r="D1220" s="31" t="str">
        <f t="shared" si="1"/>
        <v/>
      </c>
    </row>
    <row r="1221">
      <c r="A1221" s="32"/>
      <c r="D1221" s="31" t="str">
        <f t="shared" si="1"/>
        <v/>
      </c>
    </row>
    <row r="1222">
      <c r="A1222" s="32"/>
      <c r="D1222" s="31" t="str">
        <f t="shared" si="1"/>
        <v/>
      </c>
    </row>
    <row r="1223">
      <c r="A1223" s="32"/>
      <c r="D1223" s="31" t="str">
        <f t="shared" si="1"/>
        <v/>
      </c>
    </row>
    <row r="1224">
      <c r="A1224" s="32"/>
      <c r="D1224" s="31" t="str">
        <f t="shared" si="1"/>
        <v/>
      </c>
    </row>
    <row r="1225">
      <c r="A1225" s="32"/>
      <c r="D1225" s="31" t="str">
        <f t="shared" si="1"/>
        <v/>
      </c>
    </row>
    <row r="1226">
      <c r="A1226" s="32"/>
      <c r="D1226" s="31" t="str">
        <f t="shared" si="1"/>
        <v/>
      </c>
    </row>
    <row r="1227">
      <c r="A1227" s="32"/>
      <c r="D1227" s="31" t="str">
        <f t="shared" si="1"/>
        <v/>
      </c>
    </row>
    <row r="1228">
      <c r="A1228" s="32"/>
      <c r="D1228" s="31" t="str">
        <f t="shared" si="1"/>
        <v/>
      </c>
    </row>
    <row r="1229">
      <c r="A1229" s="32"/>
      <c r="D1229" s="31" t="str">
        <f t="shared" si="1"/>
        <v/>
      </c>
    </row>
    <row r="1230">
      <c r="A1230" s="32"/>
      <c r="D1230" s="31" t="str">
        <f t="shared" si="1"/>
        <v/>
      </c>
    </row>
    <row r="1231">
      <c r="A1231" s="32"/>
      <c r="D1231" s="31" t="str">
        <f t="shared" si="1"/>
        <v/>
      </c>
    </row>
    <row r="1232">
      <c r="A1232" s="32"/>
      <c r="D1232" s="31" t="str">
        <f t="shared" si="1"/>
        <v/>
      </c>
    </row>
    <row r="1233">
      <c r="A1233" s="32"/>
      <c r="D1233" s="31" t="str">
        <f t="shared" si="1"/>
        <v/>
      </c>
    </row>
    <row r="1234">
      <c r="A1234" s="32"/>
      <c r="D1234" s="31" t="str">
        <f t="shared" si="1"/>
        <v/>
      </c>
    </row>
    <row r="1235">
      <c r="A1235" s="32"/>
      <c r="D1235" s="31" t="str">
        <f t="shared" si="1"/>
        <v/>
      </c>
    </row>
    <row r="1236">
      <c r="A1236" s="32"/>
      <c r="D1236" s="31" t="str">
        <f t="shared" si="1"/>
        <v/>
      </c>
    </row>
    <row r="1237">
      <c r="A1237" s="32"/>
      <c r="D1237" s="31" t="str">
        <f t="shared" si="1"/>
        <v/>
      </c>
    </row>
    <row r="1238">
      <c r="A1238" s="32"/>
      <c r="D1238" s="31" t="str">
        <f t="shared" si="1"/>
        <v/>
      </c>
    </row>
    <row r="1239">
      <c r="A1239" s="32"/>
      <c r="D1239" s="31" t="str">
        <f t="shared" si="1"/>
        <v/>
      </c>
    </row>
    <row r="1240">
      <c r="A1240" s="32"/>
      <c r="D1240" s="31" t="str">
        <f t="shared" si="1"/>
        <v/>
      </c>
    </row>
    <row r="1241">
      <c r="A1241" s="32"/>
      <c r="D1241" s="31" t="str">
        <f t="shared" si="1"/>
        <v/>
      </c>
    </row>
    <row r="1242">
      <c r="A1242" s="32"/>
      <c r="D1242" s="31" t="str">
        <f t="shared" si="1"/>
        <v/>
      </c>
    </row>
    <row r="1243">
      <c r="A1243" s="32"/>
      <c r="D1243" s="31" t="str">
        <f t="shared" si="1"/>
        <v/>
      </c>
    </row>
    <row r="1244">
      <c r="A1244" s="32"/>
      <c r="D1244" s="31" t="str">
        <f t="shared" si="1"/>
        <v/>
      </c>
    </row>
    <row r="1245">
      <c r="A1245" s="32"/>
      <c r="D1245" s="31" t="str">
        <f t="shared" si="1"/>
        <v/>
      </c>
    </row>
    <row r="1246">
      <c r="A1246" s="32"/>
      <c r="D1246" s="31" t="str">
        <f t="shared" si="1"/>
        <v/>
      </c>
    </row>
    <row r="1247">
      <c r="A1247" s="32"/>
      <c r="D1247" s="31" t="str">
        <f t="shared" si="1"/>
        <v/>
      </c>
    </row>
    <row r="1248">
      <c r="A1248" s="32"/>
      <c r="D1248" s="31" t="str">
        <f t="shared" si="1"/>
        <v/>
      </c>
    </row>
    <row r="1249">
      <c r="A1249" s="32"/>
      <c r="D1249" s="31" t="str">
        <f t="shared" si="1"/>
        <v/>
      </c>
    </row>
    <row r="1250">
      <c r="A1250" s="32"/>
      <c r="D1250" s="31" t="str">
        <f t="shared" si="1"/>
        <v/>
      </c>
    </row>
    <row r="1251">
      <c r="A1251" s="32"/>
      <c r="D1251" s="31" t="str">
        <f t="shared" si="1"/>
        <v/>
      </c>
    </row>
    <row r="1252">
      <c r="A1252" s="32"/>
      <c r="D1252" s="31" t="str">
        <f t="shared" si="1"/>
        <v/>
      </c>
    </row>
    <row r="1253">
      <c r="A1253" s="32"/>
      <c r="D1253" s="31" t="str">
        <f t="shared" si="1"/>
        <v/>
      </c>
    </row>
    <row r="1254">
      <c r="A1254" s="32"/>
      <c r="D1254" s="31" t="str">
        <f t="shared" si="1"/>
        <v/>
      </c>
    </row>
    <row r="1255">
      <c r="A1255" s="32"/>
      <c r="D1255" s="31" t="str">
        <f t="shared" si="1"/>
        <v/>
      </c>
    </row>
    <row r="1256">
      <c r="A1256" s="32"/>
      <c r="D1256" s="31" t="str">
        <f t="shared" si="1"/>
        <v/>
      </c>
    </row>
    <row r="1257">
      <c r="A1257" s="32"/>
      <c r="D1257" s="31" t="str">
        <f t="shared" si="1"/>
        <v/>
      </c>
    </row>
    <row r="1258">
      <c r="A1258" s="32"/>
      <c r="D1258" s="31" t="str">
        <f t="shared" si="1"/>
        <v/>
      </c>
    </row>
    <row r="1259">
      <c r="A1259" s="32"/>
      <c r="D1259" s="31" t="str">
        <f t="shared" si="1"/>
        <v/>
      </c>
    </row>
    <row r="1260">
      <c r="A1260" s="32"/>
      <c r="D1260" s="31" t="str">
        <f t="shared" si="1"/>
        <v/>
      </c>
    </row>
    <row r="1261">
      <c r="A1261" s="32"/>
      <c r="D1261" s="31" t="str">
        <f t="shared" si="1"/>
        <v/>
      </c>
    </row>
    <row r="1262">
      <c r="A1262" s="32"/>
      <c r="D1262" s="31" t="str">
        <f t="shared" si="1"/>
        <v/>
      </c>
    </row>
    <row r="1263">
      <c r="A1263" s="32"/>
      <c r="D1263" s="31" t="str">
        <f t="shared" si="1"/>
        <v/>
      </c>
    </row>
    <row r="1264">
      <c r="A1264" s="32"/>
      <c r="D1264" s="31" t="str">
        <f t="shared" si="1"/>
        <v/>
      </c>
    </row>
    <row r="1265">
      <c r="A1265" s="32"/>
      <c r="D1265" s="31" t="str">
        <f t="shared" si="1"/>
        <v/>
      </c>
    </row>
    <row r="1266">
      <c r="A1266" s="32"/>
      <c r="D1266" s="31" t="str">
        <f t="shared" si="1"/>
        <v/>
      </c>
    </row>
    <row r="1267">
      <c r="A1267" s="32"/>
      <c r="D1267" s="31" t="str">
        <f t="shared" si="1"/>
        <v/>
      </c>
    </row>
    <row r="1268">
      <c r="A1268" s="32"/>
      <c r="D1268" s="31" t="str">
        <f t="shared" si="1"/>
        <v/>
      </c>
    </row>
    <row r="1269">
      <c r="A1269" s="32"/>
      <c r="D1269" s="31" t="str">
        <f t="shared" si="1"/>
        <v/>
      </c>
    </row>
    <row r="1270">
      <c r="A1270" s="32"/>
      <c r="D1270" s="31" t="str">
        <f t="shared" si="1"/>
        <v/>
      </c>
    </row>
    <row r="1271">
      <c r="A1271" s="32"/>
      <c r="D1271" s="31" t="str">
        <f t="shared" si="1"/>
        <v/>
      </c>
    </row>
    <row r="1272">
      <c r="A1272" s="32"/>
      <c r="D1272" s="31" t="str">
        <f t="shared" si="1"/>
        <v/>
      </c>
    </row>
    <row r="1273">
      <c r="A1273" s="32"/>
      <c r="D1273" s="31" t="str">
        <f t="shared" si="1"/>
        <v/>
      </c>
    </row>
    <row r="1274">
      <c r="A1274" s="32"/>
      <c r="D1274" s="31" t="str">
        <f t="shared" si="1"/>
        <v/>
      </c>
    </row>
    <row r="1275">
      <c r="A1275" s="32"/>
      <c r="D1275" s="31" t="str">
        <f t="shared" si="1"/>
        <v/>
      </c>
    </row>
    <row r="1276">
      <c r="A1276" s="32"/>
      <c r="D1276" s="31" t="str">
        <f t="shared" si="1"/>
        <v/>
      </c>
    </row>
    <row r="1277">
      <c r="A1277" s="32"/>
      <c r="D1277" s="31" t="str">
        <f t="shared" si="1"/>
        <v/>
      </c>
    </row>
    <row r="1278">
      <c r="A1278" s="32"/>
      <c r="D1278" s="31" t="str">
        <f t="shared" si="1"/>
        <v/>
      </c>
    </row>
    <row r="1279">
      <c r="A1279" s="32"/>
      <c r="D1279" s="31" t="str">
        <f t="shared" si="1"/>
        <v/>
      </c>
    </row>
    <row r="1280">
      <c r="A1280" s="32"/>
      <c r="D1280" s="31" t="str">
        <f t="shared" si="1"/>
        <v/>
      </c>
    </row>
    <row r="1281">
      <c r="A1281" s="32"/>
      <c r="D1281" s="31" t="str">
        <f t="shared" si="1"/>
        <v/>
      </c>
    </row>
    <row r="1282">
      <c r="A1282" s="32"/>
      <c r="D1282" s="31" t="str">
        <f t="shared" si="1"/>
        <v/>
      </c>
    </row>
    <row r="1283">
      <c r="A1283" s="32"/>
      <c r="D1283" s="31" t="str">
        <f t="shared" si="1"/>
        <v/>
      </c>
    </row>
    <row r="1284">
      <c r="A1284" s="32"/>
      <c r="D1284" s="31" t="str">
        <f t="shared" si="1"/>
        <v/>
      </c>
    </row>
    <row r="1285">
      <c r="A1285" s="32"/>
      <c r="D1285" s="31" t="str">
        <f t="shared" si="1"/>
        <v/>
      </c>
    </row>
    <row r="1286">
      <c r="A1286" s="32"/>
      <c r="D1286" s="31" t="str">
        <f t="shared" si="1"/>
        <v/>
      </c>
    </row>
    <row r="1287">
      <c r="A1287" s="32"/>
      <c r="D1287" s="31" t="str">
        <f t="shared" si="1"/>
        <v/>
      </c>
    </row>
    <row r="1288">
      <c r="A1288" s="32"/>
      <c r="D1288" s="31" t="str">
        <f t="shared" si="1"/>
        <v/>
      </c>
    </row>
    <row r="1289">
      <c r="A1289" s="32"/>
      <c r="D1289" s="31" t="str">
        <f t="shared" si="1"/>
        <v/>
      </c>
    </row>
    <row r="1290">
      <c r="A1290" s="32"/>
      <c r="D1290" s="31" t="str">
        <f t="shared" si="1"/>
        <v/>
      </c>
    </row>
    <row r="1291">
      <c r="A1291" s="32"/>
      <c r="D1291" s="31" t="str">
        <f t="shared" si="1"/>
        <v/>
      </c>
    </row>
    <row r="1292">
      <c r="A1292" s="32"/>
      <c r="D1292" s="31" t="str">
        <f t="shared" si="1"/>
        <v/>
      </c>
    </row>
    <row r="1293">
      <c r="A1293" s="32"/>
      <c r="D1293" s="31" t="str">
        <f t="shared" si="1"/>
        <v/>
      </c>
    </row>
    <row r="1294">
      <c r="A1294" s="32"/>
      <c r="D1294" s="31" t="str">
        <f t="shared" si="1"/>
        <v/>
      </c>
    </row>
    <row r="1295">
      <c r="A1295" s="32"/>
      <c r="D1295" s="31" t="str">
        <f t="shared" si="1"/>
        <v/>
      </c>
    </row>
    <row r="1296">
      <c r="A1296" s="32"/>
      <c r="D1296" s="31" t="str">
        <f t="shared" si="1"/>
        <v/>
      </c>
    </row>
    <row r="1297">
      <c r="A1297" s="32"/>
      <c r="D1297" s="31" t="str">
        <f t="shared" si="1"/>
        <v/>
      </c>
    </row>
    <row r="1298">
      <c r="A1298" s="32"/>
      <c r="D1298" s="31" t="str">
        <f t="shared" si="1"/>
        <v/>
      </c>
    </row>
    <row r="1299">
      <c r="A1299" s="32"/>
      <c r="D1299" s="31" t="str">
        <f t="shared" si="1"/>
        <v/>
      </c>
    </row>
    <row r="1300">
      <c r="A1300" s="32"/>
      <c r="D1300" s="31" t="str">
        <f t="shared" si="1"/>
        <v/>
      </c>
    </row>
    <row r="1301">
      <c r="A1301" s="32"/>
      <c r="D1301" s="31" t="str">
        <f t="shared" si="1"/>
        <v/>
      </c>
    </row>
    <row r="1302">
      <c r="A1302" s="32"/>
      <c r="D1302" s="31" t="str">
        <f t="shared" si="1"/>
        <v/>
      </c>
    </row>
    <row r="1303">
      <c r="A1303" s="32"/>
      <c r="D1303" s="31" t="str">
        <f t="shared" si="1"/>
        <v/>
      </c>
    </row>
    <row r="1304">
      <c r="A1304" s="32"/>
      <c r="D1304" s="31" t="str">
        <f t="shared" si="1"/>
        <v/>
      </c>
    </row>
    <row r="1305">
      <c r="A1305" s="32"/>
      <c r="D1305" s="31" t="str">
        <f t="shared" si="1"/>
        <v/>
      </c>
    </row>
    <row r="1306">
      <c r="A1306" s="32"/>
      <c r="D1306" s="31" t="str">
        <f t="shared" si="1"/>
        <v/>
      </c>
    </row>
    <row r="1307">
      <c r="A1307" s="32"/>
      <c r="D1307" s="31" t="str">
        <f t="shared" si="1"/>
        <v/>
      </c>
    </row>
    <row r="1308">
      <c r="A1308" s="32"/>
      <c r="D1308" s="31" t="str">
        <f t="shared" si="1"/>
        <v/>
      </c>
    </row>
    <row r="1309">
      <c r="A1309" s="32"/>
      <c r="D1309" s="31" t="str">
        <f t="shared" si="1"/>
        <v/>
      </c>
    </row>
    <row r="1310">
      <c r="A1310" s="32"/>
      <c r="D1310" s="31" t="str">
        <f t="shared" si="1"/>
        <v/>
      </c>
    </row>
    <row r="1311">
      <c r="A1311" s="32"/>
      <c r="D1311" s="31" t="str">
        <f t="shared" si="1"/>
        <v/>
      </c>
    </row>
    <row r="1312">
      <c r="A1312" s="32"/>
      <c r="D1312" s="31" t="str">
        <f t="shared" si="1"/>
        <v/>
      </c>
    </row>
    <row r="1313">
      <c r="A1313" s="32"/>
      <c r="D1313" s="31" t="str">
        <f t="shared" si="1"/>
        <v/>
      </c>
    </row>
    <row r="1314">
      <c r="A1314" s="32"/>
      <c r="D1314" s="31" t="str">
        <f t="shared" si="1"/>
        <v/>
      </c>
    </row>
    <row r="1315">
      <c r="A1315" s="32"/>
      <c r="D1315" s="31" t="str">
        <f t="shared" si="1"/>
        <v/>
      </c>
    </row>
    <row r="1316">
      <c r="A1316" s="32"/>
      <c r="D1316" s="31" t="str">
        <f t="shared" si="1"/>
        <v/>
      </c>
    </row>
    <row r="1317">
      <c r="A1317" s="32"/>
      <c r="D1317" s="31" t="str">
        <f t="shared" si="1"/>
        <v/>
      </c>
    </row>
    <row r="1318">
      <c r="A1318" s="32"/>
      <c r="D1318" s="31" t="str">
        <f t="shared" si="1"/>
        <v/>
      </c>
    </row>
    <row r="1319">
      <c r="A1319" s="32"/>
      <c r="D1319" s="31" t="str">
        <f t="shared" si="1"/>
        <v/>
      </c>
    </row>
    <row r="1320">
      <c r="A1320" s="32"/>
      <c r="D1320" s="31" t="str">
        <f t="shared" si="1"/>
        <v/>
      </c>
    </row>
    <row r="1321">
      <c r="A1321" s="32"/>
      <c r="D1321" s="31" t="str">
        <f t="shared" si="1"/>
        <v/>
      </c>
    </row>
    <row r="1322">
      <c r="A1322" s="32"/>
      <c r="D1322" s="31" t="str">
        <f t="shared" si="1"/>
        <v/>
      </c>
    </row>
    <row r="1323">
      <c r="A1323" s="32"/>
      <c r="D1323" s="31" t="str">
        <f t="shared" si="1"/>
        <v/>
      </c>
    </row>
    <row r="1324">
      <c r="A1324" s="32"/>
      <c r="D1324" s="31" t="str">
        <f t="shared" si="1"/>
        <v/>
      </c>
    </row>
    <row r="1325">
      <c r="A1325" s="32"/>
      <c r="D1325" s="31" t="str">
        <f t="shared" si="1"/>
        <v/>
      </c>
    </row>
    <row r="1326">
      <c r="A1326" s="32"/>
      <c r="D1326" s="31" t="str">
        <f t="shared" si="1"/>
        <v/>
      </c>
    </row>
    <row r="1327">
      <c r="A1327" s="32"/>
      <c r="D1327" s="31" t="str">
        <f t="shared" si="1"/>
        <v/>
      </c>
    </row>
    <row r="1328">
      <c r="A1328" s="32"/>
      <c r="D1328" s="31" t="str">
        <f t="shared" si="1"/>
        <v/>
      </c>
    </row>
    <row r="1329">
      <c r="A1329" s="32"/>
      <c r="D1329" s="31" t="str">
        <f t="shared" si="1"/>
        <v/>
      </c>
    </row>
    <row r="1330">
      <c r="A1330" s="32"/>
      <c r="D1330" s="31" t="str">
        <f t="shared" si="1"/>
        <v/>
      </c>
    </row>
    <row r="1331">
      <c r="A1331" s="32"/>
      <c r="D1331" s="31" t="str">
        <f t="shared" si="1"/>
        <v/>
      </c>
    </row>
    <row r="1332">
      <c r="A1332" s="32"/>
      <c r="D1332" s="31" t="str">
        <f t="shared" si="1"/>
        <v/>
      </c>
    </row>
    <row r="1333">
      <c r="A1333" s="32"/>
      <c r="D1333" s="31" t="str">
        <f t="shared" si="1"/>
        <v/>
      </c>
    </row>
    <row r="1334">
      <c r="A1334" s="32"/>
      <c r="D1334" s="31" t="str">
        <f t="shared" si="1"/>
        <v/>
      </c>
    </row>
    <row r="1335">
      <c r="A1335" s="32"/>
      <c r="D1335" s="31" t="str">
        <f t="shared" si="1"/>
        <v/>
      </c>
    </row>
    <row r="1336">
      <c r="A1336" s="32"/>
      <c r="D1336" s="31" t="str">
        <f t="shared" si="1"/>
        <v/>
      </c>
    </row>
    <row r="1337">
      <c r="A1337" s="32"/>
      <c r="D1337" s="31" t="str">
        <f t="shared" si="1"/>
        <v/>
      </c>
    </row>
    <row r="1338">
      <c r="A1338" s="32"/>
      <c r="D1338" s="31" t="str">
        <f t="shared" si="1"/>
        <v/>
      </c>
    </row>
    <row r="1339">
      <c r="A1339" s="32"/>
      <c r="D1339" s="31" t="str">
        <f t="shared" si="1"/>
        <v/>
      </c>
    </row>
    <row r="1340">
      <c r="A1340" s="32"/>
      <c r="D1340" s="31" t="str">
        <f t="shared" si="1"/>
        <v/>
      </c>
    </row>
    <row r="1341">
      <c r="A1341" s="32"/>
      <c r="D1341" s="31" t="str">
        <f t="shared" si="1"/>
        <v/>
      </c>
    </row>
    <row r="1342">
      <c r="A1342" s="32"/>
      <c r="D1342" s="31" t="str">
        <f t="shared" si="1"/>
        <v/>
      </c>
    </row>
    <row r="1343">
      <c r="A1343" s="32"/>
      <c r="D1343" s="31" t="str">
        <f t="shared" si="1"/>
        <v/>
      </c>
    </row>
    <row r="1344">
      <c r="A1344" s="32"/>
      <c r="D1344" s="31" t="str">
        <f t="shared" si="1"/>
        <v/>
      </c>
    </row>
    <row r="1345">
      <c r="A1345" s="32"/>
      <c r="D1345" s="31" t="str">
        <f t="shared" si="1"/>
        <v/>
      </c>
    </row>
    <row r="1346">
      <c r="A1346" s="32"/>
      <c r="D1346" s="31" t="str">
        <f t="shared" si="1"/>
        <v/>
      </c>
    </row>
    <row r="1347">
      <c r="A1347" s="32"/>
      <c r="D1347" s="31" t="str">
        <f t="shared" si="1"/>
        <v/>
      </c>
    </row>
    <row r="1348">
      <c r="A1348" s="32"/>
      <c r="D1348" s="31" t="str">
        <f t="shared" si="1"/>
        <v/>
      </c>
    </row>
    <row r="1349">
      <c r="A1349" s="32"/>
      <c r="D1349" s="31" t="str">
        <f t="shared" si="1"/>
        <v/>
      </c>
    </row>
    <row r="1350">
      <c r="A1350" s="32"/>
      <c r="D1350" s="31" t="str">
        <f t="shared" si="1"/>
        <v/>
      </c>
    </row>
    <row r="1351">
      <c r="A1351" s="32"/>
      <c r="D1351" s="31" t="str">
        <f t="shared" si="1"/>
        <v/>
      </c>
    </row>
    <row r="1352">
      <c r="A1352" s="32"/>
      <c r="D1352" s="31" t="str">
        <f t="shared" si="1"/>
        <v/>
      </c>
    </row>
    <row r="1353">
      <c r="A1353" s="32"/>
      <c r="D1353" s="31" t="str">
        <f t="shared" si="1"/>
        <v/>
      </c>
    </row>
    <row r="1354">
      <c r="A1354" s="32"/>
      <c r="D1354" s="31" t="str">
        <f t="shared" si="1"/>
        <v/>
      </c>
    </row>
    <row r="1355">
      <c r="A1355" s="32"/>
      <c r="D1355" s="31" t="str">
        <f t="shared" si="1"/>
        <v/>
      </c>
    </row>
    <row r="1356">
      <c r="A1356" s="32"/>
      <c r="D1356" s="31" t="str">
        <f t="shared" si="1"/>
        <v/>
      </c>
    </row>
    <row r="1357">
      <c r="A1357" s="32"/>
      <c r="D1357" s="31" t="str">
        <f t="shared" si="1"/>
        <v/>
      </c>
    </row>
    <row r="1358">
      <c r="A1358" s="32"/>
      <c r="D1358" s="31" t="str">
        <f t="shared" si="1"/>
        <v/>
      </c>
    </row>
    <row r="1359">
      <c r="A1359" s="32"/>
      <c r="D1359" s="31" t="str">
        <f t="shared" si="1"/>
        <v/>
      </c>
    </row>
    <row r="1360">
      <c r="A1360" s="32"/>
      <c r="D1360" s="31" t="str">
        <f t="shared" si="1"/>
        <v/>
      </c>
    </row>
    <row r="1361">
      <c r="A1361" s="32"/>
      <c r="D1361" s="31" t="str">
        <f t="shared" si="1"/>
        <v/>
      </c>
    </row>
    <row r="1362">
      <c r="A1362" s="32"/>
      <c r="D1362" s="31" t="str">
        <f t="shared" si="1"/>
        <v/>
      </c>
    </row>
    <row r="1363">
      <c r="A1363" s="32"/>
      <c r="D1363" s="31" t="str">
        <f t="shared" si="1"/>
        <v/>
      </c>
    </row>
    <row r="1364">
      <c r="A1364" s="32"/>
      <c r="D1364" s="31" t="str">
        <f t="shared" si="1"/>
        <v/>
      </c>
    </row>
    <row r="1365">
      <c r="A1365" s="32"/>
      <c r="D1365" s="31" t="str">
        <f t="shared" si="1"/>
        <v/>
      </c>
    </row>
    <row r="1366">
      <c r="A1366" s="32"/>
      <c r="D1366" s="31" t="str">
        <f t="shared" si="1"/>
        <v/>
      </c>
    </row>
    <row r="1367">
      <c r="A1367" s="32"/>
      <c r="D1367" s="31" t="str">
        <f t="shared" si="1"/>
        <v/>
      </c>
    </row>
    <row r="1368">
      <c r="A1368" s="32"/>
      <c r="D1368" s="31" t="str">
        <f t="shared" si="1"/>
        <v/>
      </c>
    </row>
    <row r="1369">
      <c r="A1369" s="32"/>
      <c r="D1369" s="31" t="str">
        <f t="shared" si="1"/>
        <v/>
      </c>
    </row>
    <row r="1370">
      <c r="A1370" s="32"/>
      <c r="D1370" s="31" t="str">
        <f t="shared" si="1"/>
        <v/>
      </c>
    </row>
    <row r="1371">
      <c r="A1371" s="32"/>
      <c r="D1371" s="31" t="str">
        <f t="shared" si="1"/>
        <v/>
      </c>
    </row>
    <row r="1372">
      <c r="A1372" s="32"/>
      <c r="D1372" s="31" t="str">
        <f t="shared" si="1"/>
        <v/>
      </c>
    </row>
    <row r="1373">
      <c r="A1373" s="32"/>
      <c r="D1373" s="31" t="str">
        <f t="shared" si="1"/>
        <v/>
      </c>
    </row>
    <row r="1374">
      <c r="A1374" s="32"/>
      <c r="D1374" s="31" t="str">
        <f t="shared" si="1"/>
        <v/>
      </c>
    </row>
    <row r="1375">
      <c r="A1375" s="32"/>
      <c r="D1375" s="31" t="str">
        <f t="shared" si="1"/>
        <v/>
      </c>
    </row>
    <row r="1376">
      <c r="A1376" s="32"/>
      <c r="D1376" s="31" t="str">
        <f t="shared" si="1"/>
        <v/>
      </c>
    </row>
    <row r="1377">
      <c r="A1377" s="32"/>
      <c r="D1377" s="31" t="str">
        <f t="shared" si="1"/>
        <v/>
      </c>
    </row>
    <row r="1378">
      <c r="A1378" s="32"/>
      <c r="D1378" s="31" t="str">
        <f t="shared" si="1"/>
        <v/>
      </c>
    </row>
    <row r="1379">
      <c r="A1379" s="32"/>
      <c r="D1379" s="31" t="str">
        <f t="shared" si="1"/>
        <v/>
      </c>
    </row>
    <row r="1380">
      <c r="A1380" s="32"/>
      <c r="D1380" s="31" t="str">
        <f t="shared" si="1"/>
        <v/>
      </c>
    </row>
    <row r="1381">
      <c r="A1381" s="32"/>
      <c r="D1381" s="31" t="str">
        <f t="shared" si="1"/>
        <v/>
      </c>
    </row>
    <row r="1382">
      <c r="A1382" s="32"/>
      <c r="D1382" s="31" t="str">
        <f t="shared" si="1"/>
        <v/>
      </c>
    </row>
    <row r="1383">
      <c r="A1383" s="32"/>
      <c r="D1383" s="31" t="str">
        <f t="shared" si="1"/>
        <v/>
      </c>
    </row>
    <row r="1384">
      <c r="A1384" s="32"/>
      <c r="D1384" s="31" t="str">
        <f t="shared" si="1"/>
        <v/>
      </c>
    </row>
    <row r="1385">
      <c r="A1385" s="32"/>
      <c r="D1385" s="31" t="str">
        <f t="shared" si="1"/>
        <v/>
      </c>
    </row>
    <row r="1386">
      <c r="A1386" s="32"/>
      <c r="D1386" s="31" t="str">
        <f t="shared" si="1"/>
        <v/>
      </c>
    </row>
    <row r="1387">
      <c r="A1387" s="32"/>
      <c r="D1387" s="31" t="str">
        <f t="shared" si="1"/>
        <v/>
      </c>
    </row>
    <row r="1388">
      <c r="A1388" s="32"/>
      <c r="D1388" s="31" t="str">
        <f t="shared" si="1"/>
        <v/>
      </c>
    </row>
    <row r="1389">
      <c r="A1389" s="32"/>
      <c r="D1389" s="31" t="str">
        <f t="shared" si="1"/>
        <v/>
      </c>
    </row>
    <row r="1390">
      <c r="A1390" s="32"/>
      <c r="D1390" s="31" t="str">
        <f t="shared" si="1"/>
        <v/>
      </c>
    </row>
    <row r="1391">
      <c r="A1391" s="32"/>
      <c r="D1391" s="31" t="str">
        <f t="shared" si="1"/>
        <v/>
      </c>
    </row>
    <row r="1392">
      <c r="A1392" s="32"/>
      <c r="D1392" s="31" t="str">
        <f t="shared" si="1"/>
        <v/>
      </c>
    </row>
    <row r="1393">
      <c r="A1393" s="32"/>
      <c r="D1393" s="31" t="str">
        <f t="shared" si="1"/>
        <v/>
      </c>
    </row>
    <row r="1394">
      <c r="A1394" s="32"/>
      <c r="D1394" s="31" t="str">
        <f t="shared" si="1"/>
        <v/>
      </c>
    </row>
    <row r="1395">
      <c r="A1395" s="32"/>
      <c r="D1395" s="31" t="str">
        <f t="shared" si="1"/>
        <v/>
      </c>
    </row>
    <row r="1396">
      <c r="A1396" s="32"/>
      <c r="D1396" s="31" t="str">
        <f t="shared" si="1"/>
        <v/>
      </c>
    </row>
    <row r="1397">
      <c r="A1397" s="32"/>
      <c r="D1397" s="31" t="str">
        <f t="shared" si="1"/>
        <v/>
      </c>
    </row>
    <row r="1398">
      <c r="A1398" s="32"/>
      <c r="D1398" s="31" t="str">
        <f t="shared" si="1"/>
        <v/>
      </c>
    </row>
    <row r="1399">
      <c r="A1399" s="32"/>
      <c r="D1399" s="31" t="str">
        <f t="shared" si="1"/>
        <v/>
      </c>
    </row>
    <row r="1400">
      <c r="A1400" s="32"/>
      <c r="D1400" s="31" t="str">
        <f t="shared" si="1"/>
        <v/>
      </c>
    </row>
    <row r="1401">
      <c r="A1401" s="32"/>
      <c r="D1401" s="31" t="str">
        <f t="shared" si="1"/>
        <v/>
      </c>
    </row>
    <row r="1402">
      <c r="A1402" s="32"/>
      <c r="D1402" s="31" t="str">
        <f t="shared" si="1"/>
        <v/>
      </c>
    </row>
    <row r="1403">
      <c r="A1403" s="32"/>
      <c r="D1403" s="31" t="str">
        <f t="shared" si="1"/>
        <v/>
      </c>
    </row>
    <row r="1404">
      <c r="A1404" s="32"/>
      <c r="D1404" s="31" t="str">
        <f t="shared" si="1"/>
        <v/>
      </c>
    </row>
    <row r="1405">
      <c r="A1405" s="32"/>
      <c r="D1405" s="31" t="str">
        <f t="shared" si="1"/>
        <v/>
      </c>
    </row>
    <row r="1406">
      <c r="A1406" s="32"/>
      <c r="D1406" s="31" t="str">
        <f t="shared" si="1"/>
        <v/>
      </c>
    </row>
    <row r="1407">
      <c r="A1407" s="32"/>
      <c r="D1407" s="31" t="str">
        <f t="shared" si="1"/>
        <v/>
      </c>
    </row>
    <row r="1408">
      <c r="A1408" s="32"/>
      <c r="D1408" s="31" t="str">
        <f t="shared" si="1"/>
        <v/>
      </c>
    </row>
    <row r="1409">
      <c r="A1409" s="32"/>
      <c r="D1409" s="31" t="str">
        <f t="shared" si="1"/>
        <v/>
      </c>
    </row>
    <row r="1410">
      <c r="A1410" s="32"/>
      <c r="D1410" s="31" t="str">
        <f t="shared" si="1"/>
        <v/>
      </c>
    </row>
    <row r="1411">
      <c r="A1411" s="32"/>
      <c r="D1411" s="31" t="str">
        <f t="shared" si="1"/>
        <v/>
      </c>
    </row>
    <row r="1412">
      <c r="A1412" s="32"/>
      <c r="D1412" s="31" t="str">
        <f t="shared" si="1"/>
        <v/>
      </c>
    </row>
    <row r="1413">
      <c r="A1413" s="32"/>
      <c r="D1413" s="31" t="str">
        <f t="shared" si="1"/>
        <v/>
      </c>
    </row>
    <row r="1414">
      <c r="A1414" s="32"/>
      <c r="D1414" s="31" t="str">
        <f t="shared" si="1"/>
        <v/>
      </c>
    </row>
    <row r="1415">
      <c r="A1415" s="32"/>
      <c r="D1415" s="31" t="str">
        <f t="shared" si="1"/>
        <v/>
      </c>
    </row>
    <row r="1416">
      <c r="A1416" s="32"/>
      <c r="D1416" s="31" t="str">
        <f t="shared" si="1"/>
        <v/>
      </c>
    </row>
    <row r="1417">
      <c r="A1417" s="32"/>
      <c r="D1417" s="31" t="str">
        <f t="shared" si="1"/>
        <v/>
      </c>
    </row>
    <row r="1418">
      <c r="A1418" s="32"/>
      <c r="D1418" s="31" t="str">
        <f t="shared" si="1"/>
        <v/>
      </c>
    </row>
    <row r="1419">
      <c r="A1419" s="32"/>
      <c r="D1419" s="31" t="str">
        <f t="shared" si="1"/>
        <v/>
      </c>
    </row>
    <row r="1420">
      <c r="A1420" s="32"/>
      <c r="D1420" s="31" t="str">
        <f t="shared" si="1"/>
        <v/>
      </c>
    </row>
    <row r="1421">
      <c r="A1421" s="32"/>
      <c r="D1421" s="31" t="str">
        <f t="shared" si="1"/>
        <v/>
      </c>
    </row>
    <row r="1422">
      <c r="A1422" s="32"/>
      <c r="D1422" s="31" t="str">
        <f t="shared" si="1"/>
        <v/>
      </c>
    </row>
    <row r="1423">
      <c r="A1423" s="32"/>
      <c r="D1423" s="31" t="str">
        <f t="shared" si="1"/>
        <v/>
      </c>
    </row>
    <row r="1424">
      <c r="A1424" s="32"/>
      <c r="D1424" s="31" t="str">
        <f t="shared" si="1"/>
        <v/>
      </c>
    </row>
    <row r="1425">
      <c r="A1425" s="32"/>
      <c r="D1425" s="31" t="str">
        <f t="shared" si="1"/>
        <v/>
      </c>
    </row>
    <row r="1426">
      <c r="A1426" s="32"/>
      <c r="D1426" s="31" t="str">
        <f t="shared" si="1"/>
        <v/>
      </c>
    </row>
    <row r="1427">
      <c r="A1427" s="32"/>
      <c r="D1427" s="31" t="str">
        <f t="shared" si="1"/>
        <v/>
      </c>
    </row>
    <row r="1428">
      <c r="A1428" s="32"/>
      <c r="D1428" s="31" t="str">
        <f t="shared" si="1"/>
        <v/>
      </c>
    </row>
    <row r="1429">
      <c r="A1429" s="32"/>
      <c r="D1429" s="31" t="str">
        <f t="shared" si="1"/>
        <v/>
      </c>
    </row>
    <row r="1430">
      <c r="A1430" s="32"/>
      <c r="D1430" s="31" t="str">
        <f t="shared" si="1"/>
        <v/>
      </c>
    </row>
    <row r="1431">
      <c r="A1431" s="32"/>
      <c r="D1431" s="31" t="str">
        <f t="shared" si="1"/>
        <v/>
      </c>
    </row>
    <row r="1432">
      <c r="A1432" s="32"/>
      <c r="D1432" s="31" t="str">
        <f t="shared" si="1"/>
        <v/>
      </c>
    </row>
    <row r="1433">
      <c r="A1433" s="32"/>
      <c r="D1433" s="31" t="str">
        <f t="shared" si="1"/>
        <v/>
      </c>
    </row>
    <row r="1434">
      <c r="A1434" s="32"/>
      <c r="D1434" s="31" t="str">
        <f t="shared" si="1"/>
        <v/>
      </c>
    </row>
    <row r="1435">
      <c r="A1435" s="32"/>
      <c r="D1435" s="31" t="str">
        <f t="shared" si="1"/>
        <v/>
      </c>
    </row>
    <row r="1436">
      <c r="A1436" s="32"/>
      <c r="D1436" s="31" t="str">
        <f t="shared" si="1"/>
        <v/>
      </c>
    </row>
    <row r="1437">
      <c r="A1437" s="32"/>
      <c r="D1437" s="31" t="str">
        <f t="shared" si="1"/>
        <v/>
      </c>
    </row>
    <row r="1438">
      <c r="A1438" s="32"/>
      <c r="D1438" s="31" t="str">
        <f t="shared" si="1"/>
        <v/>
      </c>
    </row>
    <row r="1439">
      <c r="A1439" s="32"/>
      <c r="D1439" s="31" t="str">
        <f t="shared" si="1"/>
        <v/>
      </c>
    </row>
    <row r="1440">
      <c r="A1440" s="32"/>
      <c r="D1440" s="31" t="str">
        <f t="shared" si="1"/>
        <v/>
      </c>
    </row>
    <row r="1441">
      <c r="A1441" s="32"/>
      <c r="D1441" s="31" t="str">
        <f t="shared" si="1"/>
        <v/>
      </c>
    </row>
    <row r="1442">
      <c r="A1442" s="32"/>
      <c r="D1442" s="31" t="str">
        <f t="shared" si="1"/>
        <v/>
      </c>
    </row>
    <row r="1443">
      <c r="A1443" s="32"/>
      <c r="D1443" s="31" t="str">
        <f t="shared" si="1"/>
        <v/>
      </c>
    </row>
    <row r="1444">
      <c r="A1444" s="32"/>
      <c r="D1444" s="31" t="str">
        <f t="shared" si="1"/>
        <v/>
      </c>
    </row>
    <row r="1445">
      <c r="A1445" s="32"/>
      <c r="D1445" s="31" t="str">
        <f t="shared" si="1"/>
        <v/>
      </c>
    </row>
    <row r="1446">
      <c r="A1446" s="32"/>
      <c r="D1446" s="31" t="str">
        <f t="shared" si="1"/>
        <v/>
      </c>
    </row>
    <row r="1447">
      <c r="A1447" s="32"/>
      <c r="D1447" s="31" t="str">
        <f t="shared" si="1"/>
        <v/>
      </c>
    </row>
    <row r="1448">
      <c r="A1448" s="32"/>
      <c r="D1448" s="31" t="str">
        <f t="shared" si="1"/>
        <v/>
      </c>
    </row>
    <row r="1449">
      <c r="A1449" s="32"/>
      <c r="D1449" s="31" t="str">
        <f t="shared" si="1"/>
        <v/>
      </c>
    </row>
    <row r="1450">
      <c r="A1450" s="32"/>
      <c r="D1450" s="31" t="str">
        <f t="shared" si="1"/>
        <v/>
      </c>
    </row>
    <row r="1451">
      <c r="A1451" s="32"/>
      <c r="D1451" s="31" t="str">
        <f t="shared" si="1"/>
        <v/>
      </c>
    </row>
    <row r="1452">
      <c r="A1452" s="32"/>
      <c r="D1452" s="31" t="str">
        <f t="shared" si="1"/>
        <v/>
      </c>
    </row>
    <row r="1453">
      <c r="A1453" s="32"/>
      <c r="D1453" s="31" t="str">
        <f t="shared" si="1"/>
        <v/>
      </c>
    </row>
    <row r="1454">
      <c r="A1454" s="32"/>
      <c r="D1454" s="31" t="str">
        <f t="shared" si="1"/>
        <v/>
      </c>
    </row>
    <row r="1455">
      <c r="A1455" s="32"/>
      <c r="D1455" s="31" t="str">
        <f t="shared" si="1"/>
        <v/>
      </c>
    </row>
    <row r="1456">
      <c r="A1456" s="32"/>
      <c r="D1456" s="31" t="str">
        <f t="shared" si="1"/>
        <v/>
      </c>
    </row>
    <row r="1457">
      <c r="A1457" s="32"/>
      <c r="D1457" s="31" t="str">
        <f t="shared" si="1"/>
        <v/>
      </c>
    </row>
    <row r="1458">
      <c r="A1458" s="32"/>
      <c r="D1458" s="31" t="str">
        <f t="shared" si="1"/>
        <v/>
      </c>
    </row>
    <row r="1459">
      <c r="A1459" s="32"/>
      <c r="D1459" s="31" t="str">
        <f t="shared" si="1"/>
        <v/>
      </c>
    </row>
    <row r="1460">
      <c r="A1460" s="32"/>
      <c r="D1460" s="31" t="str">
        <f t="shared" si="1"/>
        <v/>
      </c>
    </row>
    <row r="1461">
      <c r="A1461" s="32"/>
      <c r="D1461" s="31" t="str">
        <f t="shared" si="1"/>
        <v/>
      </c>
    </row>
    <row r="1462">
      <c r="A1462" s="32"/>
      <c r="D1462" s="31" t="str">
        <f t="shared" si="1"/>
        <v/>
      </c>
    </row>
    <row r="1463">
      <c r="A1463" s="32"/>
      <c r="D1463" s="31" t="str">
        <f t="shared" si="1"/>
        <v/>
      </c>
    </row>
    <row r="1464">
      <c r="A1464" s="32"/>
      <c r="D1464" s="31" t="str">
        <f t="shared" si="1"/>
        <v/>
      </c>
    </row>
    <row r="1465">
      <c r="A1465" s="32"/>
      <c r="D1465" s="31" t="str">
        <f t="shared" si="1"/>
        <v/>
      </c>
    </row>
    <row r="1466">
      <c r="A1466" s="32"/>
      <c r="D1466" s="31" t="str">
        <f t="shared" si="1"/>
        <v/>
      </c>
    </row>
    <row r="1467">
      <c r="A1467" s="32"/>
      <c r="D1467" s="31" t="str">
        <f t="shared" si="1"/>
        <v/>
      </c>
    </row>
    <row r="1468">
      <c r="A1468" s="32"/>
      <c r="D1468" s="31" t="str">
        <f t="shared" si="1"/>
        <v/>
      </c>
    </row>
    <row r="1469">
      <c r="A1469" s="32"/>
      <c r="D1469" s="31" t="str">
        <f t="shared" si="1"/>
        <v/>
      </c>
    </row>
    <row r="1470">
      <c r="A1470" s="32"/>
      <c r="D1470" s="31" t="str">
        <f t="shared" si="1"/>
        <v/>
      </c>
    </row>
    <row r="1471">
      <c r="A1471" s="32"/>
      <c r="D1471" s="31" t="str">
        <f t="shared" si="1"/>
        <v/>
      </c>
    </row>
    <row r="1472">
      <c r="A1472" s="32"/>
      <c r="D1472" s="31" t="str">
        <f t="shared" si="1"/>
        <v/>
      </c>
    </row>
    <row r="1473">
      <c r="A1473" s="32"/>
      <c r="D1473" s="31" t="str">
        <f t="shared" si="1"/>
        <v/>
      </c>
    </row>
    <row r="1474">
      <c r="A1474" s="32"/>
      <c r="D1474" s="31" t="str">
        <f t="shared" si="1"/>
        <v/>
      </c>
    </row>
    <row r="1475">
      <c r="A1475" s="32"/>
      <c r="D1475" s="31" t="str">
        <f t="shared" si="1"/>
        <v/>
      </c>
    </row>
    <row r="1476">
      <c r="A1476" s="32"/>
      <c r="D1476" s="31" t="str">
        <f t="shared" si="1"/>
        <v/>
      </c>
    </row>
    <row r="1477">
      <c r="A1477" s="32"/>
      <c r="D1477" s="31" t="str">
        <f t="shared" si="1"/>
        <v/>
      </c>
    </row>
    <row r="1478">
      <c r="A1478" s="32"/>
      <c r="D1478" s="31" t="str">
        <f t="shared" si="1"/>
        <v/>
      </c>
    </row>
    <row r="1479">
      <c r="A1479" s="32"/>
      <c r="D1479" s="31" t="str">
        <f t="shared" si="1"/>
        <v/>
      </c>
    </row>
    <row r="1480">
      <c r="A1480" s="32"/>
      <c r="D1480" s="31" t="str">
        <f t="shared" si="1"/>
        <v/>
      </c>
    </row>
    <row r="1481">
      <c r="A1481" s="32"/>
      <c r="D1481" s="31" t="str">
        <f t="shared" si="1"/>
        <v/>
      </c>
    </row>
    <row r="1482">
      <c r="A1482" s="32"/>
      <c r="D1482" s="31" t="str">
        <f t="shared" si="1"/>
        <v/>
      </c>
    </row>
    <row r="1483">
      <c r="A1483" s="32"/>
      <c r="D1483" s="31" t="str">
        <f t="shared" si="1"/>
        <v/>
      </c>
    </row>
    <row r="1484">
      <c r="A1484" s="32"/>
      <c r="D1484" s="31" t="str">
        <f t="shared" si="1"/>
        <v/>
      </c>
    </row>
    <row r="1485">
      <c r="A1485" s="32"/>
      <c r="D1485" s="31" t="str">
        <f t="shared" si="1"/>
        <v/>
      </c>
    </row>
    <row r="1486">
      <c r="A1486" s="32"/>
      <c r="D1486" s="31" t="str">
        <f t="shared" si="1"/>
        <v/>
      </c>
    </row>
    <row r="1487">
      <c r="A1487" s="32"/>
      <c r="D1487" s="31" t="str">
        <f t="shared" si="1"/>
        <v/>
      </c>
    </row>
    <row r="1488">
      <c r="A1488" s="32"/>
      <c r="D1488" s="31" t="str">
        <f t="shared" si="1"/>
        <v/>
      </c>
    </row>
    <row r="1489">
      <c r="A1489" s="32"/>
      <c r="D1489" s="31" t="str">
        <f t="shared" si="1"/>
        <v/>
      </c>
    </row>
    <row r="1490">
      <c r="A1490" s="32"/>
      <c r="D1490" s="31" t="str">
        <f t="shared" si="1"/>
        <v/>
      </c>
    </row>
    <row r="1491">
      <c r="A1491" s="32"/>
      <c r="D1491" s="31" t="str">
        <f t="shared" si="1"/>
        <v/>
      </c>
    </row>
    <row r="1492">
      <c r="A1492" s="32"/>
      <c r="D1492" s="31" t="str">
        <f t="shared" si="1"/>
        <v/>
      </c>
    </row>
    <row r="1493">
      <c r="A1493" s="32"/>
      <c r="D1493" s="31" t="str">
        <f t="shared" si="1"/>
        <v/>
      </c>
    </row>
    <row r="1494">
      <c r="A1494" s="32"/>
      <c r="D1494" s="31" t="str">
        <f t="shared" si="1"/>
        <v/>
      </c>
    </row>
    <row r="1495">
      <c r="A1495" s="32"/>
      <c r="D1495" s="31" t="str">
        <f t="shared" si="1"/>
        <v/>
      </c>
    </row>
    <row r="1496">
      <c r="A1496" s="32"/>
      <c r="D1496" s="31" t="str">
        <f t="shared" si="1"/>
        <v/>
      </c>
    </row>
    <row r="1497">
      <c r="A1497" s="32"/>
      <c r="D1497" s="31" t="str">
        <f t="shared" si="1"/>
        <v/>
      </c>
    </row>
    <row r="1498">
      <c r="A1498" s="32"/>
      <c r="D1498" s="31" t="str">
        <f t="shared" si="1"/>
        <v/>
      </c>
    </row>
    <row r="1499">
      <c r="A1499" s="32"/>
      <c r="D1499" s="31" t="str">
        <f t="shared" si="1"/>
        <v/>
      </c>
    </row>
    <row r="1500">
      <c r="A1500" s="32"/>
      <c r="D1500" s="31" t="str">
        <f t="shared" si="1"/>
        <v/>
      </c>
    </row>
    <row r="1501">
      <c r="A1501" s="32"/>
      <c r="D1501" s="31" t="str">
        <f t="shared" si="1"/>
        <v/>
      </c>
    </row>
    <row r="1502">
      <c r="A1502" s="32"/>
      <c r="D1502" s="31" t="str">
        <f t="shared" si="1"/>
        <v/>
      </c>
    </row>
    <row r="1503">
      <c r="A1503" s="32"/>
      <c r="D1503" s="31" t="str">
        <f t="shared" si="1"/>
        <v/>
      </c>
    </row>
    <row r="1504">
      <c r="A1504" s="32"/>
      <c r="D1504" s="31" t="str">
        <f t="shared" si="1"/>
        <v/>
      </c>
    </row>
    <row r="1505">
      <c r="A1505" s="32"/>
      <c r="D1505" s="31" t="str">
        <f t="shared" si="1"/>
        <v/>
      </c>
    </row>
    <row r="1506">
      <c r="A1506" s="32"/>
      <c r="D1506" s="31" t="str">
        <f t="shared" si="1"/>
        <v/>
      </c>
    </row>
    <row r="1507">
      <c r="A1507" s="32"/>
      <c r="D1507" s="31" t="str">
        <f t="shared" si="1"/>
        <v/>
      </c>
    </row>
    <row r="1508">
      <c r="A1508" s="32"/>
      <c r="D1508" s="31" t="str">
        <f t="shared" si="1"/>
        <v/>
      </c>
    </row>
    <row r="1509">
      <c r="A1509" s="32"/>
      <c r="D1509" s="31" t="str">
        <f t="shared" si="1"/>
        <v/>
      </c>
    </row>
    <row r="1510">
      <c r="A1510" s="32"/>
      <c r="D1510" s="31" t="str">
        <f t="shared" si="1"/>
        <v/>
      </c>
    </row>
    <row r="1511">
      <c r="A1511" s="32"/>
      <c r="D1511" s="31" t="str">
        <f t="shared" si="1"/>
        <v/>
      </c>
    </row>
    <row r="1512">
      <c r="A1512" s="32"/>
      <c r="D1512" s="31" t="str">
        <f t="shared" si="1"/>
        <v/>
      </c>
    </row>
    <row r="1513">
      <c r="A1513" s="32"/>
      <c r="D1513" s="31" t="str">
        <f t="shared" si="1"/>
        <v/>
      </c>
    </row>
    <row r="1514">
      <c r="A1514" s="32"/>
      <c r="D1514" s="31" t="str">
        <f t="shared" si="1"/>
        <v/>
      </c>
    </row>
    <row r="1515">
      <c r="A1515" s="32"/>
      <c r="D1515" s="31" t="str">
        <f t="shared" si="1"/>
        <v/>
      </c>
    </row>
    <row r="1516">
      <c r="A1516" s="32"/>
      <c r="D1516" s="31" t="str">
        <f t="shared" si="1"/>
        <v/>
      </c>
    </row>
    <row r="1517">
      <c r="A1517" s="32"/>
      <c r="D1517" s="31" t="str">
        <f t="shared" si="1"/>
        <v/>
      </c>
    </row>
    <row r="1518">
      <c r="A1518" s="32"/>
      <c r="D1518" s="31" t="str">
        <f t="shared" si="1"/>
        <v/>
      </c>
    </row>
    <row r="1519">
      <c r="A1519" s="32"/>
      <c r="D1519" s="31" t="str">
        <f t="shared" si="1"/>
        <v/>
      </c>
    </row>
    <row r="1520">
      <c r="A1520" s="32"/>
      <c r="D1520" s="31" t="str">
        <f t="shared" si="1"/>
        <v/>
      </c>
    </row>
    <row r="1521">
      <c r="A1521" s="32"/>
      <c r="D1521" s="31" t="str">
        <f t="shared" si="1"/>
        <v/>
      </c>
    </row>
    <row r="1522">
      <c r="A1522" s="32"/>
      <c r="D1522" s="31" t="str">
        <f t="shared" si="1"/>
        <v/>
      </c>
    </row>
    <row r="1523">
      <c r="A1523" s="32"/>
      <c r="D1523" s="31" t="str">
        <f t="shared" si="1"/>
        <v/>
      </c>
    </row>
    <row r="1524">
      <c r="A1524" s="32"/>
      <c r="D1524" s="31" t="str">
        <f t="shared" si="1"/>
        <v/>
      </c>
    </row>
    <row r="1525">
      <c r="A1525" s="32"/>
      <c r="D1525" s="31" t="str">
        <f t="shared" si="1"/>
        <v/>
      </c>
    </row>
    <row r="1526">
      <c r="A1526" s="32"/>
      <c r="D1526" s="31" t="str">
        <f t="shared" si="1"/>
        <v/>
      </c>
    </row>
    <row r="1527">
      <c r="A1527" s="32"/>
      <c r="D1527" s="31" t="str">
        <f t="shared" si="1"/>
        <v/>
      </c>
    </row>
    <row r="1528">
      <c r="A1528" s="32"/>
      <c r="D1528" s="31" t="str">
        <f t="shared" si="1"/>
        <v/>
      </c>
    </row>
    <row r="1529">
      <c r="A1529" s="32"/>
      <c r="D1529" s="31" t="str">
        <f t="shared" si="1"/>
        <v/>
      </c>
    </row>
    <row r="1530">
      <c r="A1530" s="32"/>
      <c r="D1530" s="31" t="str">
        <f t="shared" si="1"/>
        <v/>
      </c>
    </row>
    <row r="1531">
      <c r="A1531" s="32"/>
      <c r="D1531" s="31" t="str">
        <f t="shared" si="1"/>
        <v/>
      </c>
    </row>
    <row r="1532">
      <c r="A1532" s="32"/>
      <c r="D1532" s="31" t="str">
        <f t="shared" si="1"/>
        <v/>
      </c>
    </row>
    <row r="1533">
      <c r="A1533" s="32"/>
      <c r="D1533" s="31" t="str">
        <f t="shared" si="1"/>
        <v/>
      </c>
    </row>
    <row r="1534">
      <c r="A1534" s="32"/>
      <c r="D1534" s="31" t="str">
        <f t="shared" si="1"/>
        <v/>
      </c>
    </row>
    <row r="1535">
      <c r="A1535" s="32"/>
      <c r="D1535" s="31" t="str">
        <f t="shared" si="1"/>
        <v/>
      </c>
    </row>
    <row r="1536">
      <c r="A1536" s="32"/>
      <c r="D1536" s="31" t="str">
        <f t="shared" si="1"/>
        <v/>
      </c>
    </row>
    <row r="1537">
      <c r="A1537" s="32"/>
      <c r="D1537" s="31" t="str">
        <f t="shared" si="1"/>
        <v/>
      </c>
    </row>
    <row r="1538">
      <c r="A1538" s="32"/>
      <c r="D1538" s="31" t="str">
        <f t="shared" si="1"/>
        <v/>
      </c>
    </row>
    <row r="1539">
      <c r="A1539" s="32"/>
      <c r="D1539" s="31" t="str">
        <f t="shared" si="1"/>
        <v/>
      </c>
    </row>
    <row r="1540">
      <c r="A1540" s="32"/>
      <c r="D1540" s="31" t="str">
        <f t="shared" si="1"/>
        <v/>
      </c>
    </row>
    <row r="1541">
      <c r="A1541" s="32"/>
      <c r="D1541" s="31" t="str">
        <f t="shared" si="1"/>
        <v/>
      </c>
    </row>
    <row r="1542">
      <c r="A1542" s="32"/>
      <c r="D1542" s="31" t="str">
        <f t="shared" si="1"/>
        <v/>
      </c>
    </row>
    <row r="1543">
      <c r="A1543" s="32"/>
      <c r="D1543" s="31" t="str">
        <f t="shared" si="1"/>
        <v/>
      </c>
    </row>
    <row r="1544">
      <c r="A1544" s="32"/>
      <c r="D1544" s="31" t="str">
        <f t="shared" si="1"/>
        <v/>
      </c>
    </row>
    <row r="1545">
      <c r="A1545" s="32"/>
      <c r="D1545" s="31" t="str">
        <f t="shared" si="1"/>
        <v/>
      </c>
    </row>
    <row r="1546">
      <c r="A1546" s="32"/>
      <c r="D1546" s="31" t="str">
        <f t="shared" si="1"/>
        <v/>
      </c>
    </row>
    <row r="1547">
      <c r="A1547" s="32"/>
      <c r="D1547" s="31" t="str">
        <f t="shared" si="1"/>
        <v/>
      </c>
    </row>
    <row r="1548">
      <c r="A1548" s="32"/>
      <c r="D1548" s="31" t="str">
        <f t="shared" si="1"/>
        <v/>
      </c>
    </row>
    <row r="1549">
      <c r="A1549" s="32"/>
      <c r="D1549" s="31" t="str">
        <f t="shared" si="1"/>
        <v/>
      </c>
    </row>
    <row r="1550">
      <c r="A1550" s="32"/>
      <c r="D1550" s="31" t="str">
        <f t="shared" si="1"/>
        <v/>
      </c>
    </row>
    <row r="1551">
      <c r="A1551" s="32"/>
      <c r="D1551" s="31" t="str">
        <f t="shared" si="1"/>
        <v/>
      </c>
    </row>
    <row r="1552">
      <c r="A1552" s="32"/>
      <c r="D1552" s="31" t="str">
        <f t="shared" si="1"/>
        <v/>
      </c>
    </row>
    <row r="1553">
      <c r="A1553" s="32"/>
      <c r="D1553" s="31" t="str">
        <f t="shared" si="1"/>
        <v/>
      </c>
    </row>
    <row r="1554">
      <c r="A1554" s="32"/>
      <c r="D1554" s="31" t="str">
        <f t="shared" si="1"/>
        <v/>
      </c>
    </row>
    <row r="1555">
      <c r="A1555" s="32"/>
      <c r="D1555" s="31" t="str">
        <f t="shared" si="1"/>
        <v/>
      </c>
    </row>
    <row r="1556">
      <c r="A1556" s="32"/>
      <c r="D1556" s="31" t="str">
        <f t="shared" si="1"/>
        <v/>
      </c>
    </row>
    <row r="1557">
      <c r="A1557" s="32"/>
      <c r="D1557" s="31" t="str">
        <f t="shared" si="1"/>
        <v/>
      </c>
    </row>
    <row r="1558">
      <c r="A1558" s="32"/>
      <c r="D1558" s="31" t="str">
        <f t="shared" si="1"/>
        <v/>
      </c>
    </row>
    <row r="1559">
      <c r="A1559" s="32"/>
      <c r="D1559" s="31" t="str">
        <f t="shared" si="1"/>
        <v/>
      </c>
    </row>
    <row r="1560">
      <c r="A1560" s="32"/>
      <c r="D1560" s="31" t="str">
        <f t="shared" si="1"/>
        <v/>
      </c>
    </row>
    <row r="1561">
      <c r="A1561" s="32"/>
      <c r="D1561" s="31" t="str">
        <f t="shared" si="1"/>
        <v/>
      </c>
    </row>
    <row r="1562">
      <c r="A1562" s="32"/>
      <c r="D1562" s="31" t="str">
        <f t="shared" si="1"/>
        <v/>
      </c>
    </row>
    <row r="1563">
      <c r="A1563" s="32"/>
      <c r="D1563" s="31" t="str">
        <f t="shared" si="1"/>
        <v/>
      </c>
    </row>
    <row r="1564">
      <c r="A1564" s="32"/>
      <c r="D1564" s="31" t="str">
        <f t="shared" si="1"/>
        <v/>
      </c>
    </row>
    <row r="1565">
      <c r="A1565" s="32"/>
      <c r="D1565" s="31" t="str">
        <f t="shared" si="1"/>
        <v/>
      </c>
    </row>
    <row r="1566">
      <c r="A1566" s="32"/>
      <c r="D1566" s="31" t="str">
        <f t="shared" si="1"/>
        <v/>
      </c>
    </row>
    <row r="1567">
      <c r="A1567" s="32"/>
      <c r="D1567" s="31" t="str">
        <f t="shared" si="1"/>
        <v/>
      </c>
    </row>
    <row r="1568">
      <c r="A1568" s="32"/>
      <c r="D1568" s="31" t="str">
        <f t="shared" si="1"/>
        <v/>
      </c>
    </row>
    <row r="1569">
      <c r="A1569" s="32"/>
      <c r="D1569" s="31" t="str">
        <f t="shared" si="1"/>
        <v/>
      </c>
    </row>
    <row r="1570">
      <c r="A1570" s="32"/>
      <c r="D1570" s="31" t="str">
        <f t="shared" si="1"/>
        <v/>
      </c>
    </row>
    <row r="1571">
      <c r="A1571" s="32"/>
      <c r="D1571" s="31" t="str">
        <f t="shared" si="1"/>
        <v/>
      </c>
    </row>
    <row r="1572">
      <c r="A1572" s="32"/>
      <c r="D1572" s="31" t="str">
        <f t="shared" si="1"/>
        <v/>
      </c>
    </row>
    <row r="1573">
      <c r="A1573" s="32"/>
      <c r="D1573" s="31" t="str">
        <f t="shared" si="1"/>
        <v/>
      </c>
    </row>
    <row r="1574">
      <c r="A1574" s="32"/>
      <c r="D1574" s="31" t="str">
        <f t="shared" si="1"/>
        <v/>
      </c>
    </row>
    <row r="1575">
      <c r="A1575" s="32"/>
      <c r="D1575" s="31" t="str">
        <f t="shared" si="1"/>
        <v/>
      </c>
    </row>
    <row r="1576">
      <c r="A1576" s="32"/>
      <c r="D1576" s="31" t="str">
        <f t="shared" si="1"/>
        <v/>
      </c>
    </row>
    <row r="1577">
      <c r="A1577" s="32"/>
      <c r="D1577" s="31" t="str">
        <f t="shared" si="1"/>
        <v/>
      </c>
    </row>
    <row r="1578">
      <c r="A1578" s="32"/>
      <c r="D1578" s="31" t="str">
        <f t="shared" si="1"/>
        <v/>
      </c>
    </row>
    <row r="1579">
      <c r="A1579" s="32"/>
      <c r="D1579" s="31" t="str">
        <f t="shared" si="1"/>
        <v/>
      </c>
    </row>
    <row r="1580">
      <c r="A1580" s="32"/>
      <c r="D1580" s="31" t="str">
        <f t="shared" si="1"/>
        <v/>
      </c>
    </row>
    <row r="1581">
      <c r="A1581" s="32"/>
      <c r="D1581" s="31" t="str">
        <f t="shared" si="1"/>
        <v/>
      </c>
    </row>
    <row r="1582">
      <c r="A1582" s="32"/>
      <c r="D1582" s="31" t="str">
        <f t="shared" si="1"/>
        <v/>
      </c>
    </row>
    <row r="1583">
      <c r="A1583" s="32"/>
      <c r="D1583" s="31" t="str">
        <f t="shared" si="1"/>
        <v/>
      </c>
    </row>
    <row r="1584">
      <c r="A1584" s="32"/>
      <c r="D1584" s="31" t="str">
        <f t="shared" si="1"/>
        <v/>
      </c>
    </row>
    <row r="1585">
      <c r="A1585" s="32"/>
      <c r="D1585" s="31" t="str">
        <f t="shared" si="1"/>
        <v/>
      </c>
    </row>
    <row r="1586">
      <c r="A1586" s="32"/>
      <c r="D1586" s="31" t="str">
        <f t="shared" si="1"/>
        <v/>
      </c>
    </row>
    <row r="1587">
      <c r="A1587" s="32"/>
      <c r="D1587" s="31" t="str">
        <f t="shared" si="1"/>
        <v/>
      </c>
    </row>
    <row r="1588">
      <c r="A1588" s="32"/>
      <c r="D1588" s="31" t="str">
        <f t="shared" si="1"/>
        <v/>
      </c>
    </row>
    <row r="1589">
      <c r="A1589" s="32"/>
      <c r="D1589" s="31" t="str">
        <f t="shared" si="1"/>
        <v/>
      </c>
    </row>
    <row r="1590">
      <c r="A1590" s="32"/>
      <c r="D1590" s="31" t="str">
        <f t="shared" si="1"/>
        <v/>
      </c>
    </row>
    <row r="1591">
      <c r="A1591" s="32"/>
      <c r="D1591" s="31" t="str">
        <f t="shared" si="1"/>
        <v/>
      </c>
    </row>
    <row r="1592">
      <c r="A1592" s="32"/>
      <c r="D1592" s="31" t="str">
        <f t="shared" si="1"/>
        <v/>
      </c>
    </row>
    <row r="1593">
      <c r="A1593" s="32"/>
      <c r="D1593" s="31" t="str">
        <f t="shared" si="1"/>
        <v/>
      </c>
    </row>
    <row r="1594">
      <c r="A1594" s="32"/>
      <c r="D1594" s="31" t="str">
        <f t="shared" si="1"/>
        <v/>
      </c>
    </row>
    <row r="1595">
      <c r="A1595" s="32"/>
      <c r="D1595" s="31" t="str">
        <f t="shared" si="1"/>
        <v/>
      </c>
    </row>
    <row r="1596">
      <c r="A1596" s="32"/>
      <c r="D1596" s="31" t="str">
        <f t="shared" si="1"/>
        <v/>
      </c>
    </row>
    <row r="1597">
      <c r="A1597" s="32"/>
      <c r="D1597" s="31" t="str">
        <f t="shared" si="1"/>
        <v/>
      </c>
    </row>
    <row r="1598">
      <c r="A1598" s="32"/>
      <c r="D1598" s="31" t="str">
        <f t="shared" si="1"/>
        <v/>
      </c>
    </row>
    <row r="1599">
      <c r="A1599" s="32"/>
      <c r="D1599" s="31" t="str">
        <f t="shared" si="1"/>
        <v/>
      </c>
    </row>
    <row r="1600">
      <c r="A1600" s="32"/>
      <c r="D1600" s="31" t="str">
        <f t="shared" si="1"/>
        <v/>
      </c>
    </row>
    <row r="1601">
      <c r="A1601" s="32"/>
      <c r="D1601" s="31" t="str">
        <f t="shared" si="1"/>
        <v/>
      </c>
    </row>
    <row r="1602">
      <c r="A1602" s="32"/>
      <c r="D1602" s="31" t="str">
        <f t="shared" si="1"/>
        <v/>
      </c>
    </row>
    <row r="1603">
      <c r="A1603" s="32"/>
      <c r="D1603" s="31" t="str">
        <f t="shared" si="1"/>
        <v/>
      </c>
    </row>
    <row r="1604">
      <c r="A1604" s="32"/>
      <c r="D1604" s="31" t="str">
        <f t="shared" si="1"/>
        <v/>
      </c>
    </row>
    <row r="1605">
      <c r="A1605" s="32"/>
      <c r="D1605" s="31" t="str">
        <f t="shared" si="1"/>
        <v/>
      </c>
    </row>
    <row r="1606">
      <c r="A1606" s="32"/>
      <c r="D1606" s="31" t="str">
        <f t="shared" si="1"/>
        <v/>
      </c>
    </row>
    <row r="1607">
      <c r="A1607" s="32"/>
      <c r="D1607" s="31" t="str">
        <f t="shared" si="1"/>
        <v/>
      </c>
    </row>
    <row r="1608">
      <c r="A1608" s="32"/>
      <c r="D1608" s="31" t="str">
        <f t="shared" si="1"/>
        <v/>
      </c>
    </row>
    <row r="1609">
      <c r="A1609" s="32"/>
      <c r="D1609" s="31" t="str">
        <f t="shared" si="1"/>
        <v/>
      </c>
    </row>
    <row r="1610">
      <c r="A1610" s="32"/>
      <c r="D1610" s="31" t="str">
        <f t="shared" si="1"/>
        <v/>
      </c>
    </row>
    <row r="1611">
      <c r="A1611" s="32"/>
      <c r="D1611" s="31" t="str">
        <f t="shared" si="1"/>
        <v/>
      </c>
    </row>
    <row r="1612">
      <c r="A1612" s="32"/>
      <c r="D1612" s="31" t="str">
        <f t="shared" si="1"/>
        <v/>
      </c>
    </row>
    <row r="1613">
      <c r="A1613" s="32"/>
      <c r="D1613" s="31" t="str">
        <f t="shared" si="1"/>
        <v/>
      </c>
    </row>
    <row r="1614">
      <c r="A1614" s="32"/>
      <c r="D1614" s="31" t="str">
        <f t="shared" si="1"/>
        <v/>
      </c>
    </row>
    <row r="1615">
      <c r="A1615" s="32"/>
      <c r="D1615" s="31" t="str">
        <f t="shared" si="1"/>
        <v/>
      </c>
    </row>
    <row r="1616">
      <c r="A1616" s="32"/>
      <c r="D1616" s="31" t="str">
        <f t="shared" si="1"/>
        <v/>
      </c>
    </row>
    <row r="1617">
      <c r="A1617" s="32"/>
      <c r="D1617" s="31" t="str">
        <f t="shared" si="1"/>
        <v/>
      </c>
    </row>
    <row r="1618">
      <c r="A1618" s="32"/>
      <c r="D1618" s="31" t="str">
        <f t="shared" si="1"/>
        <v/>
      </c>
    </row>
    <row r="1619">
      <c r="A1619" s="32"/>
      <c r="D1619" s="31" t="str">
        <f t="shared" si="1"/>
        <v/>
      </c>
    </row>
    <row r="1620">
      <c r="A1620" s="32"/>
      <c r="D1620" s="31" t="str">
        <f t="shared" si="1"/>
        <v/>
      </c>
    </row>
    <row r="1621">
      <c r="A1621" s="32"/>
      <c r="D1621" s="31" t="str">
        <f t="shared" si="1"/>
        <v/>
      </c>
    </row>
    <row r="1622">
      <c r="A1622" s="32"/>
      <c r="D1622" s="31" t="str">
        <f t="shared" si="1"/>
        <v/>
      </c>
    </row>
    <row r="1623">
      <c r="A1623" s="32"/>
      <c r="D1623" s="31" t="str">
        <f t="shared" si="1"/>
        <v/>
      </c>
    </row>
    <row r="1624">
      <c r="A1624" s="32"/>
      <c r="D1624" s="31" t="str">
        <f t="shared" si="1"/>
        <v/>
      </c>
    </row>
    <row r="1625">
      <c r="A1625" s="32"/>
      <c r="D1625" s="31" t="str">
        <f t="shared" si="1"/>
        <v/>
      </c>
    </row>
    <row r="1626">
      <c r="A1626" s="32"/>
      <c r="D1626" s="31" t="str">
        <f t="shared" si="1"/>
        <v/>
      </c>
    </row>
    <row r="1627">
      <c r="A1627" s="32"/>
      <c r="D1627" s="31" t="str">
        <f t="shared" si="1"/>
        <v/>
      </c>
    </row>
    <row r="1628">
      <c r="A1628" s="32"/>
      <c r="D1628" s="31" t="str">
        <f t="shared" si="1"/>
        <v/>
      </c>
    </row>
    <row r="1629">
      <c r="A1629" s="32"/>
      <c r="D1629" s="31" t="str">
        <f t="shared" si="1"/>
        <v/>
      </c>
    </row>
    <row r="1630">
      <c r="A1630" s="32"/>
      <c r="D1630" s="31" t="str">
        <f t="shared" si="1"/>
        <v/>
      </c>
    </row>
    <row r="1631">
      <c r="A1631" s="32"/>
      <c r="D1631" s="31" t="str">
        <f t="shared" si="1"/>
        <v/>
      </c>
    </row>
    <row r="1632">
      <c r="A1632" s="32"/>
      <c r="D1632" s="31" t="str">
        <f t="shared" si="1"/>
        <v/>
      </c>
    </row>
    <row r="1633">
      <c r="A1633" s="32"/>
      <c r="D1633" s="31" t="str">
        <f t="shared" si="1"/>
        <v/>
      </c>
    </row>
    <row r="1634">
      <c r="A1634" s="32"/>
      <c r="D1634" s="31" t="str">
        <f t="shared" si="1"/>
        <v/>
      </c>
    </row>
    <row r="1635">
      <c r="A1635" s="32"/>
      <c r="D1635" s="31" t="str">
        <f t="shared" si="1"/>
        <v/>
      </c>
    </row>
    <row r="1636">
      <c r="A1636" s="32"/>
      <c r="D1636" s="31" t="str">
        <f t="shared" si="1"/>
        <v/>
      </c>
    </row>
    <row r="1637">
      <c r="A1637" s="32"/>
      <c r="D1637" s="31" t="str">
        <f t="shared" si="1"/>
        <v/>
      </c>
    </row>
    <row r="1638">
      <c r="A1638" s="32"/>
      <c r="D1638" s="31" t="str">
        <f t="shared" si="1"/>
        <v/>
      </c>
    </row>
    <row r="1639">
      <c r="A1639" s="32"/>
      <c r="D1639" s="31" t="str">
        <f t="shared" si="1"/>
        <v/>
      </c>
    </row>
    <row r="1640">
      <c r="A1640" s="32"/>
      <c r="D1640" s="31" t="str">
        <f t="shared" si="1"/>
        <v/>
      </c>
    </row>
    <row r="1641">
      <c r="A1641" s="32"/>
      <c r="D1641" s="31" t="str">
        <f t="shared" si="1"/>
        <v/>
      </c>
    </row>
    <row r="1642">
      <c r="A1642" s="32"/>
      <c r="D1642" s="31" t="str">
        <f t="shared" si="1"/>
        <v/>
      </c>
    </row>
    <row r="1643">
      <c r="A1643" s="32"/>
      <c r="D1643" s="31" t="str">
        <f t="shared" si="1"/>
        <v/>
      </c>
    </row>
    <row r="1644">
      <c r="A1644" s="32"/>
      <c r="D1644" s="31" t="str">
        <f t="shared" si="1"/>
        <v/>
      </c>
    </row>
    <row r="1645">
      <c r="A1645" s="32"/>
      <c r="D1645" s="31" t="str">
        <f t="shared" si="1"/>
        <v/>
      </c>
    </row>
    <row r="1646">
      <c r="A1646" s="32"/>
      <c r="D1646" s="31" t="str">
        <f t="shared" si="1"/>
        <v/>
      </c>
    </row>
    <row r="1647">
      <c r="A1647" s="32"/>
      <c r="D1647" s="31" t="str">
        <f t="shared" si="1"/>
        <v/>
      </c>
    </row>
    <row r="1648">
      <c r="A1648" s="32"/>
      <c r="D1648" s="31" t="str">
        <f t="shared" si="1"/>
        <v/>
      </c>
    </row>
    <row r="1649">
      <c r="A1649" s="32"/>
      <c r="D1649" s="31" t="str">
        <f t="shared" si="1"/>
        <v/>
      </c>
    </row>
    <row r="1650">
      <c r="A1650" s="32"/>
      <c r="D1650" s="31" t="str">
        <f t="shared" si="1"/>
        <v/>
      </c>
    </row>
    <row r="1651">
      <c r="A1651" s="32"/>
      <c r="D1651" s="31" t="str">
        <f t="shared" si="1"/>
        <v/>
      </c>
    </row>
    <row r="1652">
      <c r="A1652" s="32"/>
      <c r="D1652" s="31" t="str">
        <f t="shared" si="1"/>
        <v/>
      </c>
    </row>
    <row r="1653">
      <c r="A1653" s="32"/>
      <c r="D1653" s="31" t="str">
        <f t="shared" si="1"/>
        <v/>
      </c>
    </row>
    <row r="1654">
      <c r="A1654" s="32"/>
      <c r="D1654" s="31" t="str">
        <f t="shared" si="1"/>
        <v/>
      </c>
    </row>
    <row r="1655">
      <c r="A1655" s="32"/>
      <c r="D1655" s="31" t="str">
        <f t="shared" si="1"/>
        <v/>
      </c>
    </row>
    <row r="1656">
      <c r="A1656" s="32"/>
      <c r="D1656" s="31" t="str">
        <f t="shared" si="1"/>
        <v/>
      </c>
    </row>
    <row r="1657">
      <c r="A1657" s="32"/>
      <c r="D1657" s="31" t="str">
        <f t="shared" si="1"/>
        <v/>
      </c>
    </row>
    <row r="1658">
      <c r="A1658" s="32"/>
      <c r="D1658" s="31" t="str">
        <f t="shared" si="1"/>
        <v/>
      </c>
    </row>
    <row r="1659">
      <c r="A1659" s="32"/>
      <c r="D1659" s="31" t="str">
        <f t="shared" si="1"/>
        <v/>
      </c>
    </row>
    <row r="1660">
      <c r="A1660" s="32"/>
      <c r="D1660" s="31" t="str">
        <f t="shared" si="1"/>
        <v/>
      </c>
    </row>
    <row r="1661">
      <c r="A1661" s="32"/>
      <c r="D1661" s="31" t="str">
        <f t="shared" si="1"/>
        <v/>
      </c>
    </row>
    <row r="1662">
      <c r="A1662" s="32"/>
      <c r="D1662" s="31" t="str">
        <f t="shared" si="1"/>
        <v/>
      </c>
    </row>
    <row r="1663">
      <c r="A1663" s="32"/>
      <c r="D1663" s="31" t="str">
        <f t="shared" si="1"/>
        <v/>
      </c>
    </row>
    <row r="1664">
      <c r="A1664" s="32"/>
      <c r="D1664" s="31" t="str">
        <f t="shared" si="1"/>
        <v/>
      </c>
    </row>
    <row r="1665">
      <c r="A1665" s="32"/>
      <c r="D1665" s="31" t="str">
        <f t="shared" si="1"/>
        <v/>
      </c>
    </row>
    <row r="1666">
      <c r="A1666" s="32"/>
      <c r="D1666" s="31" t="str">
        <f t="shared" si="1"/>
        <v/>
      </c>
    </row>
    <row r="1667">
      <c r="A1667" s="32"/>
      <c r="D1667" s="31" t="str">
        <f t="shared" si="1"/>
        <v/>
      </c>
    </row>
    <row r="1668">
      <c r="A1668" s="32"/>
      <c r="D1668" s="31" t="str">
        <f t="shared" si="1"/>
        <v/>
      </c>
    </row>
    <row r="1669">
      <c r="A1669" s="32"/>
      <c r="D1669" s="31" t="str">
        <f t="shared" si="1"/>
        <v/>
      </c>
    </row>
    <row r="1670">
      <c r="A1670" s="32"/>
      <c r="D1670" s="31" t="str">
        <f t="shared" si="1"/>
        <v/>
      </c>
    </row>
    <row r="1671">
      <c r="A1671" s="32"/>
      <c r="D1671" s="31" t="str">
        <f t="shared" si="1"/>
        <v/>
      </c>
    </row>
    <row r="1672">
      <c r="A1672" s="32"/>
      <c r="D1672" s="31" t="str">
        <f t="shared" si="1"/>
        <v/>
      </c>
    </row>
    <row r="1673">
      <c r="A1673" s="32"/>
      <c r="D1673" s="31" t="str">
        <f t="shared" si="1"/>
        <v/>
      </c>
    </row>
    <row r="1674">
      <c r="A1674" s="32"/>
      <c r="D1674" s="31" t="str">
        <f t="shared" si="1"/>
        <v/>
      </c>
    </row>
    <row r="1675">
      <c r="A1675" s="32"/>
      <c r="D1675" s="31" t="str">
        <f t="shared" si="1"/>
        <v/>
      </c>
    </row>
    <row r="1676">
      <c r="A1676" s="32"/>
      <c r="D1676" s="31" t="str">
        <f t="shared" si="1"/>
        <v/>
      </c>
    </row>
    <row r="1677">
      <c r="A1677" s="32"/>
      <c r="D1677" s="31" t="str">
        <f t="shared" si="1"/>
        <v/>
      </c>
    </row>
    <row r="1678">
      <c r="A1678" s="32"/>
      <c r="D1678" s="31" t="str">
        <f t="shared" si="1"/>
        <v/>
      </c>
    </row>
    <row r="1679">
      <c r="A1679" s="32"/>
      <c r="D1679" s="31" t="str">
        <f t="shared" si="1"/>
        <v/>
      </c>
    </row>
    <row r="1680">
      <c r="A1680" s="32"/>
      <c r="D1680" s="31" t="str">
        <f t="shared" si="1"/>
        <v/>
      </c>
    </row>
    <row r="1681">
      <c r="A1681" s="32"/>
      <c r="D1681" s="31" t="str">
        <f t="shared" si="1"/>
        <v/>
      </c>
    </row>
    <row r="1682">
      <c r="A1682" s="32"/>
      <c r="D1682" s="31" t="str">
        <f t="shared" si="1"/>
        <v/>
      </c>
    </row>
    <row r="1683">
      <c r="A1683" s="32"/>
      <c r="D1683" s="31" t="str">
        <f t="shared" si="1"/>
        <v/>
      </c>
    </row>
    <row r="1684">
      <c r="A1684" s="32"/>
      <c r="D1684" s="31" t="str">
        <f t="shared" si="1"/>
        <v/>
      </c>
    </row>
    <row r="1685">
      <c r="A1685" s="32"/>
      <c r="D1685" s="31" t="str">
        <f t="shared" si="1"/>
        <v/>
      </c>
    </row>
    <row r="1686">
      <c r="A1686" s="32"/>
      <c r="D1686" s="31" t="str">
        <f t="shared" si="1"/>
        <v/>
      </c>
    </row>
    <row r="1687">
      <c r="A1687" s="32"/>
      <c r="D1687" s="31" t="str">
        <f t="shared" si="1"/>
        <v/>
      </c>
    </row>
    <row r="1688">
      <c r="A1688" s="32"/>
      <c r="D1688" s="31" t="str">
        <f t="shared" si="1"/>
        <v/>
      </c>
    </row>
    <row r="1689">
      <c r="A1689" s="32"/>
      <c r="D1689" s="31" t="str">
        <f t="shared" si="1"/>
        <v/>
      </c>
    </row>
    <row r="1690">
      <c r="A1690" s="32"/>
      <c r="D1690" s="31" t="str">
        <f t="shared" si="1"/>
        <v/>
      </c>
    </row>
    <row r="1691">
      <c r="A1691" s="32"/>
      <c r="D1691" s="31" t="str">
        <f t="shared" si="1"/>
        <v/>
      </c>
    </row>
    <row r="1692">
      <c r="A1692" s="32"/>
      <c r="D1692" s="31" t="str">
        <f t="shared" si="1"/>
        <v/>
      </c>
    </row>
    <row r="1693">
      <c r="A1693" s="32"/>
      <c r="D1693" s="31" t="str">
        <f t="shared" si="1"/>
        <v/>
      </c>
    </row>
    <row r="1694">
      <c r="A1694" s="32"/>
      <c r="D1694" s="31" t="str">
        <f t="shared" si="1"/>
        <v/>
      </c>
    </row>
    <row r="1695">
      <c r="A1695" s="32"/>
      <c r="D1695" s="31" t="str">
        <f t="shared" si="1"/>
        <v/>
      </c>
    </row>
    <row r="1696">
      <c r="A1696" s="32"/>
      <c r="D1696" s="31" t="str">
        <f t="shared" si="1"/>
        <v/>
      </c>
    </row>
    <row r="1697">
      <c r="A1697" s="32"/>
      <c r="D1697" s="31" t="str">
        <f t="shared" si="1"/>
        <v/>
      </c>
    </row>
    <row r="1698">
      <c r="A1698" s="32"/>
      <c r="D1698" s="31" t="str">
        <f t="shared" si="1"/>
        <v/>
      </c>
    </row>
    <row r="1699">
      <c r="A1699" s="32"/>
      <c r="D1699" s="31" t="str">
        <f t="shared" si="1"/>
        <v/>
      </c>
    </row>
    <row r="1700">
      <c r="A1700" s="32"/>
      <c r="D1700" s="31" t="str">
        <f t="shared" si="1"/>
        <v/>
      </c>
    </row>
    <row r="1701">
      <c r="A1701" s="32"/>
      <c r="D1701" s="31" t="str">
        <f t="shared" si="1"/>
        <v/>
      </c>
    </row>
    <row r="1702">
      <c r="A1702" s="32"/>
      <c r="D1702" s="31" t="str">
        <f t="shared" si="1"/>
        <v/>
      </c>
    </row>
    <row r="1703">
      <c r="A1703" s="32"/>
      <c r="D1703" s="31" t="str">
        <f t="shared" si="1"/>
        <v/>
      </c>
    </row>
    <row r="1704">
      <c r="A1704" s="32"/>
      <c r="D1704" s="31" t="str">
        <f t="shared" si="1"/>
        <v/>
      </c>
    </row>
    <row r="1705">
      <c r="A1705" s="32"/>
      <c r="D1705" s="31" t="str">
        <f t="shared" si="1"/>
        <v/>
      </c>
    </row>
    <row r="1706">
      <c r="A1706" s="32"/>
      <c r="D1706" s="31" t="str">
        <f t="shared" si="1"/>
        <v/>
      </c>
    </row>
    <row r="1707">
      <c r="A1707" s="32"/>
      <c r="D1707" s="31" t="str">
        <f t="shared" si="1"/>
        <v/>
      </c>
    </row>
    <row r="1708">
      <c r="A1708" s="32"/>
      <c r="D1708" s="31" t="str">
        <f t="shared" si="1"/>
        <v/>
      </c>
    </row>
    <row r="1709">
      <c r="A1709" s="32"/>
      <c r="D1709" s="31" t="str">
        <f t="shared" si="1"/>
        <v/>
      </c>
    </row>
    <row r="1710">
      <c r="A1710" s="32"/>
      <c r="D1710" s="31" t="str">
        <f t="shared" si="1"/>
        <v/>
      </c>
    </row>
    <row r="1711">
      <c r="A1711" s="32"/>
      <c r="D1711" s="31" t="str">
        <f t="shared" si="1"/>
        <v/>
      </c>
    </row>
    <row r="1712">
      <c r="A1712" s="32"/>
      <c r="D1712" s="31" t="str">
        <f t="shared" si="1"/>
        <v/>
      </c>
    </row>
    <row r="1713">
      <c r="A1713" s="32"/>
      <c r="D1713" s="31" t="str">
        <f t="shared" si="1"/>
        <v/>
      </c>
    </row>
    <row r="1714">
      <c r="A1714" s="32"/>
      <c r="D1714" s="31" t="str">
        <f t="shared" si="1"/>
        <v/>
      </c>
    </row>
    <row r="1715">
      <c r="A1715" s="32"/>
      <c r="D1715" s="31" t="str">
        <f t="shared" si="1"/>
        <v/>
      </c>
    </row>
    <row r="1716">
      <c r="A1716" s="32"/>
      <c r="D1716" s="31" t="str">
        <f t="shared" si="1"/>
        <v/>
      </c>
    </row>
    <row r="1717">
      <c r="A1717" s="32"/>
      <c r="D1717" s="31" t="str">
        <f t="shared" si="1"/>
        <v/>
      </c>
    </row>
    <row r="1718">
      <c r="A1718" s="32"/>
      <c r="D1718" s="31" t="str">
        <f t="shared" si="1"/>
        <v/>
      </c>
    </row>
    <row r="1719">
      <c r="A1719" s="32"/>
      <c r="D1719" s="31" t="str">
        <f t="shared" si="1"/>
        <v/>
      </c>
    </row>
    <row r="1720">
      <c r="A1720" s="32"/>
      <c r="D1720" s="31" t="str">
        <f t="shared" si="1"/>
        <v/>
      </c>
    </row>
    <row r="1721">
      <c r="A1721" s="32"/>
      <c r="D1721" s="31" t="str">
        <f t="shared" si="1"/>
        <v/>
      </c>
    </row>
    <row r="1722">
      <c r="A1722" s="32"/>
      <c r="D1722" s="31" t="str">
        <f t="shared" si="1"/>
        <v/>
      </c>
    </row>
    <row r="1723">
      <c r="A1723" s="32"/>
      <c r="D1723" s="31" t="str">
        <f t="shared" si="1"/>
        <v/>
      </c>
    </row>
    <row r="1724">
      <c r="A1724" s="32"/>
      <c r="D1724" s="31" t="str">
        <f t="shared" si="1"/>
        <v/>
      </c>
    </row>
    <row r="1725">
      <c r="A1725" s="32"/>
      <c r="D1725" s="31" t="str">
        <f t="shared" si="1"/>
        <v/>
      </c>
    </row>
    <row r="1726">
      <c r="A1726" s="32"/>
      <c r="D1726" s="31" t="str">
        <f t="shared" si="1"/>
        <v/>
      </c>
    </row>
    <row r="1727">
      <c r="A1727" s="32"/>
      <c r="D1727" s="31" t="str">
        <f t="shared" si="1"/>
        <v/>
      </c>
    </row>
    <row r="1728">
      <c r="A1728" s="32"/>
      <c r="D1728" s="31" t="str">
        <f t="shared" si="1"/>
        <v/>
      </c>
    </row>
    <row r="1729">
      <c r="A1729" s="32"/>
      <c r="D1729" s="31" t="str">
        <f t="shared" si="1"/>
        <v/>
      </c>
    </row>
    <row r="1730">
      <c r="A1730" s="32"/>
      <c r="D1730" s="31" t="str">
        <f t="shared" si="1"/>
        <v/>
      </c>
    </row>
    <row r="1731">
      <c r="A1731" s="32"/>
      <c r="D1731" s="31" t="str">
        <f t="shared" si="1"/>
        <v/>
      </c>
    </row>
    <row r="1732">
      <c r="A1732" s="32"/>
      <c r="D1732" s="31" t="str">
        <f t="shared" si="1"/>
        <v/>
      </c>
    </row>
    <row r="1733">
      <c r="A1733" s="32"/>
      <c r="D1733" s="31" t="str">
        <f t="shared" si="1"/>
        <v/>
      </c>
    </row>
    <row r="1734">
      <c r="A1734" s="32"/>
      <c r="D1734" s="31" t="str">
        <f t="shared" si="1"/>
        <v/>
      </c>
    </row>
    <row r="1735">
      <c r="A1735" s="32"/>
      <c r="D1735" s="31" t="str">
        <f t="shared" si="1"/>
        <v/>
      </c>
    </row>
    <row r="1736">
      <c r="A1736" s="32"/>
      <c r="D1736" s="31" t="str">
        <f t="shared" si="1"/>
        <v/>
      </c>
    </row>
    <row r="1737">
      <c r="A1737" s="32"/>
      <c r="D1737" s="31" t="str">
        <f t="shared" si="1"/>
        <v/>
      </c>
    </row>
    <row r="1738">
      <c r="A1738" s="32"/>
      <c r="D1738" s="31" t="str">
        <f t="shared" si="1"/>
        <v/>
      </c>
    </row>
    <row r="1739">
      <c r="A1739" s="32"/>
      <c r="D1739" s="31" t="str">
        <f t="shared" si="1"/>
        <v/>
      </c>
    </row>
    <row r="1740">
      <c r="A1740" s="32"/>
      <c r="D1740" s="31" t="str">
        <f t="shared" si="1"/>
        <v/>
      </c>
    </row>
    <row r="1741">
      <c r="A1741" s="32"/>
      <c r="D1741" s="31" t="str">
        <f t="shared" si="1"/>
        <v/>
      </c>
    </row>
    <row r="1742">
      <c r="A1742" s="32"/>
      <c r="D1742" s="31" t="str">
        <f t="shared" si="1"/>
        <v/>
      </c>
    </row>
    <row r="1743">
      <c r="A1743" s="32"/>
      <c r="D1743" s="31" t="str">
        <f t="shared" si="1"/>
        <v/>
      </c>
    </row>
    <row r="1744">
      <c r="A1744" s="32"/>
      <c r="D1744" s="31" t="str">
        <f t="shared" si="1"/>
        <v/>
      </c>
    </row>
    <row r="1745">
      <c r="A1745" s="32"/>
      <c r="D1745" s="31" t="str">
        <f t="shared" si="1"/>
        <v/>
      </c>
    </row>
    <row r="1746">
      <c r="A1746" s="32"/>
      <c r="D1746" s="31" t="str">
        <f t="shared" si="1"/>
        <v/>
      </c>
    </row>
    <row r="1747">
      <c r="A1747" s="32"/>
      <c r="D1747" s="31" t="str">
        <f t="shared" si="1"/>
        <v/>
      </c>
    </row>
    <row r="1748">
      <c r="A1748" s="32"/>
      <c r="D1748" s="31" t="str">
        <f t="shared" si="1"/>
        <v/>
      </c>
    </row>
    <row r="1749">
      <c r="A1749" s="32"/>
      <c r="D1749" s="31" t="str">
        <f t="shared" si="1"/>
        <v/>
      </c>
    </row>
    <row r="1750">
      <c r="A1750" s="32"/>
      <c r="D1750" s="31" t="str">
        <f t="shared" si="1"/>
        <v/>
      </c>
    </row>
    <row r="1751">
      <c r="A1751" s="32"/>
      <c r="D1751" s="31" t="str">
        <f t="shared" si="1"/>
        <v/>
      </c>
    </row>
    <row r="1752">
      <c r="A1752" s="32"/>
      <c r="D1752" s="31" t="str">
        <f t="shared" si="1"/>
        <v/>
      </c>
    </row>
    <row r="1753">
      <c r="A1753" s="32"/>
      <c r="D1753" s="31" t="str">
        <f t="shared" si="1"/>
        <v/>
      </c>
    </row>
    <row r="1754">
      <c r="A1754" s="32"/>
      <c r="D1754" s="31" t="str">
        <f t="shared" si="1"/>
        <v/>
      </c>
    </row>
    <row r="1755">
      <c r="A1755" s="32"/>
      <c r="D1755" s="31" t="str">
        <f t="shared" si="1"/>
        <v/>
      </c>
    </row>
    <row r="1756">
      <c r="A1756" s="32"/>
      <c r="D1756" s="31" t="str">
        <f t="shared" si="1"/>
        <v/>
      </c>
    </row>
    <row r="1757">
      <c r="A1757" s="32"/>
      <c r="D1757" s="31" t="str">
        <f t="shared" si="1"/>
        <v/>
      </c>
    </row>
    <row r="1758">
      <c r="A1758" s="32"/>
      <c r="D1758" s="31" t="str">
        <f t="shared" si="1"/>
        <v/>
      </c>
    </row>
    <row r="1759">
      <c r="A1759" s="32"/>
      <c r="D1759" s="31" t="str">
        <f t="shared" si="1"/>
        <v/>
      </c>
    </row>
    <row r="1760">
      <c r="A1760" s="32"/>
      <c r="D1760" s="31" t="str">
        <f t="shared" si="1"/>
        <v/>
      </c>
    </row>
    <row r="1761">
      <c r="A1761" s="32"/>
      <c r="D1761" s="31" t="str">
        <f t="shared" si="1"/>
        <v/>
      </c>
    </row>
    <row r="1762">
      <c r="A1762" s="32"/>
      <c r="D1762" s="31" t="str">
        <f t="shared" si="1"/>
        <v/>
      </c>
    </row>
    <row r="1763">
      <c r="A1763" s="32"/>
      <c r="D1763" s="31" t="str">
        <f t="shared" si="1"/>
        <v/>
      </c>
    </row>
    <row r="1764">
      <c r="A1764" s="32"/>
      <c r="D1764" s="31" t="str">
        <f t="shared" si="1"/>
        <v/>
      </c>
    </row>
    <row r="1765">
      <c r="A1765" s="32"/>
      <c r="D1765" s="31" t="str">
        <f t="shared" si="1"/>
        <v/>
      </c>
    </row>
    <row r="1766">
      <c r="A1766" s="32"/>
      <c r="D1766" s="31" t="str">
        <f t="shared" si="1"/>
        <v/>
      </c>
    </row>
    <row r="1767">
      <c r="A1767" s="32"/>
      <c r="D1767" s="31" t="str">
        <f t="shared" si="1"/>
        <v/>
      </c>
    </row>
    <row r="1768">
      <c r="A1768" s="32"/>
      <c r="D1768" s="31" t="str">
        <f t="shared" si="1"/>
        <v/>
      </c>
    </row>
    <row r="1769">
      <c r="A1769" s="32"/>
      <c r="D1769" s="31" t="str">
        <f t="shared" si="1"/>
        <v/>
      </c>
    </row>
    <row r="1770">
      <c r="A1770" s="32"/>
      <c r="D1770" s="31" t="str">
        <f t="shared" si="1"/>
        <v/>
      </c>
    </row>
    <row r="1771">
      <c r="A1771" s="32"/>
      <c r="D1771" s="31" t="str">
        <f t="shared" si="1"/>
        <v/>
      </c>
    </row>
    <row r="1772">
      <c r="A1772" s="32"/>
      <c r="D1772" s="31" t="str">
        <f t="shared" si="1"/>
        <v/>
      </c>
    </row>
    <row r="1773">
      <c r="A1773" s="32"/>
      <c r="D1773" s="31" t="str">
        <f t="shared" si="1"/>
        <v/>
      </c>
    </row>
    <row r="1774">
      <c r="A1774" s="32"/>
      <c r="D1774" s="31" t="str">
        <f t="shared" si="1"/>
        <v/>
      </c>
    </row>
    <row r="1775">
      <c r="A1775" s="32"/>
      <c r="D1775" s="31" t="str">
        <f t="shared" si="1"/>
        <v/>
      </c>
    </row>
    <row r="1776">
      <c r="A1776" s="32"/>
      <c r="D1776" s="31" t="str">
        <f t="shared" si="1"/>
        <v/>
      </c>
    </row>
    <row r="1777">
      <c r="A1777" s="32"/>
      <c r="D1777" s="31" t="str">
        <f t="shared" si="1"/>
        <v/>
      </c>
    </row>
    <row r="1778">
      <c r="A1778" s="32"/>
      <c r="D1778" s="31" t="str">
        <f t="shared" si="1"/>
        <v/>
      </c>
    </row>
    <row r="1779">
      <c r="A1779" s="32"/>
      <c r="D1779" s="31" t="str">
        <f t="shared" si="1"/>
        <v/>
      </c>
    </row>
    <row r="1780">
      <c r="A1780" s="32"/>
      <c r="D1780" s="31" t="str">
        <f t="shared" si="1"/>
        <v/>
      </c>
    </row>
    <row r="1781">
      <c r="A1781" s="32"/>
      <c r="D1781" s="31" t="str">
        <f t="shared" si="1"/>
        <v/>
      </c>
    </row>
    <row r="1782">
      <c r="A1782" s="32"/>
      <c r="D1782" s="31" t="str">
        <f t="shared" si="1"/>
        <v/>
      </c>
    </row>
    <row r="1783">
      <c r="A1783" s="32"/>
      <c r="D1783" s="31" t="str">
        <f t="shared" si="1"/>
        <v/>
      </c>
    </row>
    <row r="1784">
      <c r="A1784" s="32"/>
      <c r="D1784" s="31" t="str">
        <f t="shared" si="1"/>
        <v/>
      </c>
    </row>
    <row r="1785">
      <c r="A1785" s="32"/>
      <c r="D1785" s="31" t="str">
        <f t="shared" si="1"/>
        <v/>
      </c>
    </row>
    <row r="1786">
      <c r="A1786" s="32"/>
      <c r="D1786" s="31" t="str">
        <f t="shared" si="1"/>
        <v/>
      </c>
    </row>
    <row r="1787">
      <c r="A1787" s="32"/>
      <c r="D1787" s="31" t="str">
        <f t="shared" si="1"/>
        <v/>
      </c>
    </row>
    <row r="1788">
      <c r="A1788" s="32"/>
      <c r="D1788" s="31" t="str">
        <f t="shared" si="1"/>
        <v/>
      </c>
    </row>
    <row r="1789">
      <c r="A1789" s="32"/>
      <c r="D1789" s="31" t="str">
        <f t="shared" si="1"/>
        <v/>
      </c>
    </row>
    <row r="1790">
      <c r="A1790" s="32"/>
      <c r="D1790" s="31" t="str">
        <f t="shared" si="1"/>
        <v/>
      </c>
    </row>
    <row r="1791">
      <c r="A1791" s="32"/>
      <c r="D1791" s="31" t="str">
        <f t="shared" si="1"/>
        <v/>
      </c>
    </row>
    <row r="1792">
      <c r="A1792" s="32"/>
      <c r="D1792" s="31" t="str">
        <f t="shared" si="1"/>
        <v/>
      </c>
    </row>
    <row r="1793">
      <c r="A1793" s="32"/>
      <c r="D1793" s="31" t="str">
        <f t="shared" si="1"/>
        <v/>
      </c>
    </row>
    <row r="1794">
      <c r="A1794" s="32"/>
      <c r="D1794" s="31" t="str">
        <f t="shared" si="1"/>
        <v/>
      </c>
    </row>
    <row r="1795">
      <c r="A1795" s="32"/>
      <c r="D1795" s="31" t="str">
        <f t="shared" si="1"/>
        <v/>
      </c>
    </row>
    <row r="1796">
      <c r="A1796" s="32"/>
      <c r="D1796" s="31" t="str">
        <f t="shared" si="1"/>
        <v/>
      </c>
    </row>
    <row r="1797">
      <c r="A1797" s="32"/>
      <c r="D1797" s="31" t="str">
        <f t="shared" si="1"/>
        <v/>
      </c>
    </row>
    <row r="1798">
      <c r="A1798" s="32"/>
      <c r="D1798" s="31" t="str">
        <f t="shared" si="1"/>
        <v/>
      </c>
    </row>
    <row r="1799">
      <c r="A1799" s="32"/>
      <c r="D1799" s="31" t="str">
        <f t="shared" si="1"/>
        <v/>
      </c>
    </row>
    <row r="1800">
      <c r="A1800" s="32"/>
      <c r="D1800" s="31" t="str">
        <f t="shared" si="1"/>
        <v/>
      </c>
    </row>
    <row r="1801">
      <c r="A1801" s="32"/>
      <c r="D1801" s="31" t="str">
        <f t="shared" si="1"/>
        <v/>
      </c>
    </row>
    <row r="1802">
      <c r="A1802" s="32"/>
      <c r="D1802" s="31" t="str">
        <f t="shared" si="1"/>
        <v/>
      </c>
    </row>
    <row r="1803">
      <c r="A1803" s="32"/>
      <c r="D1803" s="31" t="str">
        <f t="shared" si="1"/>
        <v/>
      </c>
    </row>
    <row r="1804">
      <c r="A1804" s="32"/>
      <c r="D1804" s="31" t="str">
        <f t="shared" si="1"/>
        <v/>
      </c>
    </row>
    <row r="1805">
      <c r="A1805" s="32"/>
      <c r="D1805" s="31" t="str">
        <f t="shared" si="1"/>
        <v/>
      </c>
    </row>
    <row r="1806">
      <c r="A1806" s="32"/>
      <c r="D1806" s="31" t="str">
        <f t="shared" si="1"/>
        <v/>
      </c>
    </row>
    <row r="1807">
      <c r="A1807" s="32"/>
      <c r="D1807" s="31" t="str">
        <f t="shared" si="1"/>
        <v/>
      </c>
    </row>
    <row r="1808">
      <c r="A1808" s="32"/>
      <c r="D1808" s="31" t="str">
        <f t="shared" si="1"/>
        <v/>
      </c>
    </row>
    <row r="1809">
      <c r="A1809" s="32"/>
      <c r="D1809" s="31" t="str">
        <f t="shared" si="1"/>
        <v/>
      </c>
    </row>
    <row r="1810">
      <c r="A1810" s="32"/>
      <c r="D1810" s="31" t="str">
        <f t="shared" si="1"/>
        <v/>
      </c>
    </row>
    <row r="1811">
      <c r="A1811" s="32"/>
      <c r="D1811" s="31" t="str">
        <f t="shared" si="1"/>
        <v/>
      </c>
    </row>
    <row r="1812">
      <c r="A1812" s="32"/>
      <c r="D1812" s="31" t="str">
        <f t="shared" si="1"/>
        <v/>
      </c>
    </row>
    <row r="1813">
      <c r="A1813" s="32"/>
      <c r="D1813" s="31" t="str">
        <f t="shared" si="1"/>
        <v/>
      </c>
    </row>
    <row r="1814">
      <c r="A1814" s="32"/>
      <c r="D1814" s="31" t="str">
        <f t="shared" si="1"/>
        <v/>
      </c>
    </row>
    <row r="1815">
      <c r="A1815" s="32"/>
      <c r="D1815" s="31" t="str">
        <f t="shared" si="1"/>
        <v/>
      </c>
    </row>
    <row r="1816">
      <c r="A1816" s="32"/>
      <c r="D1816" s="31" t="str">
        <f t="shared" si="1"/>
        <v/>
      </c>
    </row>
    <row r="1817">
      <c r="A1817" s="32"/>
      <c r="D1817" s="31" t="str">
        <f t="shared" si="1"/>
        <v/>
      </c>
    </row>
    <row r="1818">
      <c r="A1818" s="32"/>
      <c r="D1818" s="31" t="str">
        <f t="shared" si="1"/>
        <v/>
      </c>
    </row>
    <row r="1819">
      <c r="A1819" s="32"/>
      <c r="D1819" s="31" t="str">
        <f t="shared" si="1"/>
        <v/>
      </c>
    </row>
    <row r="1820">
      <c r="A1820" s="32"/>
      <c r="D1820" s="31" t="str">
        <f t="shared" si="1"/>
        <v/>
      </c>
    </row>
    <row r="1821">
      <c r="A1821" s="32"/>
      <c r="D1821" s="31" t="str">
        <f t="shared" si="1"/>
        <v/>
      </c>
    </row>
    <row r="1822">
      <c r="A1822" s="32"/>
      <c r="D1822" s="31" t="str">
        <f t="shared" si="1"/>
        <v/>
      </c>
    </row>
    <row r="1823">
      <c r="A1823" s="32"/>
      <c r="D1823" s="31" t="str">
        <f t="shared" si="1"/>
        <v/>
      </c>
    </row>
    <row r="1824">
      <c r="A1824" s="32"/>
      <c r="D1824" s="31" t="str">
        <f t="shared" si="1"/>
        <v/>
      </c>
    </row>
    <row r="1825">
      <c r="A1825" s="32"/>
      <c r="D1825" s="31" t="str">
        <f t="shared" si="1"/>
        <v/>
      </c>
    </row>
    <row r="1826">
      <c r="A1826" s="32"/>
      <c r="D1826" s="31" t="str">
        <f t="shared" si="1"/>
        <v/>
      </c>
    </row>
    <row r="1827">
      <c r="A1827" s="32"/>
      <c r="D1827" s="31" t="str">
        <f t="shared" si="1"/>
        <v/>
      </c>
    </row>
    <row r="1828">
      <c r="A1828" s="32"/>
      <c r="D1828" s="31" t="str">
        <f t="shared" si="1"/>
        <v/>
      </c>
    </row>
    <row r="1829">
      <c r="A1829" s="32"/>
      <c r="D1829" s="31" t="str">
        <f t="shared" si="1"/>
        <v/>
      </c>
    </row>
    <row r="1830">
      <c r="A1830" s="32"/>
      <c r="D1830" s="31" t="str">
        <f t="shared" si="1"/>
        <v/>
      </c>
    </row>
    <row r="1831">
      <c r="A1831" s="32"/>
      <c r="D1831" s="31" t="str">
        <f t="shared" si="1"/>
        <v/>
      </c>
    </row>
    <row r="1832">
      <c r="A1832" s="32"/>
      <c r="D1832" s="31" t="str">
        <f t="shared" si="1"/>
        <v/>
      </c>
    </row>
    <row r="1833">
      <c r="A1833" s="32"/>
      <c r="D1833" s="31" t="str">
        <f t="shared" si="1"/>
        <v/>
      </c>
    </row>
    <row r="1834">
      <c r="A1834" s="32"/>
      <c r="D1834" s="31" t="str">
        <f t="shared" si="1"/>
        <v/>
      </c>
    </row>
    <row r="1835">
      <c r="A1835" s="32"/>
      <c r="D1835" s="31" t="str">
        <f t="shared" si="1"/>
        <v/>
      </c>
    </row>
    <row r="1836">
      <c r="A1836" s="32"/>
      <c r="D1836" s="31" t="str">
        <f t="shared" si="1"/>
        <v/>
      </c>
    </row>
    <row r="1837">
      <c r="A1837" s="32"/>
      <c r="D1837" s="31" t="str">
        <f t="shared" si="1"/>
        <v/>
      </c>
    </row>
    <row r="1838">
      <c r="A1838" s="32"/>
      <c r="D1838" s="31" t="str">
        <f t="shared" si="1"/>
        <v/>
      </c>
    </row>
    <row r="1839">
      <c r="A1839" s="32"/>
      <c r="D1839" s="31" t="str">
        <f t="shared" si="1"/>
        <v/>
      </c>
    </row>
    <row r="1840">
      <c r="A1840" s="32"/>
      <c r="D1840" s="31" t="str">
        <f t="shared" si="1"/>
        <v/>
      </c>
    </row>
    <row r="1841">
      <c r="A1841" s="32"/>
      <c r="D1841" s="31" t="str">
        <f t="shared" si="1"/>
        <v/>
      </c>
    </row>
    <row r="1842">
      <c r="A1842" s="32"/>
      <c r="D1842" s="31" t="str">
        <f t="shared" si="1"/>
        <v/>
      </c>
    </row>
    <row r="1843">
      <c r="A1843" s="32"/>
      <c r="D1843" s="31" t="str">
        <f t="shared" si="1"/>
        <v/>
      </c>
    </row>
    <row r="1844">
      <c r="A1844" s="32"/>
      <c r="D1844" s="31" t="str">
        <f t="shared" si="1"/>
        <v/>
      </c>
    </row>
    <row r="1845">
      <c r="A1845" s="32"/>
      <c r="D1845" s="31" t="str">
        <f t="shared" si="1"/>
        <v/>
      </c>
    </row>
    <row r="1846">
      <c r="A1846" s="32"/>
      <c r="D1846" s="31" t="str">
        <f t="shared" si="1"/>
        <v/>
      </c>
    </row>
    <row r="1847">
      <c r="A1847" s="32"/>
      <c r="D1847" s="31" t="str">
        <f t="shared" si="1"/>
        <v/>
      </c>
    </row>
    <row r="1848">
      <c r="A1848" s="32"/>
      <c r="D1848" s="31" t="str">
        <f t="shared" si="1"/>
        <v/>
      </c>
    </row>
    <row r="1849">
      <c r="A1849" s="32"/>
      <c r="D1849" s="31" t="str">
        <f t="shared" si="1"/>
        <v/>
      </c>
    </row>
    <row r="1850">
      <c r="A1850" s="32"/>
      <c r="D1850" s="31" t="str">
        <f t="shared" si="1"/>
        <v/>
      </c>
    </row>
    <row r="1851">
      <c r="A1851" s="32"/>
      <c r="D1851" s="31" t="str">
        <f t="shared" si="1"/>
        <v/>
      </c>
    </row>
    <row r="1852">
      <c r="A1852" s="32"/>
      <c r="D1852" s="31" t="str">
        <f t="shared" si="1"/>
        <v/>
      </c>
    </row>
    <row r="1853">
      <c r="A1853" s="32"/>
      <c r="D1853" s="31" t="str">
        <f t="shared" si="1"/>
        <v/>
      </c>
    </row>
    <row r="1854">
      <c r="A1854" s="32"/>
      <c r="D1854" s="31" t="str">
        <f t="shared" si="1"/>
        <v/>
      </c>
    </row>
    <row r="1855">
      <c r="A1855" s="32"/>
      <c r="D1855" s="31" t="str">
        <f t="shared" si="1"/>
        <v/>
      </c>
    </row>
    <row r="1856">
      <c r="A1856" s="32"/>
      <c r="D1856" s="31" t="str">
        <f t="shared" si="1"/>
        <v/>
      </c>
    </row>
    <row r="1857">
      <c r="A1857" s="32"/>
      <c r="D1857" s="31" t="str">
        <f t="shared" si="1"/>
        <v/>
      </c>
    </row>
    <row r="1858">
      <c r="A1858" s="32"/>
      <c r="D1858" s="31" t="str">
        <f t="shared" si="1"/>
        <v/>
      </c>
    </row>
    <row r="1859">
      <c r="A1859" s="32"/>
      <c r="D1859" s="31" t="str">
        <f t="shared" si="1"/>
        <v/>
      </c>
    </row>
    <row r="1860">
      <c r="A1860" s="32"/>
      <c r="D1860" s="31" t="str">
        <f t="shared" si="1"/>
        <v/>
      </c>
    </row>
    <row r="1861">
      <c r="A1861" s="32"/>
      <c r="D1861" s="31" t="str">
        <f t="shared" si="1"/>
        <v/>
      </c>
    </row>
    <row r="1862">
      <c r="A1862" s="32"/>
      <c r="D1862" s="31" t="str">
        <f t="shared" si="1"/>
        <v/>
      </c>
    </row>
    <row r="1863">
      <c r="A1863" s="32"/>
      <c r="D1863" s="31" t="str">
        <f t="shared" si="1"/>
        <v/>
      </c>
    </row>
    <row r="1864">
      <c r="A1864" s="32"/>
      <c r="D1864" s="31" t="str">
        <f t="shared" si="1"/>
        <v/>
      </c>
    </row>
    <row r="1865">
      <c r="A1865" s="32"/>
      <c r="D1865" s="31" t="str">
        <f t="shared" si="1"/>
        <v/>
      </c>
    </row>
    <row r="1866">
      <c r="A1866" s="32"/>
      <c r="D1866" s="31" t="str">
        <f t="shared" si="1"/>
        <v/>
      </c>
    </row>
    <row r="1867">
      <c r="A1867" s="32"/>
      <c r="D1867" s="31" t="str">
        <f t="shared" si="1"/>
        <v/>
      </c>
    </row>
    <row r="1868">
      <c r="A1868" s="32"/>
      <c r="D1868" s="31" t="str">
        <f t="shared" si="1"/>
        <v/>
      </c>
    </row>
    <row r="1869">
      <c r="A1869" s="32"/>
      <c r="D1869" s="31" t="str">
        <f t="shared" si="1"/>
        <v/>
      </c>
    </row>
    <row r="1870">
      <c r="A1870" s="32"/>
      <c r="D1870" s="31" t="str">
        <f t="shared" si="1"/>
        <v/>
      </c>
    </row>
    <row r="1871">
      <c r="A1871" s="32"/>
      <c r="D1871" s="31" t="str">
        <f t="shared" si="1"/>
        <v/>
      </c>
    </row>
    <row r="1872">
      <c r="A1872" s="32"/>
      <c r="D1872" s="31" t="str">
        <f t="shared" si="1"/>
        <v/>
      </c>
    </row>
    <row r="1873">
      <c r="A1873" s="32"/>
      <c r="D1873" s="31" t="str">
        <f t="shared" si="1"/>
        <v/>
      </c>
    </row>
    <row r="1874">
      <c r="A1874" s="32"/>
      <c r="D1874" s="31" t="str">
        <f t="shared" si="1"/>
        <v/>
      </c>
    </row>
    <row r="1875">
      <c r="A1875" s="32"/>
      <c r="D1875" s="31" t="str">
        <f t="shared" si="1"/>
        <v/>
      </c>
    </row>
    <row r="1876">
      <c r="A1876" s="32"/>
      <c r="D1876" s="31" t="str">
        <f t="shared" si="1"/>
        <v/>
      </c>
    </row>
    <row r="1877">
      <c r="A1877" s="32"/>
      <c r="D1877" s="31" t="str">
        <f t="shared" si="1"/>
        <v/>
      </c>
    </row>
    <row r="1878">
      <c r="A1878" s="32"/>
      <c r="D1878" s="31" t="str">
        <f t="shared" si="1"/>
        <v/>
      </c>
    </row>
    <row r="1879">
      <c r="A1879" s="32"/>
      <c r="D1879" s="31" t="str">
        <f t="shared" si="1"/>
        <v/>
      </c>
    </row>
    <row r="1880">
      <c r="A1880" s="32"/>
      <c r="D1880" s="31" t="str">
        <f t="shared" si="1"/>
        <v/>
      </c>
    </row>
    <row r="1881">
      <c r="A1881" s="32"/>
      <c r="D1881" s="31" t="str">
        <f t="shared" si="1"/>
        <v/>
      </c>
    </row>
    <row r="1882">
      <c r="A1882" s="32"/>
      <c r="D1882" s="31" t="str">
        <f t="shared" si="1"/>
        <v/>
      </c>
    </row>
    <row r="1883">
      <c r="A1883" s="32"/>
      <c r="D1883" s="31" t="str">
        <f t="shared" si="1"/>
        <v/>
      </c>
    </row>
    <row r="1884">
      <c r="A1884" s="32"/>
      <c r="D1884" s="31" t="str">
        <f t="shared" si="1"/>
        <v/>
      </c>
    </row>
    <row r="1885">
      <c r="A1885" s="32"/>
      <c r="D1885" s="31" t="str">
        <f t="shared" si="1"/>
        <v/>
      </c>
    </row>
    <row r="1886">
      <c r="A1886" s="32"/>
      <c r="D1886" s="31" t="str">
        <f t="shared" si="1"/>
        <v/>
      </c>
    </row>
    <row r="1887">
      <c r="A1887" s="32"/>
      <c r="D1887" s="31" t="str">
        <f t="shared" si="1"/>
        <v/>
      </c>
    </row>
    <row r="1888">
      <c r="A1888" s="32"/>
      <c r="D1888" s="31" t="str">
        <f t="shared" si="1"/>
        <v/>
      </c>
    </row>
    <row r="1889">
      <c r="A1889" s="32"/>
      <c r="D1889" s="31" t="str">
        <f t="shared" si="1"/>
        <v/>
      </c>
    </row>
    <row r="1890">
      <c r="A1890" s="32"/>
      <c r="D1890" s="31" t="str">
        <f t="shared" si="1"/>
        <v/>
      </c>
    </row>
    <row r="1891">
      <c r="A1891" s="32"/>
      <c r="D1891" s="31" t="str">
        <f t="shared" si="1"/>
        <v/>
      </c>
    </row>
    <row r="1892">
      <c r="A1892" s="32"/>
      <c r="D1892" s="31" t="str">
        <f t="shared" si="1"/>
        <v/>
      </c>
    </row>
    <row r="1893">
      <c r="A1893" s="32"/>
      <c r="D1893" s="31" t="str">
        <f t="shared" si="1"/>
        <v/>
      </c>
    </row>
    <row r="1894">
      <c r="A1894" s="32"/>
      <c r="D1894" s="31" t="str">
        <f t="shared" si="1"/>
        <v/>
      </c>
    </row>
    <row r="1895">
      <c r="A1895" s="32"/>
      <c r="D1895" s="31" t="str">
        <f t="shared" si="1"/>
        <v/>
      </c>
    </row>
    <row r="1896">
      <c r="A1896" s="32"/>
      <c r="D1896" s="31" t="str">
        <f t="shared" si="1"/>
        <v/>
      </c>
    </row>
    <row r="1897">
      <c r="A1897" s="32"/>
      <c r="D1897" s="31" t="str">
        <f t="shared" si="1"/>
        <v/>
      </c>
    </row>
    <row r="1898">
      <c r="A1898" s="32"/>
      <c r="D1898" s="31" t="str">
        <f t="shared" si="1"/>
        <v/>
      </c>
    </row>
    <row r="1899">
      <c r="A1899" s="32"/>
      <c r="D1899" s="31" t="str">
        <f t="shared" si="1"/>
        <v/>
      </c>
    </row>
    <row r="1900">
      <c r="A1900" s="32"/>
      <c r="D1900" s="31" t="str">
        <f t="shared" si="1"/>
        <v/>
      </c>
    </row>
    <row r="1901">
      <c r="A1901" s="32"/>
      <c r="D1901" s="31" t="str">
        <f t="shared" si="1"/>
        <v/>
      </c>
    </row>
    <row r="1902">
      <c r="A1902" s="32"/>
      <c r="D1902" s="31" t="str">
        <f t="shared" si="1"/>
        <v/>
      </c>
    </row>
    <row r="1903">
      <c r="A1903" s="32"/>
      <c r="D1903" s="31" t="str">
        <f t="shared" si="1"/>
        <v/>
      </c>
    </row>
    <row r="1904">
      <c r="A1904" s="32"/>
      <c r="D1904" s="31" t="str">
        <f t="shared" si="1"/>
        <v/>
      </c>
    </row>
    <row r="1905">
      <c r="A1905" s="32"/>
      <c r="D1905" s="31" t="str">
        <f t="shared" si="1"/>
        <v/>
      </c>
    </row>
    <row r="1906">
      <c r="A1906" s="32"/>
      <c r="D1906" s="31" t="str">
        <f t="shared" si="1"/>
        <v/>
      </c>
    </row>
    <row r="1907">
      <c r="A1907" s="32"/>
      <c r="D1907" s="31" t="str">
        <f t="shared" si="1"/>
        <v/>
      </c>
    </row>
    <row r="1908">
      <c r="A1908" s="32"/>
      <c r="D1908" s="31" t="str">
        <f t="shared" si="1"/>
        <v/>
      </c>
    </row>
    <row r="1909">
      <c r="A1909" s="32"/>
      <c r="D1909" s="31" t="str">
        <f t="shared" si="1"/>
        <v/>
      </c>
    </row>
    <row r="1910">
      <c r="A1910" s="32"/>
      <c r="D1910" s="31" t="str">
        <f t="shared" si="1"/>
        <v/>
      </c>
    </row>
    <row r="1911">
      <c r="A1911" s="32"/>
      <c r="D1911" s="31" t="str">
        <f t="shared" si="1"/>
        <v/>
      </c>
    </row>
    <row r="1912">
      <c r="A1912" s="32"/>
      <c r="D1912" s="31" t="str">
        <f t="shared" si="1"/>
        <v/>
      </c>
    </row>
    <row r="1913">
      <c r="A1913" s="32"/>
      <c r="D1913" s="31" t="str">
        <f t="shared" si="1"/>
        <v/>
      </c>
    </row>
    <row r="1914">
      <c r="A1914" s="32"/>
      <c r="D1914" s="31" t="str">
        <f t="shared" si="1"/>
        <v/>
      </c>
    </row>
    <row r="1915">
      <c r="A1915" s="32"/>
      <c r="D1915" s="31" t="str">
        <f t="shared" si="1"/>
        <v/>
      </c>
    </row>
    <row r="1916">
      <c r="A1916" s="32"/>
      <c r="D1916" s="31" t="str">
        <f t="shared" si="1"/>
        <v/>
      </c>
    </row>
    <row r="1917">
      <c r="A1917" s="32"/>
      <c r="D1917" s="31" t="str">
        <f t="shared" si="1"/>
        <v/>
      </c>
    </row>
    <row r="1918">
      <c r="A1918" s="32"/>
      <c r="D1918" s="31" t="str">
        <f t="shared" si="1"/>
        <v/>
      </c>
    </row>
    <row r="1919">
      <c r="A1919" s="32"/>
      <c r="D1919" s="31" t="str">
        <f t="shared" si="1"/>
        <v/>
      </c>
    </row>
    <row r="1920">
      <c r="A1920" s="32"/>
      <c r="D1920" s="31" t="str">
        <f t="shared" si="1"/>
        <v/>
      </c>
    </row>
    <row r="1921">
      <c r="A1921" s="32"/>
      <c r="D1921" s="31" t="str">
        <f t="shared" si="1"/>
        <v/>
      </c>
    </row>
    <row r="1922">
      <c r="A1922" s="32"/>
      <c r="D1922" s="31" t="str">
        <f t="shared" si="1"/>
        <v/>
      </c>
    </row>
    <row r="1923">
      <c r="A1923" s="32"/>
      <c r="D1923" s="31" t="str">
        <f t="shared" si="1"/>
        <v/>
      </c>
    </row>
    <row r="1924">
      <c r="A1924" s="32"/>
      <c r="D1924" s="31" t="str">
        <f t="shared" si="1"/>
        <v/>
      </c>
    </row>
    <row r="1925">
      <c r="A1925" s="32"/>
      <c r="D1925" s="31" t="str">
        <f t="shared" si="1"/>
        <v/>
      </c>
    </row>
    <row r="1926">
      <c r="A1926" s="32"/>
      <c r="D1926" s="31" t="str">
        <f t="shared" si="1"/>
        <v/>
      </c>
    </row>
    <row r="1927">
      <c r="A1927" s="32"/>
      <c r="D1927" s="31" t="str">
        <f t="shared" si="1"/>
        <v/>
      </c>
    </row>
    <row r="1928">
      <c r="A1928" s="32"/>
      <c r="D1928" s="31" t="str">
        <f t="shared" si="1"/>
        <v/>
      </c>
    </row>
    <row r="1929">
      <c r="A1929" s="32"/>
      <c r="D1929" s="31" t="str">
        <f t="shared" si="1"/>
        <v/>
      </c>
    </row>
    <row r="1930">
      <c r="A1930" s="32"/>
      <c r="D1930" s="31" t="str">
        <f t="shared" si="1"/>
        <v/>
      </c>
    </row>
    <row r="1931">
      <c r="A1931" s="32"/>
      <c r="D1931" s="31" t="str">
        <f t="shared" si="1"/>
        <v/>
      </c>
    </row>
    <row r="1932">
      <c r="A1932" s="32"/>
      <c r="D1932" s="31" t="str">
        <f t="shared" si="1"/>
        <v/>
      </c>
    </row>
    <row r="1933">
      <c r="A1933" s="32"/>
      <c r="D1933" s="31" t="str">
        <f t="shared" si="1"/>
        <v/>
      </c>
    </row>
    <row r="1934">
      <c r="A1934" s="32"/>
      <c r="D1934" s="31" t="str">
        <f t="shared" si="1"/>
        <v/>
      </c>
    </row>
    <row r="1935">
      <c r="A1935" s="32"/>
      <c r="D1935" s="31" t="str">
        <f t="shared" si="1"/>
        <v/>
      </c>
    </row>
    <row r="1936">
      <c r="A1936" s="32"/>
      <c r="D1936" s="31" t="str">
        <f t="shared" si="1"/>
        <v/>
      </c>
    </row>
    <row r="1937">
      <c r="A1937" s="32"/>
      <c r="D1937" s="31" t="str">
        <f t="shared" si="1"/>
        <v/>
      </c>
    </row>
    <row r="1938">
      <c r="A1938" s="32"/>
      <c r="D1938" s="31" t="str">
        <f t="shared" si="1"/>
        <v/>
      </c>
    </row>
    <row r="1939">
      <c r="A1939" s="32"/>
      <c r="D1939" s="31" t="str">
        <f t="shared" si="1"/>
        <v/>
      </c>
    </row>
    <row r="1940">
      <c r="A1940" s="32"/>
      <c r="D1940" s="31" t="str">
        <f t="shared" si="1"/>
        <v/>
      </c>
    </row>
    <row r="1941">
      <c r="A1941" s="32"/>
      <c r="D1941" s="31" t="str">
        <f t="shared" si="1"/>
        <v/>
      </c>
    </row>
    <row r="1942">
      <c r="A1942" s="32"/>
      <c r="D1942" s="31" t="str">
        <f t="shared" si="1"/>
        <v/>
      </c>
    </row>
    <row r="1943">
      <c r="A1943" s="32"/>
      <c r="D1943" s="31" t="str">
        <f t="shared" si="1"/>
        <v/>
      </c>
    </row>
    <row r="1944">
      <c r="A1944" s="32"/>
      <c r="D1944" s="31" t="str">
        <f t="shared" si="1"/>
        <v/>
      </c>
    </row>
    <row r="1945">
      <c r="A1945" s="32"/>
      <c r="D1945" s="31" t="str">
        <f t="shared" si="1"/>
        <v/>
      </c>
    </row>
    <row r="1946">
      <c r="A1946" s="32"/>
      <c r="D1946" s="31" t="str">
        <f t="shared" si="1"/>
        <v/>
      </c>
    </row>
    <row r="1947">
      <c r="A1947" s="32"/>
      <c r="D1947" s="31" t="str">
        <f t="shared" si="1"/>
        <v/>
      </c>
    </row>
    <row r="1948">
      <c r="A1948" s="32"/>
      <c r="D1948" s="31" t="str">
        <f t="shared" si="1"/>
        <v/>
      </c>
    </row>
    <row r="1949">
      <c r="A1949" s="32"/>
      <c r="D1949" s="31" t="str">
        <f t="shared" si="1"/>
        <v/>
      </c>
    </row>
    <row r="1950">
      <c r="A1950" s="32"/>
      <c r="D1950" s="31" t="str">
        <f t="shared" si="1"/>
        <v/>
      </c>
    </row>
    <row r="1951">
      <c r="A1951" s="32"/>
      <c r="D1951" s="31" t="str">
        <f t="shared" si="1"/>
        <v/>
      </c>
    </row>
    <row r="1952">
      <c r="A1952" s="32"/>
      <c r="D1952" s="31" t="str">
        <f t="shared" si="1"/>
        <v/>
      </c>
    </row>
    <row r="1953">
      <c r="A1953" s="32"/>
      <c r="D1953" s="31" t="str">
        <f t="shared" si="1"/>
        <v/>
      </c>
    </row>
    <row r="1954">
      <c r="A1954" s="32"/>
      <c r="D1954" s="31" t="str">
        <f t="shared" si="1"/>
        <v/>
      </c>
    </row>
    <row r="1955">
      <c r="A1955" s="32"/>
      <c r="D1955" s="31" t="str">
        <f t="shared" si="1"/>
        <v/>
      </c>
    </row>
    <row r="1956">
      <c r="A1956" s="32"/>
      <c r="D1956" s="31" t="str">
        <f t="shared" si="1"/>
        <v/>
      </c>
    </row>
    <row r="1957">
      <c r="A1957" s="32"/>
      <c r="D1957" s="31" t="str">
        <f t="shared" si="1"/>
        <v/>
      </c>
    </row>
    <row r="1958">
      <c r="A1958" s="32"/>
      <c r="D1958" s="31" t="str">
        <f t="shared" si="1"/>
        <v/>
      </c>
    </row>
    <row r="1959">
      <c r="A1959" s="32"/>
      <c r="D1959" s="31" t="str">
        <f t="shared" si="1"/>
        <v/>
      </c>
    </row>
    <row r="1960">
      <c r="A1960" s="32"/>
      <c r="D1960" s="31" t="str">
        <f t="shared" si="1"/>
        <v/>
      </c>
    </row>
    <row r="1961">
      <c r="A1961" s="32"/>
      <c r="D1961" s="31" t="str">
        <f t="shared" si="1"/>
        <v/>
      </c>
    </row>
    <row r="1962">
      <c r="A1962" s="32"/>
      <c r="D1962" s="31" t="str">
        <f t="shared" si="1"/>
        <v/>
      </c>
    </row>
    <row r="1963">
      <c r="A1963" s="32"/>
      <c r="D1963" s="31" t="str">
        <f t="shared" si="1"/>
        <v/>
      </c>
    </row>
    <row r="1964">
      <c r="A1964" s="32"/>
      <c r="D1964" s="31" t="str">
        <f t="shared" si="1"/>
        <v/>
      </c>
    </row>
    <row r="1965">
      <c r="A1965" s="32"/>
      <c r="D1965" s="31" t="str">
        <f t="shared" si="1"/>
        <v/>
      </c>
    </row>
    <row r="1966">
      <c r="A1966" s="32"/>
      <c r="D1966" s="31" t="str">
        <f t="shared" si="1"/>
        <v/>
      </c>
    </row>
    <row r="1967">
      <c r="D1967" s="31" t="str">
        <f t="shared" si="1"/>
        <v/>
      </c>
    </row>
    <row r="1968">
      <c r="A1968" s="32"/>
      <c r="D1968" s="31" t="str">
        <f t="shared" si="1"/>
        <v/>
      </c>
    </row>
    <row r="1969">
      <c r="A1969" s="32"/>
      <c r="D1969" s="31" t="str">
        <f t="shared" si="1"/>
        <v/>
      </c>
    </row>
    <row r="1970">
      <c r="A1970" s="32"/>
      <c r="D1970" s="31" t="str">
        <f t="shared" si="1"/>
        <v/>
      </c>
    </row>
    <row r="1971">
      <c r="A1971" s="32"/>
      <c r="D1971" s="31" t="str">
        <f t="shared" si="1"/>
        <v/>
      </c>
    </row>
    <row r="1972">
      <c r="A1972" s="32"/>
      <c r="D1972" s="31" t="str">
        <f t="shared" si="1"/>
        <v/>
      </c>
    </row>
    <row r="1973">
      <c r="A1973" s="32"/>
      <c r="D1973" s="31" t="str">
        <f t="shared" si="1"/>
        <v/>
      </c>
    </row>
    <row r="1974">
      <c r="A1974" s="32"/>
      <c r="D1974" s="31" t="str">
        <f t="shared" si="1"/>
        <v/>
      </c>
    </row>
    <row r="1975">
      <c r="A1975" s="32"/>
      <c r="D1975" s="31" t="str">
        <f t="shared" si="1"/>
        <v/>
      </c>
    </row>
    <row r="1976">
      <c r="A1976" s="32"/>
      <c r="D1976" s="31" t="str">
        <f t="shared" si="1"/>
        <v/>
      </c>
    </row>
    <row r="1977">
      <c r="A1977" s="32"/>
      <c r="D1977" s="31" t="str">
        <f t="shared" si="1"/>
        <v/>
      </c>
    </row>
    <row r="1978">
      <c r="A1978" s="32"/>
      <c r="D1978" s="31" t="str">
        <f t="shared" si="1"/>
        <v/>
      </c>
    </row>
    <row r="1979">
      <c r="A1979" s="32"/>
      <c r="D1979" s="31" t="str">
        <f t="shared" si="1"/>
        <v/>
      </c>
    </row>
    <row r="1980">
      <c r="A1980" s="32"/>
      <c r="D1980" s="31" t="str">
        <f t="shared" si="1"/>
        <v/>
      </c>
    </row>
    <row r="1981">
      <c r="A1981" s="32"/>
      <c r="D1981" s="31" t="str">
        <f t="shared" si="1"/>
        <v/>
      </c>
    </row>
    <row r="1982">
      <c r="A1982" s="32"/>
      <c r="D1982" s="31" t="str">
        <f t="shared" si="1"/>
        <v/>
      </c>
    </row>
    <row r="1983">
      <c r="A1983" s="32"/>
      <c r="D1983" s="31" t="str">
        <f t="shared" si="1"/>
        <v/>
      </c>
    </row>
    <row r="1984">
      <c r="A1984" s="32"/>
      <c r="D1984" s="31" t="str">
        <f t="shared" si="1"/>
        <v/>
      </c>
    </row>
    <row r="1985">
      <c r="A1985" s="32"/>
      <c r="D1985" s="31" t="str">
        <f t="shared" si="1"/>
        <v/>
      </c>
    </row>
    <row r="1986">
      <c r="A1986" s="32"/>
      <c r="D1986" s="31" t="str">
        <f t="shared" si="1"/>
        <v/>
      </c>
    </row>
    <row r="1987">
      <c r="A1987" s="32"/>
      <c r="D1987" s="31" t="str">
        <f t="shared" si="1"/>
        <v/>
      </c>
    </row>
    <row r="1988">
      <c r="A1988" s="32"/>
      <c r="D1988" s="31" t="str">
        <f t="shared" si="1"/>
        <v/>
      </c>
    </row>
    <row r="1989">
      <c r="A1989" s="32"/>
      <c r="D1989" s="31" t="str">
        <f t="shared" si="1"/>
        <v/>
      </c>
    </row>
    <row r="1990">
      <c r="A1990" s="32"/>
      <c r="D1990" s="31" t="str">
        <f t="shared" si="1"/>
        <v/>
      </c>
    </row>
    <row r="1991">
      <c r="A1991" s="32"/>
      <c r="D1991" s="31" t="str">
        <f t="shared" si="1"/>
        <v/>
      </c>
    </row>
    <row r="1992">
      <c r="A1992" s="32"/>
      <c r="D1992" s="31" t="str">
        <f t="shared" si="1"/>
        <v/>
      </c>
    </row>
    <row r="1993">
      <c r="A1993" s="32"/>
      <c r="D1993" s="31" t="str">
        <f t="shared" si="1"/>
        <v/>
      </c>
    </row>
    <row r="1994">
      <c r="A1994" s="32"/>
      <c r="D1994" s="31" t="str">
        <f t="shared" si="1"/>
        <v/>
      </c>
    </row>
    <row r="1995">
      <c r="A1995" s="32"/>
      <c r="D1995" s="31" t="str">
        <f t="shared" si="1"/>
        <v/>
      </c>
    </row>
    <row r="1996">
      <c r="A1996" s="32"/>
      <c r="D1996" s="31" t="str">
        <f t="shared" si="1"/>
        <v/>
      </c>
    </row>
    <row r="1997">
      <c r="A1997" s="32"/>
      <c r="D1997" s="31" t="str">
        <f t="shared" si="1"/>
        <v/>
      </c>
    </row>
    <row r="1998">
      <c r="A1998" s="32"/>
      <c r="D1998" s="31" t="str">
        <f t="shared" si="1"/>
        <v/>
      </c>
    </row>
    <row r="1999">
      <c r="A1999" s="32"/>
      <c r="D1999" s="31" t="str">
        <f t="shared" si="1"/>
        <v/>
      </c>
    </row>
    <row r="2000">
      <c r="A2000" s="32"/>
      <c r="D2000" s="31" t="str">
        <f t="shared" si="1"/>
        <v/>
      </c>
    </row>
    <row r="2001">
      <c r="A2001" s="32"/>
      <c r="D2001" s="31" t="str">
        <f t="shared" si="1"/>
        <v/>
      </c>
    </row>
    <row r="2002">
      <c r="A2002" s="32"/>
      <c r="D2002" s="31" t="str">
        <f t="shared" si="1"/>
        <v/>
      </c>
    </row>
    <row r="2003">
      <c r="A2003" s="32"/>
      <c r="D2003" s="31" t="str">
        <f t="shared" si="1"/>
        <v/>
      </c>
    </row>
    <row r="2004">
      <c r="A2004" s="32"/>
      <c r="D2004" s="31" t="str">
        <f t="shared" si="1"/>
        <v/>
      </c>
    </row>
    <row r="2005">
      <c r="A2005" s="32"/>
      <c r="D2005" s="31" t="str">
        <f t="shared" si="1"/>
        <v/>
      </c>
    </row>
    <row r="2006">
      <c r="A2006" s="32"/>
      <c r="D2006" s="31" t="str">
        <f t="shared" si="1"/>
        <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11</v>
      </c>
      <c r="B1" s="28" t="s">
        <v>19</v>
      </c>
    </row>
    <row r="2">
      <c r="A2" s="30" t="s">
        <v>15</v>
      </c>
      <c r="B2" s="31"/>
    </row>
    <row r="3">
      <c r="A3" s="30" t="s">
        <v>14</v>
      </c>
      <c r="B3" s="31"/>
    </row>
    <row r="4">
      <c r="A4" s="30" t="s">
        <v>13</v>
      </c>
      <c r="B4" s="31"/>
    </row>
    <row r="5">
      <c r="A5" s="30" t="s">
        <v>16</v>
      </c>
      <c r="B5" s="3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9" max="10" width="20.13"/>
  </cols>
  <sheetData>
    <row r="1" ht="26.25" customHeight="1">
      <c r="A1" s="33" t="s">
        <v>20</v>
      </c>
      <c r="H1" s="2"/>
      <c r="I1" s="34" t="s">
        <v>21</v>
      </c>
      <c r="K1" s="2"/>
      <c r="L1" s="2"/>
      <c r="M1" s="2"/>
      <c r="N1" s="2"/>
      <c r="O1" s="2"/>
      <c r="P1" s="2"/>
      <c r="Q1" s="2"/>
      <c r="R1" s="2"/>
      <c r="S1" s="2"/>
      <c r="T1" s="2"/>
      <c r="U1" s="2"/>
      <c r="V1" s="2"/>
      <c r="W1" s="2"/>
      <c r="X1" s="2"/>
      <c r="Y1" s="2"/>
      <c r="Z1" s="2"/>
    </row>
    <row r="2" ht="7.5" customHeight="1">
      <c r="A2" s="7"/>
      <c r="B2" s="7"/>
      <c r="C2" s="7"/>
      <c r="D2" s="7"/>
      <c r="E2" s="7"/>
      <c r="F2" s="7"/>
      <c r="G2" s="7"/>
      <c r="H2" s="2"/>
      <c r="I2" s="7"/>
      <c r="J2" s="7"/>
      <c r="K2" s="2"/>
      <c r="L2" s="2"/>
      <c r="M2" s="2"/>
      <c r="N2" s="2"/>
      <c r="O2" s="2"/>
      <c r="P2" s="2"/>
      <c r="Q2" s="2"/>
      <c r="R2" s="2"/>
      <c r="S2" s="2"/>
      <c r="T2" s="2"/>
      <c r="U2" s="2"/>
      <c r="V2" s="2"/>
      <c r="W2" s="2"/>
      <c r="X2" s="2"/>
      <c r="Y2" s="2"/>
      <c r="Z2" s="2"/>
    </row>
    <row r="3" ht="22.5" customHeight="1">
      <c r="A3" s="35" t="s">
        <v>22</v>
      </c>
      <c r="B3" s="36">
        <v>44539.0</v>
      </c>
      <c r="C3" s="35" t="s">
        <v>23</v>
      </c>
      <c r="D3" s="36">
        <v>45290.0</v>
      </c>
      <c r="E3" s="35" t="s">
        <v>24</v>
      </c>
      <c r="G3" s="37">
        <v>0.2</v>
      </c>
      <c r="H3" s="2"/>
      <c r="I3" s="35" t="s">
        <v>25</v>
      </c>
      <c r="J3" s="37">
        <v>0.05</v>
      </c>
      <c r="K3" s="2"/>
      <c r="L3" s="2"/>
      <c r="M3" s="2"/>
      <c r="N3" s="2"/>
      <c r="O3" s="2"/>
      <c r="P3" s="2"/>
      <c r="Q3" s="2"/>
      <c r="R3" s="2"/>
      <c r="S3" s="2"/>
      <c r="T3" s="2"/>
      <c r="U3" s="2"/>
      <c r="V3" s="2"/>
      <c r="W3" s="2"/>
      <c r="X3" s="2"/>
      <c r="Y3" s="2"/>
      <c r="Z3" s="2"/>
    </row>
    <row r="4" ht="7.5" customHeight="1">
      <c r="A4" s="7"/>
      <c r="B4" s="7"/>
      <c r="C4" s="7"/>
      <c r="D4" s="7"/>
      <c r="E4" s="7"/>
      <c r="F4" s="7"/>
      <c r="G4" s="7"/>
      <c r="H4" s="2"/>
      <c r="I4" s="7"/>
      <c r="J4" s="7"/>
      <c r="K4" s="2"/>
      <c r="L4" s="2"/>
      <c r="M4" s="2"/>
      <c r="N4" s="2"/>
      <c r="O4" s="2"/>
      <c r="P4" s="2"/>
      <c r="Q4" s="2"/>
      <c r="R4" s="2"/>
      <c r="S4" s="2"/>
      <c r="T4" s="2"/>
      <c r="U4" s="2"/>
      <c r="V4" s="2"/>
      <c r="W4" s="2"/>
      <c r="X4" s="2"/>
      <c r="Y4" s="2"/>
      <c r="Z4" s="2"/>
    </row>
    <row r="5" ht="22.5" customHeight="1">
      <c r="A5" s="38" t="s">
        <v>26</v>
      </c>
      <c r="B5" s="38" t="s">
        <v>27</v>
      </c>
      <c r="C5" s="38" t="s">
        <v>28</v>
      </c>
      <c r="D5" s="38" t="s">
        <v>29</v>
      </c>
      <c r="E5" s="38" t="s">
        <v>30</v>
      </c>
      <c r="F5" s="38" t="s">
        <v>31</v>
      </c>
      <c r="G5" s="38" t="s">
        <v>32</v>
      </c>
      <c r="H5" s="2"/>
      <c r="I5" s="39" t="s">
        <v>33</v>
      </c>
      <c r="J5" s="40"/>
      <c r="K5" s="2"/>
      <c r="L5" s="2"/>
      <c r="O5" s="2"/>
      <c r="P5" s="2"/>
      <c r="Q5" s="2"/>
      <c r="R5" s="2"/>
      <c r="S5" s="2"/>
      <c r="T5" s="2"/>
      <c r="U5" s="2"/>
      <c r="V5" s="2"/>
      <c r="W5" s="2"/>
      <c r="X5" s="2"/>
      <c r="Y5" s="2"/>
      <c r="Z5" s="2"/>
    </row>
    <row r="6" ht="22.5" customHeight="1">
      <c r="A6" s="41">
        <f>B3-WEEKDAY(B3)+1</f>
        <v>44535</v>
      </c>
      <c r="B6" s="41">
        <f t="shared" ref="B6:G6" si="1">IF(A6&gt;=$D$3,"",A6+1)</f>
        <v>44536</v>
      </c>
      <c r="C6" s="41">
        <f t="shared" si="1"/>
        <v>44537</v>
      </c>
      <c r="D6" s="41">
        <f t="shared" si="1"/>
        <v>44538</v>
      </c>
      <c r="E6" s="41">
        <f t="shared" si="1"/>
        <v>44539</v>
      </c>
      <c r="F6" s="41">
        <f t="shared" si="1"/>
        <v>44540</v>
      </c>
      <c r="G6" s="41">
        <f t="shared" si="1"/>
        <v>44541</v>
      </c>
      <c r="H6" s="2"/>
      <c r="I6" s="2"/>
      <c r="J6" s="2"/>
      <c r="K6" s="2"/>
      <c r="L6" s="2"/>
      <c r="O6" s="2"/>
      <c r="P6" s="2"/>
      <c r="Q6" s="2"/>
      <c r="R6" s="2"/>
      <c r="S6" s="2"/>
      <c r="T6" s="2"/>
      <c r="U6" s="2"/>
      <c r="V6" s="2"/>
      <c r="W6" s="2"/>
      <c r="X6" s="2"/>
      <c r="Y6" s="2"/>
      <c r="Z6" s="2"/>
    </row>
    <row r="7" ht="22.5" customHeight="1">
      <c r="A7" s="42" t="str">
        <f t="array" ref="A7">IFERROR(INDEX(Lists!$B:$B,MATCH(A8,Lists!$A:$A,0)),"")</f>
        <v/>
      </c>
      <c r="B7" s="42" t="str">
        <f t="array" ref="B7">IFERROR(INDEX(Lists!$B:$B,MATCH(B8,Lists!$A:$A,0)),"")</f>
        <v/>
      </c>
      <c r="C7" s="42" t="str">
        <f t="array" ref="C7">IFERROR(INDEX(Lists!$B:$B,MATCH(C8,Lists!$A:$A,0)),"")</f>
        <v/>
      </c>
      <c r="D7" s="42" t="str">
        <f t="array" ref="D7">IFERROR(INDEX(Lists!$B:$B,MATCH(D8,Lists!$A:$A,0)),"")</f>
        <v/>
      </c>
      <c r="E7" s="42" t="str">
        <f t="array" ref="E7">IFERROR(INDEX(Lists!$B:$B,MATCH(E8,Lists!$A:$A,0)),"")</f>
        <v/>
      </c>
      <c r="F7" s="42" t="str">
        <f t="array" ref="F7">IFERROR(INDEX(Lists!$B:$B,MATCH(F8,Lists!$A:$A,0)),"")</f>
        <v/>
      </c>
      <c r="G7" s="42" t="str">
        <f t="array" ref="G7">IFERROR(INDEX(Lists!$B:$B,MATCH(G8,Lists!$A:$A,0)),"")</f>
        <v/>
      </c>
      <c r="H7" s="2"/>
      <c r="I7" s="43" t="str">
        <f>IF(A6="","","Week of "&amp;TEXT(A6-7,"MM/DD"))</f>
        <v>Week of 11/28</v>
      </c>
      <c r="J7" s="43" t="str">
        <f>IF(A6="","","Week of "&amp;TEXT(A6,"MM/DD"))</f>
        <v>Week of 12/05</v>
      </c>
      <c r="K7" s="2"/>
      <c r="L7" s="2"/>
      <c r="O7" s="2"/>
      <c r="P7" s="44" t="s">
        <v>34</v>
      </c>
      <c r="Q7" s="2">
        <f>AVERAGE(FinishedData!C:C)</f>
        <v>761.2775842</v>
      </c>
      <c r="R7" s="2"/>
      <c r="S7" s="2"/>
      <c r="T7" s="2"/>
      <c r="U7" s="2"/>
      <c r="V7" s="2"/>
      <c r="W7" s="2"/>
      <c r="X7" s="2"/>
      <c r="Y7" s="2"/>
      <c r="Z7" s="2"/>
    </row>
    <row r="8" ht="22.5" customHeight="1">
      <c r="A8" s="42" t="str">
        <f t="array" ref="A8">IFERROR(INDEX(FinishedData!$B:$B,MATCH(A6,FinishedData!$A:$A,0)),"")</f>
        <v>Game</v>
      </c>
      <c r="B8" s="42" t="str">
        <f t="array" ref="B8">IFERROR(INDEX(FinishedData!$B:$B,MATCH(B6,FinishedData!$A:$A,0)),"")</f>
        <v>Game</v>
      </c>
      <c r="C8" s="42" t="str">
        <f t="array" ref="C8">IFERROR(INDEX(FinishedData!$B:$B,MATCH(C6,FinishedData!$A:$A,0)),"")</f>
        <v>Off</v>
      </c>
      <c r="D8" s="42" t="str">
        <f t="array" ref="D8">IFERROR(INDEX(FinishedData!$B:$B,MATCH(D6,FinishedData!$A:$A,0)),"")</f>
        <v>Practice</v>
      </c>
      <c r="E8" s="42" t="str">
        <f t="array" ref="E8">IFERROR(INDEX(FinishedData!$B:$B,MATCH(E6,FinishedData!$A:$A,0)),"")</f>
        <v>Practice</v>
      </c>
      <c r="F8" s="42" t="str">
        <f t="array" ref="F8">IFERROR(INDEX(FinishedData!$B:$B,MATCH(F6,FinishedData!$A:$A,0)),"")</f>
        <v>Gym</v>
      </c>
      <c r="G8" s="42" t="str">
        <f t="array" ref="G8">IFERROR(INDEX(FinishedData!$B:$B,MATCH(G6,FinishedData!$A:$A,0)),"")</f>
        <v>Practice</v>
      </c>
      <c r="H8" s="2"/>
      <c r="I8" s="13">
        <f>IFERROR(IF(A6="","",IF(G6="",SUMIFS(FinishedData!$C:$C,FinishedData!$A:$A,"&gt;="&amp;MIN($A6:$G6)-7,FinishedData!$A:$A,"&lt;="&amp;MAX($A6:$G6)+(7-COUNT($A6:$G6)-7)),
SUMIFS(FinishedData!$C:$C,FinishedData!$A:$A,"&gt;="&amp;MIN($A6:$G6)-7,FinishedData!$A:$A,"&lt;="&amp;MAX($A6:$G6)-7))),"")</f>
        <v>4895</v>
      </c>
      <c r="J8" s="13">
        <f>IFERROR(IF(A6="","",SUMIFS(FinishedData!$C:$C,FinishedData!$A:$A,"&gt;="&amp;MIN($A6:$G6),FinishedData!$A:$A,"&lt;="&amp;MAX($A6:$G6))),"")</f>
        <v>4755</v>
      </c>
      <c r="K8" s="2"/>
      <c r="L8" s="2"/>
      <c r="M8" s="2"/>
      <c r="N8" s="2"/>
      <c r="O8" s="2"/>
      <c r="P8" s="44" t="s">
        <v>35</v>
      </c>
      <c r="Q8" s="2">
        <f>$Q$7+($Q$7*$G$3)</f>
        <v>913.533101</v>
      </c>
      <c r="R8" s="2"/>
      <c r="S8" s="2"/>
      <c r="T8" s="2"/>
      <c r="U8" s="2"/>
      <c r="V8" s="2"/>
      <c r="W8" s="2"/>
      <c r="X8" s="2"/>
      <c r="Y8" s="2"/>
      <c r="Z8" s="2"/>
    </row>
    <row r="9" ht="22.5" customHeight="1">
      <c r="A9" s="45">
        <f t="array" ref="A9">IFERROR(INDEX(FinishedData!$C:$C,MATCH(A6,FinishedData!$A:$A,0)),"")</f>
        <v>625</v>
      </c>
      <c r="B9" s="45">
        <f t="array" ref="B9">IFERROR(INDEX(FinishedData!$C:$C,MATCH(B6,FinishedData!$A:$A,0)),"")</f>
        <v>920</v>
      </c>
      <c r="C9" s="45" t="str">
        <f t="array" ref="C9">IFERROR(INDEX(FinishedData!$C:$C,MATCH(C6,FinishedData!$A:$A,0)),"")</f>
        <v/>
      </c>
      <c r="D9" s="45">
        <f t="array" ref="D9">IFERROR(INDEX(FinishedData!$C:$C,MATCH(D6,FinishedData!$A:$A,0)),"")</f>
        <v>755</v>
      </c>
      <c r="E9" s="45">
        <f t="array" ref="E9">IFERROR(INDEX(FinishedData!$C:$C,MATCH(E6,FinishedData!$A:$A,0)),"")</f>
        <v>915</v>
      </c>
      <c r="F9" s="45">
        <f t="array" ref="F9">IFERROR(INDEX(FinishedData!$C:$C,MATCH(F6,FinishedData!$A:$A,0)),"")</f>
        <v>630</v>
      </c>
      <c r="G9" s="45">
        <f t="array" ref="G9">IFERROR(INDEX(FinishedData!$C:$C,MATCH(G6,FinishedData!$A:$A,0)),"")</f>
        <v>910</v>
      </c>
      <c r="H9" s="2"/>
      <c r="I9" s="46" t="str">
        <f>IF(A6="","","CHANGE")</f>
        <v>CHANGE</v>
      </c>
      <c r="J9" s="47">
        <f>IFERROR(IF(A6="","",(J8-I8)/I8),"")</f>
        <v>-0.02860061287</v>
      </c>
      <c r="K9" s="44"/>
      <c r="L9" s="2"/>
      <c r="M9" s="48">
        <f>IF(G6="",SUMIFS(FinishedData!$C:$C,FinishedData!$A:$A,"&gt;="&amp;MIN($A6:$G6)-7,FinishedData!$A:$A,"&lt;="&amp;MAX($A6:$G6)+(7-COUNT(A6:G6))-7),
SUMIFS(FinishedData!$C:$C,FinishedData!$A:$A,"&gt;="&amp;MIN($A6:$G6)-7,FinishedData!$A:$A,"&lt;="&amp;MAX($A6:$G6)-7))</f>
        <v>4895</v>
      </c>
      <c r="N9" s="2"/>
      <c r="O9" s="2"/>
      <c r="P9" s="44" t="s">
        <v>36</v>
      </c>
      <c r="Q9" s="2">
        <f>$Q$7-($Q$7*$G$3)</f>
        <v>609.0220674</v>
      </c>
      <c r="R9" s="2"/>
      <c r="S9" s="2"/>
      <c r="T9" s="2"/>
      <c r="U9" s="2"/>
      <c r="V9" s="2"/>
      <c r="W9" s="2"/>
      <c r="X9" s="2"/>
      <c r="Y9" s="2"/>
      <c r="Z9" s="2"/>
    </row>
    <row r="10" ht="22.5" customHeight="1">
      <c r="A10" s="49">
        <f>IF(G6&gt;=$D$3,"",G6+1)</f>
        <v>44542</v>
      </c>
      <c r="B10" s="49">
        <f t="shared" ref="B10:G10" si="2">IF(A10&gt;=$D$3,"",A10+1)</f>
        <v>44543</v>
      </c>
      <c r="C10" s="49">
        <f t="shared" si="2"/>
        <v>44544</v>
      </c>
      <c r="D10" s="49">
        <f t="shared" si="2"/>
        <v>44545</v>
      </c>
      <c r="E10" s="49">
        <f t="shared" si="2"/>
        <v>44546</v>
      </c>
      <c r="F10" s="49">
        <f t="shared" si="2"/>
        <v>44547</v>
      </c>
      <c r="G10" s="49">
        <f t="shared" si="2"/>
        <v>44548</v>
      </c>
      <c r="H10" s="2"/>
      <c r="I10" s="7"/>
      <c r="J10" s="7"/>
      <c r="K10" s="2"/>
      <c r="L10" s="2"/>
      <c r="M10" s="48"/>
      <c r="N10" s="2"/>
      <c r="O10" s="2"/>
      <c r="P10" s="2"/>
      <c r="Q10" s="2"/>
      <c r="R10" s="2"/>
      <c r="S10" s="2"/>
      <c r="T10" s="2"/>
      <c r="U10" s="2"/>
      <c r="V10" s="2"/>
      <c r="W10" s="2"/>
      <c r="X10" s="2"/>
      <c r="Y10" s="2"/>
      <c r="Z10" s="2"/>
    </row>
    <row r="11" ht="22.5" customHeight="1">
      <c r="A11" s="42" t="str">
        <f t="array" ref="A11">IFERROR(INDEX(Lists!$B:$B,MATCH(A12,Lists!$A:$A,0)),"")</f>
        <v/>
      </c>
      <c r="B11" s="42" t="str">
        <f t="array" ref="B11">IFERROR(INDEX(Lists!$B:$B,MATCH(B12,Lists!$A:$A,0)),"")</f>
        <v/>
      </c>
      <c r="C11" s="42" t="str">
        <f t="array" ref="C11">IFERROR(INDEX(Lists!$B:$B,MATCH(C12,Lists!$A:$A,0)),"")</f>
        <v/>
      </c>
      <c r="D11" s="42" t="str">
        <f t="array" ref="D11">IFERROR(INDEX(Lists!$B:$B,MATCH(D12,Lists!$A:$A,0)),"")</f>
        <v/>
      </c>
      <c r="E11" s="42" t="str">
        <f t="array" ref="E11">IFERROR(INDEX(Lists!$B:$B,MATCH(E12,Lists!$A:$A,0)),"")</f>
        <v/>
      </c>
      <c r="F11" s="42" t="str">
        <f t="array" ref="F11">IFERROR(INDEX(Lists!$B:$B,MATCH(F12,Lists!$A:$A,0)),"")</f>
        <v/>
      </c>
      <c r="G11" s="42" t="str">
        <f t="array" ref="G11">IFERROR(INDEX(Lists!$B:$B,MATCH(G12,Lists!$A:$A,0)),"")</f>
        <v/>
      </c>
      <c r="H11" s="2"/>
      <c r="I11" s="43" t="str">
        <f>IF(A10="","","Week of "&amp;TEXT(A10-7,"MM/DD"))</f>
        <v>Week of 12/05</v>
      </c>
      <c r="J11" s="43" t="str">
        <f>IF(A10="","","Week of "&amp;TEXT(A10,"MM/DD"))</f>
        <v>Week of 12/12</v>
      </c>
      <c r="K11" s="2"/>
      <c r="L11" s="2"/>
      <c r="M11" s="48"/>
      <c r="N11" s="2"/>
      <c r="O11" s="2"/>
      <c r="P11" s="2"/>
      <c r="Q11" s="2"/>
      <c r="R11" s="2"/>
      <c r="S11" s="2"/>
      <c r="T11" s="2"/>
      <c r="U11" s="2"/>
      <c r="V11" s="2"/>
      <c r="W11" s="2"/>
      <c r="X11" s="2"/>
      <c r="Y11" s="2"/>
      <c r="Z11" s="2"/>
    </row>
    <row r="12" ht="22.5" customHeight="1">
      <c r="A12" s="42" t="str">
        <f t="array" ref="A12">IFERROR(INDEX(FinishedData!$B:$B,MATCH(A10,FinishedData!$A:$A,0)),"")</f>
        <v>Practice</v>
      </c>
      <c r="B12" s="42" t="str">
        <f t="array" ref="B12">IFERROR(INDEX(FinishedData!$B:$B,MATCH(B10,FinishedData!$A:$A,0)),"")</f>
        <v>Game</v>
      </c>
      <c r="C12" s="42" t="str">
        <f t="array" ref="C12">IFERROR(INDEX(FinishedData!$B:$B,MATCH(C10,FinishedData!$A:$A,0)),"")</f>
        <v>Practice</v>
      </c>
      <c r="D12" s="42" t="str">
        <f t="array" ref="D12">IFERROR(INDEX(FinishedData!$B:$B,MATCH(D10,FinishedData!$A:$A,0)),"")</f>
        <v>Game</v>
      </c>
      <c r="E12" s="42" t="str">
        <f t="array" ref="E12">IFERROR(INDEX(FinishedData!$B:$B,MATCH(E10,FinishedData!$A:$A,0)),"")</f>
        <v>Off</v>
      </c>
      <c r="F12" s="42" t="str">
        <f t="array" ref="F12">IFERROR(INDEX(FinishedData!$B:$B,MATCH(F10,FinishedData!$A:$A,0)),"")</f>
        <v>Practice</v>
      </c>
      <c r="G12" s="42" t="str">
        <f t="array" ref="G12">IFERROR(INDEX(FinishedData!$B:$B,MATCH(G10,FinishedData!$A:$A,0)),"")</f>
        <v>Gym</v>
      </c>
      <c r="H12" s="2"/>
      <c r="I12" s="13">
        <f>IFERROR(IF(A10="","",IF(G10="",SUMIFS(FinishedData!$C:$C,FinishedData!$A:$A,"&gt;="&amp;MIN($A10:$G10)-7,FinishedData!$A:$A,"&lt;="&amp;MAX($A10:$G10)+(7-COUNT($A10:$G10)-7)),
SUMIFS(FinishedData!$C:$C,FinishedData!$A:$A,"&gt;="&amp;MIN($A10:$G10)-7,FinishedData!$A:$A,"&lt;="&amp;MAX($A10:$G10)-7))),"")</f>
        <v>4755</v>
      </c>
      <c r="J12" s="13">
        <f>IFERROR(IF(A10="","",SUMIFS(FinishedData!$C:$C,FinishedData!$A:$A,"&gt;="&amp;MIN($A10:$G10),FinishedData!$A:$A,"&lt;="&amp;MAX($A10:$G10))),"")</f>
        <v>4410</v>
      </c>
      <c r="K12" s="2"/>
      <c r="L12" s="2"/>
      <c r="M12" s="48"/>
      <c r="N12" s="2"/>
      <c r="O12" s="2"/>
      <c r="P12" s="2"/>
      <c r="Q12" s="2"/>
      <c r="R12" s="2"/>
      <c r="S12" s="2"/>
      <c r="T12" s="2"/>
      <c r="U12" s="2"/>
      <c r="V12" s="2"/>
      <c r="W12" s="2"/>
      <c r="X12" s="2"/>
      <c r="Y12" s="2"/>
      <c r="Z12" s="2"/>
    </row>
    <row r="13" ht="22.5" customHeight="1">
      <c r="A13" s="45">
        <f t="array" ref="A13">IFERROR(INDEX(FinishedData!$C:$C,MATCH(A10,FinishedData!$A:$A,0)),"")</f>
        <v>695</v>
      </c>
      <c r="B13" s="45">
        <f t="array" ref="B13">IFERROR(INDEX(FinishedData!$C:$C,MATCH(B10,FinishedData!$A:$A,0)),"")</f>
        <v>560</v>
      </c>
      <c r="C13" s="45">
        <f t="array" ref="C13">IFERROR(INDEX(FinishedData!$C:$C,MATCH(C10,FinishedData!$A:$A,0)),"")</f>
        <v>865</v>
      </c>
      <c r="D13" s="45">
        <f t="array" ref="D13">IFERROR(INDEX(FinishedData!$C:$C,MATCH(D10,FinishedData!$A:$A,0)),"")</f>
        <v>695</v>
      </c>
      <c r="E13" s="45" t="str">
        <f t="array" ref="E13">IFERROR(INDEX(FinishedData!$C:$C,MATCH(E10,FinishedData!$A:$A,0)),"")</f>
        <v/>
      </c>
      <c r="F13" s="45">
        <f t="array" ref="F13">IFERROR(INDEX(FinishedData!$C:$C,MATCH(F10,FinishedData!$A:$A,0)),"")</f>
        <v>860</v>
      </c>
      <c r="G13" s="45">
        <f t="array" ref="G13">IFERROR(INDEX(FinishedData!$C:$C,MATCH(G10,FinishedData!$A:$A,0)),"")</f>
        <v>735</v>
      </c>
      <c r="H13" s="2"/>
      <c r="I13" s="46" t="str">
        <f>IF(A10="","","CHANGE")</f>
        <v>CHANGE</v>
      </c>
      <c r="J13" s="47">
        <f>IFERROR(IF(A10="","",(J12-I12)/I12),"")</f>
        <v>-0.07255520505</v>
      </c>
      <c r="K13" s="2"/>
      <c r="L13" s="2"/>
      <c r="M13" s="48"/>
      <c r="N13" s="2"/>
      <c r="O13" s="2"/>
      <c r="P13" s="2"/>
      <c r="Q13" s="2"/>
      <c r="R13" s="2"/>
      <c r="S13" s="2"/>
      <c r="T13" s="2"/>
      <c r="U13" s="2"/>
      <c r="V13" s="2"/>
      <c r="W13" s="2"/>
      <c r="X13" s="2"/>
      <c r="Y13" s="2"/>
      <c r="Z13" s="2"/>
    </row>
    <row r="14" ht="22.5" customHeight="1">
      <c r="A14" s="49">
        <f>IF(G10&gt;=$D$3,"",G10+1)</f>
        <v>44549</v>
      </c>
      <c r="B14" s="49">
        <f t="shared" ref="B14:G14" si="3">IF(A14&gt;=$D$3,"",A14+1)</f>
        <v>44550</v>
      </c>
      <c r="C14" s="49">
        <f t="shared" si="3"/>
        <v>44551</v>
      </c>
      <c r="D14" s="49">
        <f t="shared" si="3"/>
        <v>44552</v>
      </c>
      <c r="E14" s="49">
        <f t="shared" si="3"/>
        <v>44553</v>
      </c>
      <c r="F14" s="49">
        <f t="shared" si="3"/>
        <v>44554</v>
      </c>
      <c r="G14" s="49">
        <f t="shared" si="3"/>
        <v>44555</v>
      </c>
      <c r="H14" s="2"/>
      <c r="I14" s="7"/>
      <c r="J14" s="7"/>
      <c r="K14" s="2"/>
      <c r="L14" s="2"/>
      <c r="M14" s="48"/>
      <c r="N14" s="2"/>
      <c r="O14" s="2"/>
      <c r="P14" s="2"/>
      <c r="Q14" s="2"/>
      <c r="R14" s="2"/>
      <c r="S14" s="2"/>
      <c r="T14" s="2"/>
      <c r="U14" s="2"/>
      <c r="V14" s="2"/>
      <c r="W14" s="2"/>
      <c r="X14" s="2"/>
      <c r="Y14" s="2"/>
      <c r="Z14" s="2"/>
    </row>
    <row r="15" ht="22.5" customHeight="1">
      <c r="A15" s="42" t="str">
        <f t="array" ref="A15">IFERROR(INDEX(Lists!$B:$B,MATCH(A16,Lists!$A:$A,0)),"")</f>
        <v/>
      </c>
      <c r="B15" s="42" t="str">
        <f t="array" ref="B15">IFERROR(INDEX(Lists!$B:$B,MATCH(B16,Lists!$A:$A,0)),"")</f>
        <v/>
      </c>
      <c r="C15" s="42" t="str">
        <f t="array" ref="C15">IFERROR(INDEX(Lists!$B:$B,MATCH(C16,Lists!$A:$A,0)),"")</f>
        <v/>
      </c>
      <c r="D15" s="42" t="str">
        <f t="array" ref="D15">IFERROR(INDEX(Lists!$B:$B,MATCH(D16,Lists!$A:$A,0)),"")</f>
        <v/>
      </c>
      <c r="E15" s="42" t="str">
        <f t="array" ref="E15">IFERROR(INDEX(Lists!$B:$B,MATCH(E16,Lists!$A:$A,0)),"")</f>
        <v/>
      </c>
      <c r="F15" s="42" t="str">
        <f t="array" ref="F15">IFERROR(INDEX(Lists!$B:$B,MATCH(F16,Lists!$A:$A,0)),"")</f>
        <v/>
      </c>
      <c r="G15" s="42" t="str">
        <f t="array" ref="G15">IFERROR(INDEX(Lists!$B:$B,MATCH(G16,Lists!$A:$A,0)),"")</f>
        <v/>
      </c>
      <c r="H15" s="2"/>
      <c r="I15" s="43" t="str">
        <f>IF(A14="","","Week of "&amp;TEXT(A14-7,"MM/DD"))</f>
        <v>Week of 12/12</v>
      </c>
      <c r="J15" s="43" t="str">
        <f>IF(A14="","","Week of "&amp;TEXT(A14,"MM/DD"))</f>
        <v>Week of 12/19</v>
      </c>
      <c r="K15" s="2"/>
      <c r="L15" s="2"/>
      <c r="M15" s="48"/>
      <c r="N15" s="2"/>
      <c r="O15" s="2"/>
      <c r="P15" s="2"/>
      <c r="Q15" s="2"/>
      <c r="R15" s="2"/>
      <c r="S15" s="2"/>
      <c r="T15" s="2"/>
      <c r="U15" s="2"/>
      <c r="V15" s="2"/>
      <c r="W15" s="2"/>
      <c r="X15" s="2"/>
      <c r="Y15" s="2"/>
      <c r="Z15" s="2"/>
    </row>
    <row r="16" ht="22.5" customHeight="1">
      <c r="A16" s="42" t="str">
        <f t="array" ref="A16">IFERROR(INDEX(FinishedData!$B:$B,MATCH(A14,FinishedData!$A:$A,0)),"")</f>
        <v>Practice</v>
      </c>
      <c r="B16" s="42" t="str">
        <f t="array" ref="B16">IFERROR(INDEX(FinishedData!$B:$B,MATCH(B14,FinishedData!$A:$A,0)),"")</f>
        <v>Practice</v>
      </c>
      <c r="C16" s="42" t="str">
        <f t="array" ref="C16">IFERROR(INDEX(FinishedData!$B:$B,MATCH(C14,FinishedData!$A:$A,0)),"")</f>
        <v>Practice</v>
      </c>
      <c r="D16" s="42" t="str">
        <f t="array" ref="D16">IFERROR(INDEX(FinishedData!$B:$B,MATCH(D14,FinishedData!$A:$A,0)),"")</f>
        <v>Game</v>
      </c>
      <c r="E16" s="42" t="str">
        <f t="array" ref="E16">IFERROR(INDEX(FinishedData!$B:$B,MATCH(E14,FinishedData!$A:$A,0)),"")</f>
        <v>Off</v>
      </c>
      <c r="F16" s="42" t="str">
        <f t="array" ref="F16">IFERROR(INDEX(FinishedData!$B:$B,MATCH(F14,FinishedData!$A:$A,0)),"")</f>
        <v>Practice</v>
      </c>
      <c r="G16" s="42" t="str">
        <f t="array" ref="G16">IFERROR(INDEX(FinishedData!$B:$B,MATCH(G14,FinishedData!$A:$A,0)),"")</f>
        <v>Game</v>
      </c>
      <c r="H16" s="2"/>
      <c r="I16" s="13">
        <f>IFERROR(IF(A14="","",IF(G14="",SUMIFS(FinishedData!$C:$C,FinishedData!$A:$A,"&gt;="&amp;MIN($A14:$G14)-7,FinishedData!$A:$A,"&lt;="&amp;MAX($A14:$G14)+(7-COUNT($A14:$G14)-7)),
SUMIFS(FinishedData!$C:$C,FinishedData!$A:$A,"&gt;="&amp;MIN($A14:$G14)-7,FinishedData!$A:$A,"&lt;="&amp;MAX($A14:$G14)-7))),"")</f>
        <v>4410</v>
      </c>
      <c r="J16" s="13">
        <f>IFERROR(IF(A14="","",SUMIFS(FinishedData!$C:$C,FinishedData!$A:$A,"&gt;="&amp;MIN($A14:$G14),FinishedData!$A:$A,"&lt;="&amp;MAX($A14:$G14))),"")</f>
        <v>4620</v>
      </c>
      <c r="K16" s="2"/>
      <c r="L16" s="2"/>
      <c r="M16" s="48"/>
      <c r="N16" s="2"/>
      <c r="O16" s="2"/>
      <c r="P16" s="2"/>
      <c r="Q16" s="2"/>
      <c r="R16" s="2"/>
      <c r="S16" s="2"/>
      <c r="T16" s="2"/>
      <c r="U16" s="2"/>
      <c r="V16" s="2"/>
      <c r="W16" s="2"/>
      <c r="X16" s="2"/>
      <c r="Y16" s="2"/>
      <c r="Z16" s="2"/>
    </row>
    <row r="17" ht="22.5" customHeight="1">
      <c r="A17" s="45">
        <f t="array" ref="A17">IFERROR(INDEX(FinishedData!$C:$C,MATCH(A14,FinishedData!$A:$A,0)),"")</f>
        <v>710</v>
      </c>
      <c r="B17" s="45">
        <f t="array" ref="B17">IFERROR(INDEX(FinishedData!$C:$C,MATCH(B14,FinishedData!$A:$A,0)),"")</f>
        <v>580</v>
      </c>
      <c r="C17" s="45">
        <f t="array" ref="C17">IFERROR(INDEX(FinishedData!$C:$C,MATCH(C14,FinishedData!$A:$A,0)),"")</f>
        <v>730</v>
      </c>
      <c r="D17" s="45">
        <f t="array" ref="D17">IFERROR(INDEX(FinishedData!$C:$C,MATCH(D14,FinishedData!$A:$A,0)),"")</f>
        <v>930</v>
      </c>
      <c r="E17" s="45" t="str">
        <f t="array" ref="E17">IFERROR(INDEX(FinishedData!$C:$C,MATCH(E14,FinishedData!$A:$A,0)),"")</f>
        <v/>
      </c>
      <c r="F17" s="45">
        <f t="array" ref="F17">IFERROR(INDEX(FinishedData!$C:$C,MATCH(F14,FinishedData!$A:$A,0)),"")</f>
        <v>860</v>
      </c>
      <c r="G17" s="45">
        <f t="array" ref="G17">IFERROR(INDEX(FinishedData!$C:$C,MATCH(G14,FinishedData!$A:$A,0)),"")</f>
        <v>810</v>
      </c>
      <c r="H17" s="2"/>
      <c r="I17" s="46" t="str">
        <f>IF(A14="","","CHANGE")</f>
        <v>CHANGE</v>
      </c>
      <c r="J17" s="47">
        <f>IFERROR(IF(A14="","",(J16-I16)/I16),"")</f>
        <v>0.04761904762</v>
      </c>
      <c r="K17" s="50"/>
      <c r="L17" s="50"/>
      <c r="M17" s="50"/>
      <c r="N17" s="2"/>
      <c r="O17" s="2"/>
      <c r="P17" s="2"/>
      <c r="Q17" s="2"/>
      <c r="R17" s="2"/>
      <c r="S17" s="2"/>
      <c r="T17" s="2"/>
      <c r="U17" s="2"/>
      <c r="V17" s="2"/>
      <c r="W17" s="2"/>
      <c r="X17" s="2"/>
      <c r="Y17" s="2"/>
      <c r="Z17" s="2"/>
    </row>
    <row r="18" ht="22.5" customHeight="1">
      <c r="A18" s="49">
        <f>IF(G14&gt;=$D$3,"",G14+1)</f>
        <v>44556</v>
      </c>
      <c r="B18" s="49">
        <f t="shared" ref="B18:G18" si="4">IF(A18&gt;=$D$3,"",A18+1)</f>
        <v>44557</v>
      </c>
      <c r="C18" s="49">
        <f t="shared" si="4"/>
        <v>44558</v>
      </c>
      <c r="D18" s="49">
        <f t="shared" si="4"/>
        <v>44559</v>
      </c>
      <c r="E18" s="49">
        <f t="shared" si="4"/>
        <v>44560</v>
      </c>
      <c r="F18" s="49">
        <f t="shared" si="4"/>
        <v>44561</v>
      </c>
      <c r="G18" s="49">
        <f t="shared" si="4"/>
        <v>44562</v>
      </c>
      <c r="H18" s="2"/>
      <c r="I18" s="7"/>
      <c r="J18" s="7"/>
      <c r="K18" s="2"/>
      <c r="L18" s="2"/>
      <c r="M18" s="2"/>
      <c r="N18" s="2"/>
      <c r="O18" s="2"/>
      <c r="P18" s="2"/>
      <c r="Q18" s="2"/>
      <c r="R18" s="2"/>
      <c r="S18" s="2"/>
      <c r="T18" s="2"/>
      <c r="U18" s="2"/>
      <c r="V18" s="2"/>
      <c r="W18" s="2"/>
      <c r="X18" s="2"/>
      <c r="Y18" s="2"/>
      <c r="Z18" s="2"/>
    </row>
    <row r="19" ht="22.5" customHeight="1">
      <c r="A19" s="42" t="str">
        <f t="array" ref="A19">IFERROR(INDEX(Lists!$B:$B,MATCH(A20,Lists!$A:$A,0)),"")</f>
        <v/>
      </c>
      <c r="B19" s="42" t="str">
        <f t="array" ref="B19">IFERROR(INDEX(Lists!$B:$B,MATCH(B20,Lists!$A:$A,0)),"")</f>
        <v/>
      </c>
      <c r="C19" s="42" t="str">
        <f t="array" ref="C19">IFERROR(INDEX(Lists!$B:$B,MATCH(C20,Lists!$A:$A,0)),"")</f>
        <v/>
      </c>
      <c r="D19" s="42" t="str">
        <f t="array" ref="D19">IFERROR(INDEX(Lists!$B:$B,MATCH(D20,Lists!$A:$A,0)),"")</f>
        <v/>
      </c>
      <c r="E19" s="42" t="str">
        <f t="array" ref="E19">IFERROR(INDEX(Lists!$B:$B,MATCH(E20,Lists!$A:$A,0)),"")</f>
        <v/>
      </c>
      <c r="F19" s="42" t="str">
        <f t="array" ref="F19">IFERROR(INDEX(Lists!$B:$B,MATCH(F20,Lists!$A:$A,0)),"")</f>
        <v/>
      </c>
      <c r="G19" s="42" t="str">
        <f t="array" ref="G19">IFERROR(INDEX(Lists!$B:$B,MATCH(G20,Lists!$A:$A,0)),"")</f>
        <v/>
      </c>
      <c r="H19" s="2"/>
      <c r="I19" s="43" t="str">
        <f>IF(A18="","","Week of "&amp;TEXT(A18-7,"MM/DD"))</f>
        <v>Week of 12/19</v>
      </c>
      <c r="J19" s="43" t="str">
        <f>IF(A18="","","Week of "&amp;TEXT(A18,"MM/DD"))</f>
        <v>Week of 12/26</v>
      </c>
      <c r="K19" s="2"/>
      <c r="L19" s="2"/>
      <c r="M19" s="2"/>
      <c r="N19" s="2"/>
      <c r="O19" s="2"/>
      <c r="P19" s="2"/>
      <c r="Q19" s="2"/>
      <c r="R19" s="2"/>
      <c r="S19" s="2"/>
      <c r="T19" s="2"/>
      <c r="U19" s="2"/>
      <c r="V19" s="2"/>
      <c r="W19" s="2"/>
      <c r="X19" s="2"/>
      <c r="Y19" s="2"/>
      <c r="Z19" s="2"/>
    </row>
    <row r="20" ht="22.5" customHeight="1">
      <c r="A20" s="42" t="str">
        <f t="array" ref="A20">IFERROR(INDEX(FinishedData!$B:$B,MATCH(A18,FinishedData!$A:$A,0)),"")</f>
        <v>Practice</v>
      </c>
      <c r="B20" s="42" t="str">
        <f t="array" ref="B20">IFERROR(INDEX(FinishedData!$B:$B,MATCH(B18,FinishedData!$A:$A,0)),"")</f>
        <v>Practice</v>
      </c>
      <c r="C20" s="42" t="str">
        <f t="array" ref="C20">IFERROR(INDEX(FinishedData!$B:$B,MATCH(C18,FinishedData!$A:$A,0)),"")</f>
        <v>Game</v>
      </c>
      <c r="D20" s="42" t="str">
        <f t="array" ref="D20">IFERROR(INDEX(FinishedData!$B:$B,MATCH(D18,FinishedData!$A:$A,0)),"")</f>
        <v>Practice</v>
      </c>
      <c r="E20" s="42" t="str">
        <f t="array" ref="E20">IFERROR(INDEX(FinishedData!$B:$B,MATCH(E18,FinishedData!$A:$A,0)),"")</f>
        <v>Gym</v>
      </c>
      <c r="F20" s="42" t="str">
        <f t="array" ref="F20">IFERROR(INDEX(FinishedData!$B:$B,MATCH(F18,FinishedData!$A:$A,0)),"")</f>
        <v>Off</v>
      </c>
      <c r="G20" s="42" t="str">
        <f t="array" ref="G20">IFERROR(INDEX(FinishedData!$B:$B,MATCH(G18,FinishedData!$A:$A,0)),"")</f>
        <v>Practice</v>
      </c>
      <c r="H20" s="2"/>
      <c r="I20" s="13">
        <f>IFERROR(IF(A18="","",IF(G18="",SUMIFS(FinishedData!$C:$C,FinishedData!$A:$A,"&gt;="&amp;MIN($A18:$G18)-7,FinishedData!$A:$A,"&lt;="&amp;MAX($A18:$G18)+(7-COUNT($A18:$G18)-7)),
SUMIFS(FinishedData!$C:$C,FinishedData!$A:$A,"&gt;="&amp;MIN($A18:$G18)-7,FinishedData!$A:$A,"&lt;="&amp;MAX($A18:$G18)-7))),"")</f>
        <v>4620</v>
      </c>
      <c r="J20" s="13">
        <f>IFERROR(IF(A18="","",SUMIFS(FinishedData!$C:$C,FinishedData!$A:$A,"&gt;="&amp;MIN($A18:$G18),FinishedData!$A:$A,"&lt;="&amp;MAX($A18:$G18))),"")</f>
        <v>5360</v>
      </c>
      <c r="K20" s="2"/>
      <c r="L20" s="2"/>
      <c r="M20" s="2"/>
      <c r="N20" s="2"/>
      <c r="O20" s="2"/>
      <c r="P20" s="2"/>
      <c r="Q20" s="2"/>
      <c r="R20" s="2"/>
      <c r="S20" s="2"/>
      <c r="T20" s="2"/>
      <c r="U20" s="2"/>
      <c r="V20" s="2"/>
      <c r="W20" s="2"/>
      <c r="X20" s="2"/>
      <c r="Y20" s="2"/>
      <c r="Z20" s="2"/>
    </row>
    <row r="21" ht="22.5" customHeight="1">
      <c r="A21" s="45">
        <f t="array" ref="A21">IFERROR(INDEX(FinishedData!$C:$C,MATCH(A18,FinishedData!$A:$A,0)),"")</f>
        <v>745</v>
      </c>
      <c r="B21" s="45">
        <f t="array" ref="B21">IFERROR(INDEX(FinishedData!$C:$C,MATCH(B18,FinishedData!$A:$A,0)),"")</f>
        <v>955</v>
      </c>
      <c r="C21" s="45">
        <f t="array" ref="C21">IFERROR(INDEX(FinishedData!$C:$C,MATCH(C18,FinishedData!$A:$A,0)),"")</f>
        <v>935</v>
      </c>
      <c r="D21" s="45">
        <f t="array" ref="D21">IFERROR(INDEX(FinishedData!$C:$C,MATCH(D18,FinishedData!$A:$A,0)),"")</f>
        <v>900</v>
      </c>
      <c r="E21" s="45">
        <f t="array" ref="E21">IFERROR(INDEX(FinishedData!$C:$C,MATCH(E18,FinishedData!$A:$A,0)),"")</f>
        <v>840</v>
      </c>
      <c r="F21" s="45" t="str">
        <f t="array" ref="F21">IFERROR(INDEX(FinishedData!$C:$C,MATCH(F18,FinishedData!$A:$A,0)),"")</f>
        <v/>
      </c>
      <c r="G21" s="45">
        <f t="array" ref="G21">IFERROR(INDEX(FinishedData!$C:$C,MATCH(G18,FinishedData!$A:$A,0)),"")</f>
        <v>985</v>
      </c>
      <c r="H21" s="2"/>
      <c r="I21" s="46" t="str">
        <f>IF(A18="","","CHANGE")</f>
        <v>CHANGE</v>
      </c>
      <c r="J21" s="47">
        <f>IFERROR(IF(A18="","",(J20-I20)/I20),"")</f>
        <v>0.1601731602</v>
      </c>
      <c r="K21" s="2"/>
      <c r="L21" s="2"/>
      <c r="M21" s="2"/>
      <c r="N21" s="2"/>
      <c r="O21" s="2"/>
      <c r="P21" s="2"/>
      <c r="Q21" s="2"/>
      <c r="R21" s="2"/>
      <c r="S21" s="2"/>
      <c r="T21" s="2"/>
      <c r="U21" s="2"/>
      <c r="V21" s="2"/>
      <c r="W21" s="2"/>
      <c r="X21" s="2"/>
      <c r="Y21" s="2"/>
      <c r="Z21" s="2"/>
    </row>
    <row r="22" ht="22.5" customHeight="1">
      <c r="A22" s="49">
        <f>IF(G18&gt;=$D$3,"",G18+1)</f>
        <v>44563</v>
      </c>
      <c r="B22" s="49">
        <f t="shared" ref="B22:G22" si="5">IF(A22&gt;=$D$3,"",A22+1)</f>
        <v>44564</v>
      </c>
      <c r="C22" s="49">
        <f t="shared" si="5"/>
        <v>44565</v>
      </c>
      <c r="D22" s="49">
        <f t="shared" si="5"/>
        <v>44566</v>
      </c>
      <c r="E22" s="49">
        <f t="shared" si="5"/>
        <v>44567</v>
      </c>
      <c r="F22" s="49">
        <f t="shared" si="5"/>
        <v>44568</v>
      </c>
      <c r="G22" s="49">
        <f t="shared" si="5"/>
        <v>44569</v>
      </c>
      <c r="H22" s="2"/>
      <c r="I22" s="7"/>
      <c r="J22" s="7"/>
      <c r="K22" s="2"/>
      <c r="L22" s="2"/>
      <c r="M22" s="2"/>
      <c r="N22" s="2"/>
      <c r="O22" s="2"/>
      <c r="P22" s="2"/>
      <c r="Q22" s="2"/>
      <c r="R22" s="2"/>
      <c r="S22" s="2"/>
      <c r="T22" s="2"/>
      <c r="U22" s="2"/>
      <c r="V22" s="2"/>
      <c r="W22" s="2"/>
      <c r="X22" s="2"/>
      <c r="Y22" s="2"/>
      <c r="Z22" s="2"/>
    </row>
    <row r="23" ht="22.5" customHeight="1">
      <c r="A23" s="42" t="str">
        <f t="array" ref="A23">IFERROR(INDEX(Lists!$B:$B,MATCH(A24,Lists!$A:$A,0)),"")</f>
        <v/>
      </c>
      <c r="B23" s="42" t="str">
        <f t="array" ref="B23">IFERROR(INDEX(Lists!$B:$B,MATCH(B24,Lists!$A:$A,0)),"")</f>
        <v/>
      </c>
      <c r="C23" s="42" t="str">
        <f t="array" ref="C23">IFERROR(INDEX(Lists!$B:$B,MATCH(C24,Lists!$A:$A,0)),"")</f>
        <v/>
      </c>
      <c r="D23" s="42" t="str">
        <f t="array" ref="D23">IFERROR(INDEX(Lists!$B:$B,MATCH(D24,Lists!$A:$A,0)),"")</f>
        <v/>
      </c>
      <c r="E23" s="42" t="str">
        <f t="array" ref="E23">IFERROR(INDEX(Lists!$B:$B,MATCH(E24,Lists!$A:$A,0)),"")</f>
        <v/>
      </c>
      <c r="F23" s="42" t="str">
        <f t="array" ref="F23">IFERROR(INDEX(Lists!$B:$B,MATCH(F24,Lists!$A:$A,0)),"")</f>
        <v/>
      </c>
      <c r="G23" s="42" t="str">
        <f t="array" ref="G23">IFERROR(INDEX(Lists!$B:$B,MATCH(G24,Lists!$A:$A,0)),"")</f>
        <v/>
      </c>
      <c r="H23" s="2"/>
      <c r="I23" s="43" t="str">
        <f>IF(A22="","","Week of "&amp;TEXT(A22-7,"MM/DD"))</f>
        <v>Week of 12/26</v>
      </c>
      <c r="J23" s="43" t="str">
        <f>IF(A22="","","Week of "&amp;TEXT(A22,"MM/DD"))</f>
        <v>Week of 01/02</v>
      </c>
      <c r="K23" s="2"/>
      <c r="L23" s="2"/>
      <c r="M23" s="2"/>
      <c r="N23" s="2"/>
      <c r="O23" s="2"/>
      <c r="P23" s="2"/>
      <c r="Q23" s="2"/>
      <c r="R23" s="2"/>
      <c r="S23" s="2"/>
      <c r="T23" s="2"/>
      <c r="U23" s="2"/>
      <c r="V23" s="2"/>
      <c r="W23" s="2"/>
      <c r="X23" s="2"/>
      <c r="Y23" s="2"/>
      <c r="Z23" s="2"/>
    </row>
    <row r="24" ht="22.5" customHeight="1">
      <c r="A24" s="42" t="str">
        <f t="array" ref="A24">IFERROR(INDEX(FinishedData!$B:$B,MATCH(A22,FinishedData!$A:$A,0)),"")</f>
        <v>Practice</v>
      </c>
      <c r="B24" s="42" t="str">
        <f t="array" ref="B24">IFERROR(INDEX(FinishedData!$B:$B,MATCH(B22,FinishedData!$A:$A,0)),"")</f>
        <v>Game</v>
      </c>
      <c r="C24" s="42" t="str">
        <f t="array" ref="C24">IFERROR(INDEX(FinishedData!$B:$B,MATCH(C22,FinishedData!$A:$A,0)),"")</f>
        <v>Game</v>
      </c>
      <c r="D24" s="42" t="str">
        <f t="array" ref="D24">IFERROR(INDEX(FinishedData!$B:$B,MATCH(D22,FinishedData!$A:$A,0)),"")</f>
        <v>Off</v>
      </c>
      <c r="E24" s="42" t="str">
        <f t="array" ref="E24">IFERROR(INDEX(FinishedData!$B:$B,MATCH(E22,FinishedData!$A:$A,0)),"")</f>
        <v>Practice</v>
      </c>
      <c r="F24" s="42" t="str">
        <f t="array" ref="F24">IFERROR(INDEX(FinishedData!$B:$B,MATCH(F22,FinishedData!$A:$A,0)),"")</f>
        <v>Gym</v>
      </c>
      <c r="G24" s="42" t="str">
        <f t="array" ref="G24">IFERROR(INDEX(FinishedData!$B:$B,MATCH(G22,FinishedData!$A:$A,0)),"")</f>
        <v>Practice</v>
      </c>
      <c r="H24" s="2"/>
      <c r="I24" s="13">
        <f>IFERROR(IF(A22="","",IF(G22="",SUMIFS(FinishedData!$C:$C,FinishedData!$A:$A,"&gt;="&amp;MIN($A22:$G22)-7,FinishedData!$A:$A,"&lt;="&amp;MAX($A22:$G22)+(7-COUNT($A22:$G22)-7)),
SUMIFS(FinishedData!$C:$C,FinishedData!$A:$A,"&gt;="&amp;MIN($A22:$G22)-7,FinishedData!$A:$A,"&lt;="&amp;MAX($A22:$G22)-7))),"")</f>
        <v>5360</v>
      </c>
      <c r="J24" s="13">
        <f>IFERROR(IF(A22="","",SUMIFS(FinishedData!$C:$C,FinishedData!$A:$A,"&gt;="&amp;MIN($A22:$G22),FinishedData!$A:$A,"&lt;="&amp;MAX($A22:$G22))),"")</f>
        <v>4375</v>
      </c>
      <c r="K24" s="2"/>
      <c r="L24" s="2"/>
      <c r="M24" s="2"/>
      <c r="N24" s="2"/>
      <c r="O24" s="2"/>
      <c r="P24" s="2"/>
      <c r="Q24" s="2"/>
      <c r="R24" s="2"/>
      <c r="S24" s="2"/>
      <c r="T24" s="2"/>
      <c r="U24" s="2"/>
      <c r="V24" s="2"/>
      <c r="W24" s="2"/>
      <c r="X24" s="2"/>
      <c r="Y24" s="2"/>
      <c r="Z24" s="2"/>
    </row>
    <row r="25" ht="22.5" customHeight="1">
      <c r="A25" s="45">
        <f t="array" ref="A25">IFERROR(INDEX(FinishedData!$C:$C,MATCH(A22,FinishedData!$A:$A,0)),"")</f>
        <v>630</v>
      </c>
      <c r="B25" s="45">
        <f t="array" ref="B25">IFERROR(INDEX(FinishedData!$C:$C,MATCH(B22,FinishedData!$A:$A,0)),"")</f>
        <v>685</v>
      </c>
      <c r="C25" s="45">
        <f t="array" ref="C25">IFERROR(INDEX(FinishedData!$C:$C,MATCH(C22,FinishedData!$A:$A,0)),"")</f>
        <v>800</v>
      </c>
      <c r="D25" s="45" t="str">
        <f t="array" ref="D25">IFERROR(INDEX(FinishedData!$C:$C,MATCH(D22,FinishedData!$A:$A,0)),"")</f>
        <v/>
      </c>
      <c r="E25" s="45">
        <f t="array" ref="E25">IFERROR(INDEX(FinishedData!$C:$C,MATCH(E22,FinishedData!$A:$A,0)),"")</f>
        <v>695</v>
      </c>
      <c r="F25" s="45">
        <f t="array" ref="F25">IFERROR(INDEX(FinishedData!$C:$C,MATCH(F22,FinishedData!$A:$A,0)),"")</f>
        <v>695</v>
      </c>
      <c r="G25" s="45">
        <f t="array" ref="G25">IFERROR(INDEX(FinishedData!$C:$C,MATCH(G22,FinishedData!$A:$A,0)),"")</f>
        <v>870</v>
      </c>
      <c r="H25" s="2"/>
      <c r="I25" s="46" t="str">
        <f>IF(A22="","","CHANGE")</f>
        <v>CHANGE</v>
      </c>
      <c r="J25" s="47">
        <f>IFERROR(IF(A22="","",(J24-I24)/I24),"")</f>
        <v>-0.1837686567</v>
      </c>
      <c r="K25" s="2"/>
      <c r="L25" s="2"/>
      <c r="M25" s="2"/>
      <c r="N25" s="2"/>
      <c r="O25" s="2"/>
      <c r="P25" s="2"/>
      <c r="Q25" s="2"/>
      <c r="R25" s="2"/>
      <c r="S25" s="2"/>
      <c r="T25" s="2"/>
      <c r="U25" s="2"/>
      <c r="V25" s="2"/>
      <c r="W25" s="2"/>
      <c r="X25" s="2"/>
      <c r="Y25" s="2"/>
      <c r="Z25" s="2"/>
    </row>
    <row r="26" ht="22.5" customHeight="1">
      <c r="A26" s="49">
        <f>IF(G22&gt;=$D$3,"",G22+1)</f>
        <v>44570</v>
      </c>
      <c r="B26" s="49">
        <f t="shared" ref="B26:G26" si="6">IF(A26&gt;=$D$3,"",A26+1)</f>
        <v>44571</v>
      </c>
      <c r="C26" s="49">
        <f t="shared" si="6"/>
        <v>44572</v>
      </c>
      <c r="D26" s="49">
        <f t="shared" si="6"/>
        <v>44573</v>
      </c>
      <c r="E26" s="49">
        <f t="shared" si="6"/>
        <v>44574</v>
      </c>
      <c r="F26" s="49">
        <f t="shared" si="6"/>
        <v>44575</v>
      </c>
      <c r="G26" s="49">
        <f t="shared" si="6"/>
        <v>44576</v>
      </c>
      <c r="H26" s="2"/>
      <c r="I26" s="7"/>
      <c r="J26" s="7"/>
      <c r="K26" s="2"/>
      <c r="L26" s="2"/>
      <c r="M26" s="2"/>
      <c r="N26" s="2"/>
      <c r="O26" s="2"/>
      <c r="P26" s="2"/>
      <c r="Q26" s="2"/>
      <c r="R26" s="2"/>
      <c r="S26" s="2"/>
      <c r="T26" s="2"/>
      <c r="U26" s="2"/>
      <c r="V26" s="2"/>
      <c r="W26" s="2"/>
      <c r="X26" s="2"/>
      <c r="Y26" s="2"/>
      <c r="Z26" s="2"/>
    </row>
    <row r="27" ht="22.5" customHeight="1">
      <c r="A27" s="42" t="str">
        <f t="array" ref="A27">IFERROR(INDEX(Lists!$B:$B,MATCH(A28,Lists!$A:$A,0)),"")</f>
        <v/>
      </c>
      <c r="B27" s="42" t="str">
        <f t="array" ref="B27">IFERROR(INDEX(Lists!$B:$B,MATCH(B28,Lists!$A:$A,0)),"")</f>
        <v/>
      </c>
      <c r="C27" s="42" t="str">
        <f t="array" ref="C27">IFERROR(INDEX(Lists!$B:$B,MATCH(C28,Lists!$A:$A,0)),"")</f>
        <v/>
      </c>
      <c r="D27" s="42" t="str">
        <f t="array" ref="D27">IFERROR(INDEX(Lists!$B:$B,MATCH(D28,Lists!$A:$A,0)),"")</f>
        <v/>
      </c>
      <c r="E27" s="42" t="str">
        <f t="array" ref="E27">IFERROR(INDEX(Lists!$B:$B,MATCH(E28,Lists!$A:$A,0)),"")</f>
        <v/>
      </c>
      <c r="F27" s="42" t="str">
        <f t="array" ref="F27">IFERROR(INDEX(Lists!$B:$B,MATCH(F28,Lists!$A:$A,0)),"")</f>
        <v/>
      </c>
      <c r="G27" s="42" t="str">
        <f t="array" ref="G27">IFERROR(INDEX(Lists!$B:$B,MATCH(G28,Lists!$A:$A,0)),"")</f>
        <v/>
      </c>
      <c r="H27" s="2"/>
      <c r="I27" s="43" t="str">
        <f>IF(A26="","","Week of "&amp;TEXT(A26-7,"MM/DD"))</f>
        <v>Week of 01/02</v>
      </c>
      <c r="J27" s="43" t="str">
        <f>IF(A26="","","Week of "&amp;TEXT(A26,"MM/DD"))</f>
        <v>Week of 01/09</v>
      </c>
      <c r="K27" s="2"/>
      <c r="L27" s="2"/>
      <c r="M27" s="2"/>
      <c r="N27" s="2"/>
      <c r="O27" s="2"/>
      <c r="P27" s="2"/>
      <c r="Q27" s="2"/>
      <c r="R27" s="2"/>
      <c r="S27" s="2"/>
      <c r="T27" s="2"/>
      <c r="U27" s="2"/>
      <c r="V27" s="2"/>
      <c r="W27" s="2"/>
      <c r="X27" s="2"/>
      <c r="Y27" s="2"/>
      <c r="Z27" s="2"/>
    </row>
    <row r="28" ht="22.5" customHeight="1">
      <c r="A28" s="42" t="str">
        <f t="array" ref="A28">IFERROR(INDEX(FinishedData!$B:$B,MATCH(A26,FinishedData!$A:$A,0)),"")</f>
        <v>Practice</v>
      </c>
      <c r="B28" s="42" t="str">
        <f t="array" ref="B28">IFERROR(INDEX(FinishedData!$B:$B,MATCH(B26,FinishedData!$A:$A,0)),"")</f>
        <v>Game</v>
      </c>
      <c r="C28" s="42" t="str">
        <f t="array" ref="C28">IFERROR(INDEX(FinishedData!$B:$B,MATCH(C26,FinishedData!$A:$A,0)),"")</f>
        <v>Practice</v>
      </c>
      <c r="D28" s="42" t="str">
        <f t="array" ref="D28">IFERROR(INDEX(FinishedData!$B:$B,MATCH(D26,FinishedData!$A:$A,0)),"")</f>
        <v>Game</v>
      </c>
      <c r="E28" s="42" t="str">
        <f t="array" ref="E28">IFERROR(INDEX(FinishedData!$B:$B,MATCH(E26,FinishedData!$A:$A,0)),"")</f>
        <v>Off</v>
      </c>
      <c r="F28" s="42" t="str">
        <f t="array" ref="F28">IFERROR(INDEX(FinishedData!$B:$B,MATCH(F26,FinishedData!$A:$A,0)),"")</f>
        <v>Gym</v>
      </c>
      <c r="G28" s="42" t="str">
        <f t="array" ref="G28">IFERROR(INDEX(FinishedData!$B:$B,MATCH(G26,FinishedData!$A:$A,0)),"")</f>
        <v>Practice</v>
      </c>
      <c r="H28" s="2"/>
      <c r="I28" s="13">
        <f>IFERROR(IF(A26="","",IF(G26="",SUMIFS(FinishedData!$C:$C,FinishedData!$A:$A,"&gt;="&amp;MIN($A26:$G26)-7,FinishedData!$A:$A,"&lt;="&amp;MAX($A26:$G26)+(7-COUNT($A26:$G26)-7)),
SUMIFS(FinishedData!$C:$C,FinishedData!$A:$A,"&gt;="&amp;MIN($A26:$G26)-7,FinishedData!$A:$A,"&lt;="&amp;MAX($A26:$G26)-7))),"")</f>
        <v>4375</v>
      </c>
      <c r="J28" s="13">
        <f>IFERROR(IF(A26="","",SUMIFS(FinishedData!$C:$C,FinishedData!$A:$A,"&gt;="&amp;MIN($A26:$G26),FinishedData!$A:$A,"&lt;="&amp;MAX($A26:$G26))),"")</f>
        <v>4370</v>
      </c>
      <c r="K28" s="2"/>
      <c r="L28" s="2"/>
      <c r="M28" s="2"/>
      <c r="N28" s="2"/>
      <c r="O28" s="2"/>
      <c r="P28" s="2"/>
      <c r="Q28" s="2"/>
      <c r="R28" s="2"/>
      <c r="S28" s="2"/>
      <c r="T28" s="2"/>
      <c r="U28" s="2"/>
      <c r="V28" s="2"/>
      <c r="W28" s="2"/>
      <c r="X28" s="2"/>
      <c r="Y28" s="2"/>
      <c r="Z28" s="2"/>
    </row>
    <row r="29" ht="22.5" customHeight="1">
      <c r="A29" s="45">
        <f t="array" ref="A29">IFERROR(INDEX(FinishedData!$C:$C,MATCH(A26,FinishedData!$A:$A,0)),"")</f>
        <v>990</v>
      </c>
      <c r="B29" s="45">
        <f t="array" ref="B29">IFERROR(INDEX(FinishedData!$C:$C,MATCH(B26,FinishedData!$A:$A,0)),"")</f>
        <v>630</v>
      </c>
      <c r="C29" s="45">
        <f t="array" ref="C29">IFERROR(INDEX(FinishedData!$C:$C,MATCH(C26,FinishedData!$A:$A,0)),"")</f>
        <v>505</v>
      </c>
      <c r="D29" s="45">
        <f t="array" ref="D29">IFERROR(INDEX(FinishedData!$C:$C,MATCH(D26,FinishedData!$A:$A,0)),"")</f>
        <v>735</v>
      </c>
      <c r="E29" s="45" t="str">
        <f t="array" ref="E29">IFERROR(INDEX(FinishedData!$C:$C,MATCH(E26,FinishedData!$A:$A,0)),"")</f>
        <v/>
      </c>
      <c r="F29" s="45">
        <f t="array" ref="F29">IFERROR(INDEX(FinishedData!$C:$C,MATCH(F26,FinishedData!$A:$A,0)),"")</f>
        <v>865</v>
      </c>
      <c r="G29" s="45">
        <f t="array" ref="G29">IFERROR(INDEX(FinishedData!$C:$C,MATCH(G26,FinishedData!$A:$A,0)),"")</f>
        <v>645</v>
      </c>
      <c r="H29" s="2"/>
      <c r="I29" s="46" t="str">
        <f>IF(A26="","","CHANGE")</f>
        <v>CHANGE</v>
      </c>
      <c r="J29" s="47">
        <f>IFERROR(IF(A26="","",(J28-I28)/I28),"")</f>
        <v>-0.001142857143</v>
      </c>
      <c r="K29" s="2"/>
      <c r="L29" s="2"/>
      <c r="M29" s="2"/>
      <c r="N29" s="2"/>
      <c r="O29" s="2"/>
      <c r="P29" s="2"/>
      <c r="Q29" s="2"/>
      <c r="R29" s="2"/>
      <c r="S29" s="2"/>
      <c r="T29" s="2"/>
      <c r="U29" s="2"/>
      <c r="V29" s="2"/>
      <c r="W29" s="2"/>
      <c r="X29" s="2"/>
      <c r="Y29" s="2"/>
      <c r="Z29" s="2"/>
    </row>
    <row r="30" ht="22.5" customHeight="1">
      <c r="A30" s="49">
        <f>IF(G26&gt;=$D$3,"",G26+1)</f>
        <v>44577</v>
      </c>
      <c r="B30" s="49">
        <f t="shared" ref="B30:G30" si="7">IF(A30&gt;=$D$3,"",A30+1)</f>
        <v>44578</v>
      </c>
      <c r="C30" s="49">
        <f t="shared" si="7"/>
        <v>44579</v>
      </c>
      <c r="D30" s="49">
        <f t="shared" si="7"/>
        <v>44580</v>
      </c>
      <c r="E30" s="49">
        <f t="shared" si="7"/>
        <v>44581</v>
      </c>
      <c r="F30" s="49">
        <f t="shared" si="7"/>
        <v>44582</v>
      </c>
      <c r="G30" s="49">
        <f t="shared" si="7"/>
        <v>44583</v>
      </c>
      <c r="H30" s="2"/>
      <c r="I30" s="2"/>
      <c r="J30" s="2"/>
      <c r="K30" s="2"/>
      <c r="L30" s="2"/>
      <c r="M30" s="2"/>
      <c r="N30" s="2"/>
      <c r="O30" s="2"/>
      <c r="P30" s="2"/>
      <c r="Q30" s="2"/>
      <c r="R30" s="2"/>
      <c r="S30" s="2"/>
      <c r="T30" s="2"/>
      <c r="U30" s="2"/>
      <c r="V30" s="2"/>
      <c r="W30" s="2"/>
      <c r="X30" s="2"/>
      <c r="Y30" s="2"/>
      <c r="Z30" s="2"/>
    </row>
    <row r="31" ht="22.5" customHeight="1">
      <c r="A31" s="42" t="str">
        <f t="array" ref="A31">IFERROR(INDEX(Lists!$B:$B,MATCH(A32,Lists!$A:$A,0)),"")</f>
        <v/>
      </c>
      <c r="B31" s="42" t="str">
        <f t="array" ref="B31">IFERROR(INDEX(Lists!$B:$B,MATCH(B32,Lists!$A:$A,0)),"")</f>
        <v/>
      </c>
      <c r="C31" s="42" t="str">
        <f t="array" ref="C31">IFERROR(INDEX(Lists!$B:$B,MATCH(C32,Lists!$A:$A,0)),"")</f>
        <v/>
      </c>
      <c r="D31" s="42" t="str">
        <f t="array" ref="D31">IFERROR(INDEX(Lists!$B:$B,MATCH(D32,Lists!$A:$A,0)),"")</f>
        <v/>
      </c>
      <c r="E31" s="42" t="str">
        <f t="array" ref="E31">IFERROR(INDEX(Lists!$B:$B,MATCH(E32,Lists!$A:$A,0)),"")</f>
        <v/>
      </c>
      <c r="F31" s="42" t="str">
        <f t="array" ref="F31">IFERROR(INDEX(Lists!$B:$B,MATCH(F32,Lists!$A:$A,0)),"")</f>
        <v/>
      </c>
      <c r="G31" s="42" t="str">
        <f t="array" ref="G31">IFERROR(INDEX(Lists!$B:$B,MATCH(G32,Lists!$A:$A,0)),"")</f>
        <v/>
      </c>
      <c r="H31" s="2"/>
      <c r="I31" s="43" t="str">
        <f>IF(A30="","","Week of "&amp;TEXT(A30-7,"MM/DD"))</f>
        <v>Week of 01/09</v>
      </c>
      <c r="J31" s="43" t="str">
        <f>IF(A30="","","Week of "&amp;TEXT(A30,"MM/DD"))</f>
        <v>Week of 01/16</v>
      </c>
      <c r="K31" s="2"/>
      <c r="L31" s="2"/>
      <c r="M31" s="2"/>
      <c r="N31" s="2"/>
      <c r="O31" s="2"/>
      <c r="P31" s="2"/>
      <c r="Q31" s="2"/>
      <c r="R31" s="2"/>
      <c r="S31" s="2"/>
      <c r="T31" s="2"/>
      <c r="U31" s="2"/>
      <c r="V31" s="2"/>
      <c r="W31" s="2"/>
      <c r="X31" s="2"/>
      <c r="Y31" s="2"/>
      <c r="Z31" s="2"/>
    </row>
    <row r="32" ht="22.5" customHeight="1">
      <c r="A32" s="42" t="str">
        <f t="array" ref="A32">IFERROR(INDEX(FinishedData!$B:$B,MATCH(A30,FinishedData!$A:$A,0)),"")</f>
        <v>Practice</v>
      </c>
      <c r="B32" s="42" t="str">
        <f t="array" ref="B32">IFERROR(INDEX(FinishedData!$B:$B,MATCH(B30,FinishedData!$A:$A,0)),"")</f>
        <v>Practice</v>
      </c>
      <c r="C32" s="42" t="str">
        <f t="array" ref="C32">IFERROR(INDEX(FinishedData!$B:$B,MATCH(C30,FinishedData!$A:$A,0)),"")</f>
        <v>Game</v>
      </c>
      <c r="D32" s="42" t="str">
        <f t="array" ref="D32">IFERROR(INDEX(FinishedData!$B:$B,MATCH(D30,FinishedData!$A:$A,0)),"")</f>
        <v>Game</v>
      </c>
      <c r="E32" s="42" t="str">
        <f t="array" ref="E32">IFERROR(INDEX(FinishedData!$B:$B,MATCH(E30,FinishedData!$A:$A,0)),"")</f>
        <v>Off</v>
      </c>
      <c r="F32" s="42" t="str">
        <f t="array" ref="F32">IFERROR(INDEX(FinishedData!$B:$B,MATCH(F30,FinishedData!$A:$A,0)),"")</f>
        <v>Practice</v>
      </c>
      <c r="G32" s="42" t="str">
        <f t="array" ref="G32">IFERROR(INDEX(FinishedData!$B:$B,MATCH(G30,FinishedData!$A:$A,0)),"")</f>
        <v>Game</v>
      </c>
      <c r="H32" s="2"/>
      <c r="I32" s="13">
        <f>IFERROR(IF(A30="","",IF(G30="",SUMIFS(FinishedData!$C:$C,FinishedData!$A:$A,"&gt;="&amp;MIN($A30:$G30)-7,FinishedData!$A:$A,"&lt;="&amp;MAX($A30:$G30)+(7-COUNT($A30:$G30)-7)),
SUMIFS(FinishedData!$C:$C,FinishedData!$A:$A,"&gt;="&amp;MIN($A30:$G30)-7,FinishedData!$A:$A,"&lt;="&amp;MAX($A30:$G30)-7))),"")</f>
        <v>4370</v>
      </c>
      <c r="J32" s="13">
        <f>IFERROR(IF(A30="","",SUMIFS(FinishedData!$C:$C,FinishedData!$A:$A,"&gt;="&amp;MIN($A30:$G30),FinishedData!$A:$A,"&lt;="&amp;MAX($A30:$G30))),"")</f>
        <v>5020</v>
      </c>
      <c r="K32" s="2"/>
      <c r="L32" s="2"/>
      <c r="M32" s="2"/>
      <c r="N32" s="2"/>
      <c r="O32" s="2"/>
      <c r="P32" s="2"/>
      <c r="Q32" s="2"/>
      <c r="R32" s="2"/>
      <c r="S32" s="2"/>
      <c r="T32" s="2"/>
      <c r="U32" s="2"/>
      <c r="V32" s="2"/>
      <c r="W32" s="2"/>
      <c r="X32" s="2"/>
      <c r="Y32" s="2"/>
      <c r="Z32" s="2"/>
    </row>
    <row r="33" ht="22.5" customHeight="1">
      <c r="A33" s="45">
        <f t="array" ref="A33">IFERROR(INDEX(FinishedData!$C:$C,MATCH(A30,FinishedData!$A:$A,0)),"")</f>
        <v>775</v>
      </c>
      <c r="B33" s="45">
        <f t="array" ref="B33">IFERROR(INDEX(FinishedData!$C:$C,MATCH(B30,FinishedData!$A:$A,0)),"")</f>
        <v>995</v>
      </c>
      <c r="C33" s="45">
        <f t="array" ref="C33">IFERROR(INDEX(FinishedData!$C:$C,MATCH(C30,FinishedData!$A:$A,0)),"")</f>
        <v>1000</v>
      </c>
      <c r="D33" s="45">
        <f t="array" ref="D33">IFERROR(INDEX(FinishedData!$C:$C,MATCH(D30,FinishedData!$A:$A,0)),"")</f>
        <v>685</v>
      </c>
      <c r="E33" s="45" t="str">
        <f t="array" ref="E33">IFERROR(INDEX(FinishedData!$C:$C,MATCH(E30,FinishedData!$A:$A,0)),"")</f>
        <v/>
      </c>
      <c r="F33" s="45">
        <f t="array" ref="F33">IFERROR(INDEX(FinishedData!$C:$C,MATCH(F30,FinishedData!$A:$A,0)),"")</f>
        <v>905</v>
      </c>
      <c r="G33" s="45">
        <f t="array" ref="G33">IFERROR(INDEX(FinishedData!$C:$C,MATCH(G30,FinishedData!$A:$A,0)),"")</f>
        <v>660</v>
      </c>
      <c r="H33" s="2"/>
      <c r="I33" s="46" t="str">
        <f>IF(A30="","","CHANGE")</f>
        <v>CHANGE</v>
      </c>
      <c r="J33" s="47">
        <f>IFERROR(IF(A30="","",(J32-I32)/I32),"")</f>
        <v>0.1487414188</v>
      </c>
      <c r="K33" s="2"/>
      <c r="L33" s="2"/>
      <c r="M33" s="2"/>
      <c r="N33" s="2"/>
      <c r="O33" s="2"/>
      <c r="P33" s="2"/>
      <c r="Q33" s="2"/>
      <c r="R33" s="2"/>
      <c r="S33" s="2"/>
      <c r="T33" s="2"/>
      <c r="U33" s="2"/>
      <c r="V33" s="2"/>
      <c r="W33" s="2"/>
      <c r="X33" s="2"/>
      <c r="Y33" s="2"/>
      <c r="Z33" s="2"/>
    </row>
    <row r="34" ht="22.5" customHeight="1">
      <c r="A34" s="49">
        <f>IF(G30&gt;=$D$3,"",G30+1)</f>
        <v>44584</v>
      </c>
      <c r="B34" s="49">
        <f t="shared" ref="B34:G34" si="8">IF(A34&gt;=$D$3,"",A34+1)</f>
        <v>44585</v>
      </c>
      <c r="C34" s="49">
        <f t="shared" si="8"/>
        <v>44586</v>
      </c>
      <c r="D34" s="49">
        <f t="shared" si="8"/>
        <v>44587</v>
      </c>
      <c r="E34" s="49">
        <f t="shared" si="8"/>
        <v>44588</v>
      </c>
      <c r="F34" s="49">
        <f t="shared" si="8"/>
        <v>44589</v>
      </c>
      <c r="G34" s="49">
        <f t="shared" si="8"/>
        <v>44590</v>
      </c>
      <c r="H34" s="2"/>
      <c r="I34" s="7"/>
      <c r="J34" s="7"/>
      <c r="K34" s="2"/>
      <c r="L34" s="2"/>
      <c r="M34" s="2"/>
      <c r="N34" s="2"/>
      <c r="O34" s="2"/>
      <c r="P34" s="2"/>
      <c r="Q34" s="2"/>
      <c r="R34" s="2"/>
      <c r="S34" s="2"/>
      <c r="T34" s="2"/>
      <c r="U34" s="2"/>
      <c r="V34" s="2"/>
      <c r="W34" s="2"/>
      <c r="X34" s="2"/>
      <c r="Y34" s="2"/>
      <c r="Z34" s="2"/>
    </row>
    <row r="35" ht="22.5" customHeight="1">
      <c r="A35" s="42" t="str">
        <f t="array" ref="A35">IFERROR(INDEX(Lists!$B:$B,MATCH(A36,Lists!$A:$A,0)),"")</f>
        <v/>
      </c>
      <c r="B35" s="42" t="str">
        <f t="array" ref="B35">IFERROR(INDEX(Lists!$B:$B,MATCH(B36,Lists!$A:$A,0)),"")</f>
        <v/>
      </c>
      <c r="C35" s="42" t="str">
        <f t="array" ref="C35">IFERROR(INDEX(Lists!$B:$B,MATCH(C36,Lists!$A:$A,0)),"")</f>
        <v/>
      </c>
      <c r="D35" s="42" t="str">
        <f t="array" ref="D35">IFERROR(INDEX(Lists!$B:$B,MATCH(D36,Lists!$A:$A,0)),"")</f>
        <v/>
      </c>
      <c r="E35" s="42" t="str">
        <f t="array" ref="E35">IFERROR(INDEX(Lists!$B:$B,MATCH(E36,Lists!$A:$A,0)),"")</f>
        <v/>
      </c>
      <c r="F35" s="42" t="str">
        <f t="array" ref="F35">IFERROR(INDEX(Lists!$B:$B,MATCH(F36,Lists!$A:$A,0)),"")</f>
        <v/>
      </c>
      <c r="G35" s="42" t="str">
        <f t="array" ref="G35">IFERROR(INDEX(Lists!$B:$B,MATCH(G36,Lists!$A:$A,0)),"")</f>
        <v/>
      </c>
      <c r="H35" s="2"/>
      <c r="I35" s="43" t="str">
        <f>IF(A34="","","Week of "&amp;TEXT(A34-7,"MM/DD"))</f>
        <v>Week of 01/16</v>
      </c>
      <c r="J35" s="43" t="str">
        <f>IF(A34="","","Week of "&amp;TEXT(A34,"MM/DD"))</f>
        <v>Week of 01/23</v>
      </c>
      <c r="K35" s="2"/>
      <c r="L35" s="2"/>
      <c r="M35" s="2"/>
      <c r="N35" s="2"/>
      <c r="O35" s="2"/>
      <c r="P35" s="2"/>
      <c r="Q35" s="2"/>
      <c r="R35" s="2"/>
      <c r="S35" s="2"/>
      <c r="T35" s="2"/>
      <c r="U35" s="2"/>
      <c r="V35" s="2"/>
      <c r="W35" s="2"/>
      <c r="X35" s="2"/>
      <c r="Y35" s="2"/>
      <c r="Z35" s="2"/>
    </row>
    <row r="36" ht="22.5" customHeight="1">
      <c r="A36" s="42" t="str">
        <f t="array" ref="A36">IFERROR(INDEX(FinishedData!$B:$B,MATCH(A34,FinishedData!$A:$A,0)),"")</f>
        <v>Practice</v>
      </c>
      <c r="B36" s="42" t="str">
        <f t="array" ref="B36">IFERROR(INDEX(FinishedData!$B:$B,MATCH(B34,FinishedData!$A:$A,0)),"")</f>
        <v>Practice</v>
      </c>
      <c r="C36" s="42" t="str">
        <f t="array" ref="C36">IFERROR(INDEX(FinishedData!$B:$B,MATCH(C34,FinishedData!$A:$A,0)),"")</f>
        <v>Practice</v>
      </c>
      <c r="D36" s="42" t="str">
        <f t="array" ref="D36">IFERROR(INDEX(FinishedData!$B:$B,MATCH(D34,FinishedData!$A:$A,0)),"")</f>
        <v>Game</v>
      </c>
      <c r="E36" s="42" t="str">
        <f t="array" ref="E36">IFERROR(INDEX(FinishedData!$B:$B,MATCH(E34,FinishedData!$A:$A,0)),"")</f>
        <v>Practice</v>
      </c>
      <c r="F36" s="42" t="str">
        <f t="array" ref="F36">IFERROR(INDEX(FinishedData!$B:$B,MATCH(F34,FinishedData!$A:$A,0)),"")</f>
        <v>Practice</v>
      </c>
      <c r="G36" s="42" t="str">
        <f t="array" ref="G36">IFERROR(INDEX(FinishedData!$B:$B,MATCH(G34,FinishedData!$A:$A,0)),"")</f>
        <v>Game</v>
      </c>
      <c r="H36" s="2"/>
      <c r="I36" s="13">
        <f>IFERROR(IF(A34="","",IF(G34="",SUMIFS(FinishedData!$C:$C,FinishedData!$A:$A,"&gt;="&amp;MIN($A34:$G34)-7,FinishedData!$A:$A,"&lt;="&amp;MAX($A34:$G34)+(7-COUNT($A34:$G34)-7)),
SUMIFS(FinishedData!$C:$C,FinishedData!$A:$A,"&gt;="&amp;MIN($A34:$G34)-7,FinishedData!$A:$A,"&lt;="&amp;MAX($A34:$G34)-7))),"")</f>
        <v>5020</v>
      </c>
      <c r="J36" s="13">
        <f>IFERROR(IF(A34="","",SUMIFS(FinishedData!$C:$C,FinishedData!$A:$A,"&gt;="&amp;MIN($A34:$G34),FinishedData!$A:$A,"&lt;="&amp;MAX($A34:$G34))),"")</f>
        <v>5630</v>
      </c>
      <c r="K36" s="2"/>
      <c r="L36" s="2"/>
      <c r="M36" s="2"/>
      <c r="N36" s="2"/>
      <c r="O36" s="2"/>
      <c r="P36" s="2"/>
      <c r="Q36" s="2"/>
      <c r="R36" s="2"/>
      <c r="S36" s="2"/>
      <c r="T36" s="2"/>
      <c r="U36" s="2"/>
      <c r="V36" s="2"/>
      <c r="W36" s="2"/>
      <c r="X36" s="2"/>
      <c r="Y36" s="2"/>
      <c r="Z36" s="2"/>
    </row>
    <row r="37" ht="22.5" customHeight="1">
      <c r="A37" s="45">
        <f t="array" ref="A37">IFERROR(INDEX(FinishedData!$C:$C,MATCH(A34,FinishedData!$A:$A,0)),"")</f>
        <v>825</v>
      </c>
      <c r="B37" s="45">
        <f t="array" ref="B37">IFERROR(INDEX(FinishedData!$C:$C,MATCH(B34,FinishedData!$A:$A,0)),"")</f>
        <v>710</v>
      </c>
      <c r="C37" s="45">
        <f t="array" ref="C37">IFERROR(INDEX(FinishedData!$C:$C,MATCH(C34,FinishedData!$A:$A,0)),"")</f>
        <v>845</v>
      </c>
      <c r="D37" s="45">
        <f t="array" ref="D37">IFERROR(INDEX(FinishedData!$C:$C,MATCH(D34,FinishedData!$A:$A,0)),"")</f>
        <v>805</v>
      </c>
      <c r="E37" s="45">
        <f t="array" ref="E37">IFERROR(INDEX(FinishedData!$C:$C,MATCH(E34,FinishedData!$A:$A,0)),"")</f>
        <v>915</v>
      </c>
      <c r="F37" s="45">
        <f t="array" ref="F37">IFERROR(INDEX(FinishedData!$C:$C,MATCH(F34,FinishedData!$A:$A,0)),"")</f>
        <v>715</v>
      </c>
      <c r="G37" s="45">
        <f t="array" ref="G37">IFERROR(INDEX(FinishedData!$C:$C,MATCH(G34,FinishedData!$A:$A,0)),"")</f>
        <v>815</v>
      </c>
      <c r="H37" s="2"/>
      <c r="I37" s="46" t="str">
        <f>IF(A34="","","CHANGE")</f>
        <v>CHANGE</v>
      </c>
      <c r="J37" s="47">
        <f>IFERROR(IF(A34="","",(J36-I36)/I36),"")</f>
        <v>0.1215139442</v>
      </c>
      <c r="K37" s="2"/>
      <c r="L37" s="2"/>
      <c r="M37" s="2"/>
      <c r="N37" s="2"/>
      <c r="O37" s="2"/>
      <c r="P37" s="2"/>
      <c r="Q37" s="2"/>
      <c r="R37" s="2"/>
      <c r="S37" s="2"/>
      <c r="T37" s="2"/>
      <c r="U37" s="2"/>
      <c r="V37" s="2"/>
      <c r="W37" s="2"/>
      <c r="X37" s="2"/>
      <c r="Y37" s="2"/>
      <c r="Z37" s="2"/>
    </row>
    <row r="38" ht="22.5" customHeight="1">
      <c r="A38" s="49">
        <f>IF(G34&gt;=$D$3,"",G34+1)</f>
        <v>44591</v>
      </c>
      <c r="B38" s="49">
        <f t="shared" ref="B38:G38" si="9">IF(A38&gt;=$D$3,"",A38+1)</f>
        <v>44592</v>
      </c>
      <c r="C38" s="49">
        <f t="shared" si="9"/>
        <v>44593</v>
      </c>
      <c r="D38" s="49">
        <f t="shared" si="9"/>
        <v>44594</v>
      </c>
      <c r="E38" s="49">
        <f t="shared" si="9"/>
        <v>44595</v>
      </c>
      <c r="F38" s="49">
        <f t="shared" si="9"/>
        <v>44596</v>
      </c>
      <c r="G38" s="49">
        <f t="shared" si="9"/>
        <v>44597</v>
      </c>
      <c r="H38" s="2"/>
      <c r="I38" s="7"/>
      <c r="J38" s="7"/>
      <c r="K38" s="2"/>
      <c r="L38" s="2"/>
      <c r="M38" s="2"/>
      <c r="N38" s="2"/>
      <c r="O38" s="2"/>
      <c r="P38" s="2"/>
      <c r="Q38" s="2"/>
      <c r="R38" s="2"/>
      <c r="S38" s="2"/>
      <c r="T38" s="2"/>
      <c r="U38" s="2"/>
      <c r="V38" s="2"/>
      <c r="W38" s="2"/>
      <c r="X38" s="2"/>
      <c r="Y38" s="2"/>
      <c r="Z38" s="2"/>
    </row>
    <row r="39" ht="22.5" customHeight="1">
      <c r="A39" s="42" t="str">
        <f t="array" ref="A39">IFERROR(INDEX(Lists!$B:$B,MATCH(A40,Lists!$A:$A,0)),"")</f>
        <v/>
      </c>
      <c r="B39" s="42" t="str">
        <f t="array" ref="B39">IFERROR(INDEX(Lists!$B:$B,MATCH(B40,Lists!$A:$A,0)),"")</f>
        <v/>
      </c>
      <c r="C39" s="42" t="str">
        <f t="array" ref="C39">IFERROR(INDEX(Lists!$B:$B,MATCH(C40,Lists!$A:$A,0)),"")</f>
        <v/>
      </c>
      <c r="D39" s="42" t="str">
        <f t="array" ref="D39">IFERROR(INDEX(Lists!$B:$B,MATCH(D40,Lists!$A:$A,0)),"")</f>
        <v/>
      </c>
      <c r="E39" s="42" t="str">
        <f t="array" ref="E39">IFERROR(INDEX(Lists!$B:$B,MATCH(E40,Lists!$A:$A,0)),"")</f>
        <v/>
      </c>
      <c r="F39" s="42" t="str">
        <f t="array" ref="F39">IFERROR(INDEX(Lists!$B:$B,MATCH(F40,Lists!$A:$A,0)),"")</f>
        <v/>
      </c>
      <c r="G39" s="42" t="str">
        <f t="array" ref="G39">IFERROR(INDEX(Lists!$B:$B,MATCH(G40,Lists!$A:$A,0)),"")</f>
        <v/>
      </c>
      <c r="H39" s="2"/>
      <c r="I39" s="43" t="str">
        <f>IF(A38="","","Week of "&amp;TEXT(A38-7,"MM/DD"))</f>
        <v>Week of 01/23</v>
      </c>
      <c r="J39" s="43" t="str">
        <f>IF(A38="","","Week of "&amp;TEXT(A38,"MM/DD"))</f>
        <v>Week of 01/30</v>
      </c>
      <c r="K39" s="2"/>
      <c r="L39" s="2"/>
      <c r="M39" s="2"/>
      <c r="N39" s="2"/>
      <c r="O39" s="2"/>
      <c r="P39" s="2"/>
      <c r="Q39" s="2"/>
      <c r="R39" s="2"/>
      <c r="S39" s="2"/>
      <c r="T39" s="2"/>
      <c r="U39" s="2"/>
      <c r="V39" s="2"/>
      <c r="W39" s="2"/>
      <c r="X39" s="2"/>
      <c r="Y39" s="2"/>
      <c r="Z39" s="2"/>
    </row>
    <row r="40" ht="22.5" customHeight="1">
      <c r="A40" s="42" t="str">
        <f t="array" ref="A40">IFERROR(INDEX(FinishedData!$B:$B,MATCH(A38,FinishedData!$A:$A,0)),"")</f>
        <v>Off</v>
      </c>
      <c r="B40" s="42" t="str">
        <f t="array" ref="B40">IFERROR(INDEX(FinishedData!$B:$B,MATCH(B38,FinishedData!$A:$A,0)),"")</f>
        <v>Practice</v>
      </c>
      <c r="C40" s="42" t="str">
        <f t="array" ref="C40">IFERROR(INDEX(FinishedData!$B:$B,MATCH(C38,FinishedData!$A:$A,0)),"")</f>
        <v>Gym</v>
      </c>
      <c r="D40" s="42" t="str">
        <f t="array" ref="D40">IFERROR(INDEX(FinishedData!$B:$B,MATCH(D38,FinishedData!$A:$A,0)),"")</f>
        <v>Practice</v>
      </c>
      <c r="E40" s="42" t="str">
        <f t="array" ref="E40">IFERROR(INDEX(FinishedData!$B:$B,MATCH(E38,FinishedData!$A:$A,0)),"")</f>
        <v>Practice</v>
      </c>
      <c r="F40" s="42" t="str">
        <f t="array" ref="F40">IFERROR(INDEX(FinishedData!$B:$B,MATCH(F38,FinishedData!$A:$A,0)),"")</f>
        <v>Practice</v>
      </c>
      <c r="G40" s="42" t="str">
        <f t="array" ref="G40">IFERROR(INDEX(FinishedData!$B:$B,MATCH(G38,FinishedData!$A:$A,0)),"")</f>
        <v>Game</v>
      </c>
      <c r="H40" s="2"/>
      <c r="I40" s="13">
        <f>IFERROR(IF(A38="","",IF(G38="",SUMIFS(FinishedData!$C:$C,FinishedData!$A:$A,"&gt;="&amp;MIN($A38:$G38)-7,FinishedData!$A:$A,"&lt;="&amp;MAX($A38:$G38)+(7-COUNT($A38:$G38)-7)),
SUMIFS(FinishedData!$C:$C,FinishedData!$A:$A,"&gt;="&amp;MIN($A38:$G38)-7,FinishedData!$A:$A,"&lt;="&amp;MAX($A38:$G38)-7))),"")</f>
        <v>5630</v>
      </c>
      <c r="J40" s="13">
        <f>IFERROR(IF(A38="","",SUMIFS(FinishedData!$C:$C,FinishedData!$A:$A,"&gt;="&amp;MIN($A38:$G38),FinishedData!$A:$A,"&lt;="&amp;MAX($A38:$G38))),"")</f>
        <v>3875</v>
      </c>
      <c r="K40" s="2"/>
      <c r="L40" s="2"/>
      <c r="M40" s="2"/>
      <c r="N40" s="2"/>
      <c r="O40" s="2"/>
      <c r="P40" s="2"/>
      <c r="Q40" s="2"/>
      <c r="R40" s="2"/>
      <c r="S40" s="2"/>
      <c r="T40" s="2"/>
      <c r="U40" s="2"/>
      <c r="V40" s="2"/>
      <c r="W40" s="2"/>
      <c r="X40" s="2"/>
      <c r="Y40" s="2"/>
      <c r="Z40" s="2"/>
    </row>
    <row r="41" ht="22.5" customHeight="1">
      <c r="A41" s="45" t="str">
        <f t="array" ref="A41">IFERROR(INDEX(FinishedData!$C:$C,MATCH(A38,FinishedData!$A:$A,0)),"")</f>
        <v/>
      </c>
      <c r="B41" s="45">
        <f t="array" ref="B41">IFERROR(INDEX(FinishedData!$C:$C,MATCH(B38,FinishedData!$A:$A,0)),"")</f>
        <v>850</v>
      </c>
      <c r="C41" s="45">
        <f t="array" ref="C41">IFERROR(INDEX(FinishedData!$C:$C,MATCH(C38,FinishedData!$A:$A,0)),"")</f>
        <v>555</v>
      </c>
      <c r="D41" s="45">
        <f t="array" ref="D41">IFERROR(INDEX(FinishedData!$C:$C,MATCH(D38,FinishedData!$A:$A,0)),"")</f>
        <v>585</v>
      </c>
      <c r="E41" s="45">
        <f t="array" ref="E41">IFERROR(INDEX(FinishedData!$C:$C,MATCH(E38,FinishedData!$A:$A,0)),"")</f>
        <v>735</v>
      </c>
      <c r="F41" s="45">
        <f t="array" ref="F41">IFERROR(INDEX(FinishedData!$C:$C,MATCH(F38,FinishedData!$A:$A,0)),"")</f>
        <v>590</v>
      </c>
      <c r="G41" s="45">
        <f t="array" ref="G41">IFERROR(INDEX(FinishedData!$C:$C,MATCH(G38,FinishedData!$A:$A,0)),"")</f>
        <v>560</v>
      </c>
      <c r="H41" s="2"/>
      <c r="I41" s="46" t="str">
        <f>IF(A38="","","CHANGE")</f>
        <v>CHANGE</v>
      </c>
      <c r="J41" s="47">
        <f>IFERROR(IF(A38="","",(J40-I40)/I40),"")</f>
        <v>-0.311722913</v>
      </c>
      <c r="K41" s="2"/>
      <c r="L41" s="2"/>
      <c r="M41" s="2"/>
      <c r="N41" s="2"/>
      <c r="O41" s="2"/>
      <c r="P41" s="2"/>
      <c r="Q41" s="2"/>
      <c r="R41" s="2"/>
      <c r="S41" s="2"/>
      <c r="T41" s="2"/>
      <c r="U41" s="2"/>
      <c r="V41" s="2"/>
      <c r="W41" s="2"/>
      <c r="X41" s="2"/>
      <c r="Y41" s="2"/>
      <c r="Z41" s="2"/>
    </row>
    <row r="42" ht="22.5" customHeight="1">
      <c r="A42" s="49">
        <f>IF(G38&gt;=$D$3,"",G38+1)</f>
        <v>44598</v>
      </c>
      <c r="B42" s="49">
        <f t="shared" ref="B42:G42" si="10">IF(A42&gt;=$D$3,"",A42+1)</f>
        <v>44599</v>
      </c>
      <c r="C42" s="49">
        <f t="shared" si="10"/>
        <v>44600</v>
      </c>
      <c r="D42" s="49">
        <f t="shared" si="10"/>
        <v>44601</v>
      </c>
      <c r="E42" s="49">
        <f t="shared" si="10"/>
        <v>44602</v>
      </c>
      <c r="F42" s="49">
        <f t="shared" si="10"/>
        <v>44603</v>
      </c>
      <c r="G42" s="49">
        <f t="shared" si="10"/>
        <v>44604</v>
      </c>
      <c r="H42" s="2"/>
      <c r="I42" s="7"/>
      <c r="J42" s="7"/>
      <c r="K42" s="2"/>
      <c r="L42" s="2"/>
      <c r="M42" s="2"/>
      <c r="N42" s="2"/>
      <c r="O42" s="2"/>
      <c r="P42" s="2"/>
      <c r="Q42" s="2"/>
      <c r="R42" s="2"/>
      <c r="S42" s="2"/>
      <c r="T42" s="2"/>
      <c r="U42" s="2"/>
      <c r="V42" s="2"/>
      <c r="W42" s="2"/>
      <c r="X42" s="2"/>
      <c r="Y42" s="2"/>
      <c r="Z42" s="2"/>
    </row>
    <row r="43" ht="22.5" customHeight="1">
      <c r="A43" s="42" t="str">
        <f t="array" ref="A43">IFERROR(INDEX(Lists!$B:$B,MATCH(A44,Lists!$A:$A,0)),"")</f>
        <v/>
      </c>
      <c r="B43" s="42" t="str">
        <f t="array" ref="B43">IFERROR(INDEX(Lists!$B:$B,MATCH(B44,Lists!$A:$A,0)),"")</f>
        <v/>
      </c>
      <c r="C43" s="42" t="str">
        <f t="array" ref="C43">IFERROR(INDEX(Lists!$B:$B,MATCH(C44,Lists!$A:$A,0)),"")</f>
        <v/>
      </c>
      <c r="D43" s="42" t="str">
        <f t="array" ref="D43">IFERROR(INDEX(Lists!$B:$B,MATCH(D44,Lists!$A:$A,0)),"")</f>
        <v/>
      </c>
      <c r="E43" s="42" t="str">
        <f t="array" ref="E43">IFERROR(INDEX(Lists!$B:$B,MATCH(E44,Lists!$A:$A,0)),"")</f>
        <v/>
      </c>
      <c r="F43" s="42" t="str">
        <f t="array" ref="F43">IFERROR(INDEX(Lists!$B:$B,MATCH(F44,Lists!$A:$A,0)),"")</f>
        <v/>
      </c>
      <c r="G43" s="42" t="str">
        <f t="array" ref="G43">IFERROR(INDEX(Lists!$B:$B,MATCH(G44,Lists!$A:$A,0)),"")</f>
        <v/>
      </c>
      <c r="H43" s="2"/>
      <c r="I43" s="43" t="str">
        <f>IF(A42="","","Week of "&amp;TEXT(A42-7,"MM/DD"))</f>
        <v>Week of 01/30</v>
      </c>
      <c r="J43" s="43" t="str">
        <f>IF(A42="","","Week of "&amp;TEXT(A42,"MM/DD"))</f>
        <v>Week of 02/06</v>
      </c>
      <c r="K43" s="2"/>
      <c r="L43" s="2"/>
      <c r="M43" s="2"/>
      <c r="N43" s="2"/>
      <c r="O43" s="2"/>
      <c r="P43" s="2"/>
      <c r="Q43" s="2"/>
      <c r="R43" s="2"/>
      <c r="S43" s="2"/>
      <c r="T43" s="2"/>
      <c r="U43" s="2"/>
      <c r="V43" s="2"/>
      <c r="W43" s="2"/>
      <c r="X43" s="2"/>
      <c r="Y43" s="2"/>
      <c r="Z43" s="2"/>
    </row>
    <row r="44" ht="22.5" customHeight="1">
      <c r="A44" s="42" t="str">
        <f t="array" ref="A44">IFERROR(INDEX(FinishedData!$B:$B,MATCH(A42,FinishedData!$A:$A,0)),"")</f>
        <v>Off</v>
      </c>
      <c r="B44" s="42" t="str">
        <f t="array" ref="B44">IFERROR(INDEX(FinishedData!$B:$B,MATCH(B42,FinishedData!$A:$A,0)),"")</f>
        <v>Gym</v>
      </c>
      <c r="C44" s="42" t="str">
        <f t="array" ref="C44">IFERROR(INDEX(FinishedData!$B:$B,MATCH(C42,FinishedData!$A:$A,0)),"")</f>
        <v>Practice</v>
      </c>
      <c r="D44" s="42" t="str">
        <f t="array" ref="D44">IFERROR(INDEX(FinishedData!$B:$B,MATCH(D42,FinishedData!$A:$A,0)),"")</f>
        <v>Practice</v>
      </c>
      <c r="E44" s="42" t="str">
        <f t="array" ref="E44">IFERROR(INDEX(FinishedData!$B:$B,MATCH(E42,FinishedData!$A:$A,0)),"")</f>
        <v>Game</v>
      </c>
      <c r="F44" s="42" t="str">
        <f t="array" ref="F44">IFERROR(INDEX(FinishedData!$B:$B,MATCH(F42,FinishedData!$A:$A,0)),"")</f>
        <v>Game</v>
      </c>
      <c r="G44" s="42" t="str">
        <f t="array" ref="G44">IFERROR(INDEX(FinishedData!$B:$B,MATCH(G42,FinishedData!$A:$A,0)),"")</f>
        <v>Off</v>
      </c>
      <c r="H44" s="2"/>
      <c r="I44" s="13">
        <f>IFERROR(IF(A42="","",IF(G42="",SUMIFS(FinishedData!$C:$C,FinishedData!$A:$A,"&gt;="&amp;MIN($A42:$G42)-7,FinishedData!$A:$A,"&lt;="&amp;MAX($A42:$G42)+(7-COUNT($A42:$G42)-7)),
SUMIFS(FinishedData!$C:$C,FinishedData!$A:$A,"&gt;="&amp;MIN($A42:$G42)-7,FinishedData!$A:$A,"&lt;="&amp;MAX($A42:$G42)-7))),"")</f>
        <v>3875</v>
      </c>
      <c r="J44" s="13">
        <f>IFERROR(IF(A42="","",SUMIFS(FinishedData!$C:$C,FinishedData!$A:$A,"&gt;="&amp;MIN($A42:$G42),FinishedData!$A:$A,"&lt;="&amp;MAX($A42:$G42))),"")</f>
        <v>4060</v>
      </c>
      <c r="K44" s="2"/>
      <c r="L44" s="2"/>
      <c r="M44" s="2"/>
      <c r="N44" s="2"/>
      <c r="O44" s="2"/>
      <c r="P44" s="2"/>
      <c r="Q44" s="2"/>
      <c r="R44" s="2"/>
      <c r="S44" s="2"/>
      <c r="T44" s="2"/>
      <c r="U44" s="2"/>
      <c r="V44" s="2"/>
      <c r="W44" s="2"/>
      <c r="X44" s="2"/>
      <c r="Y44" s="2"/>
      <c r="Z44" s="2"/>
    </row>
    <row r="45" ht="22.5" customHeight="1">
      <c r="A45" s="45" t="str">
        <f t="array" ref="A45">IFERROR(INDEX(FinishedData!$C:$C,MATCH(A42,FinishedData!$A:$A,0)),"")</f>
        <v/>
      </c>
      <c r="B45" s="45">
        <f t="array" ref="B45">IFERROR(INDEX(FinishedData!$C:$C,MATCH(B42,FinishedData!$A:$A,0)),"")</f>
        <v>885</v>
      </c>
      <c r="C45" s="45">
        <f t="array" ref="C45">IFERROR(INDEX(FinishedData!$C:$C,MATCH(C42,FinishedData!$A:$A,0)),"")</f>
        <v>505</v>
      </c>
      <c r="D45" s="45">
        <f t="array" ref="D45">IFERROR(INDEX(FinishedData!$C:$C,MATCH(D42,FinishedData!$A:$A,0)),"")</f>
        <v>930</v>
      </c>
      <c r="E45" s="45">
        <f t="array" ref="E45">IFERROR(INDEX(FinishedData!$C:$C,MATCH(E42,FinishedData!$A:$A,0)),"")</f>
        <v>810</v>
      </c>
      <c r="F45" s="45">
        <f t="array" ref="F45">IFERROR(INDEX(FinishedData!$C:$C,MATCH(F42,FinishedData!$A:$A,0)),"")</f>
        <v>930</v>
      </c>
      <c r="G45" s="45" t="str">
        <f t="array" ref="G45">IFERROR(INDEX(FinishedData!$C:$C,MATCH(G42,FinishedData!$A:$A,0)),"")</f>
        <v/>
      </c>
      <c r="H45" s="2"/>
      <c r="I45" s="46" t="str">
        <f>IF(A42="","","CHANGE")</f>
        <v>CHANGE</v>
      </c>
      <c r="J45" s="47">
        <f>IFERROR(IF(A42="","",(J44-I44)/I44),"")</f>
        <v>0.04774193548</v>
      </c>
      <c r="K45" s="2"/>
      <c r="L45" s="2"/>
      <c r="M45" s="2"/>
      <c r="N45" s="2"/>
      <c r="O45" s="2"/>
      <c r="P45" s="2"/>
      <c r="Q45" s="2"/>
      <c r="R45" s="2"/>
      <c r="S45" s="2"/>
      <c r="T45" s="2"/>
      <c r="U45" s="2"/>
      <c r="V45" s="2"/>
      <c r="W45" s="2"/>
      <c r="X45" s="2"/>
      <c r="Y45" s="2"/>
      <c r="Z45" s="2"/>
    </row>
    <row r="46" ht="22.5" customHeight="1">
      <c r="A46" s="49">
        <f>IF(G42&gt;=$D$3,"",G42+1)</f>
        <v>44605</v>
      </c>
      <c r="B46" s="49">
        <f t="shared" ref="B46:G46" si="11">IF(A46&gt;=$D$3,"",A46+1)</f>
        <v>44606</v>
      </c>
      <c r="C46" s="49">
        <f t="shared" si="11"/>
        <v>44607</v>
      </c>
      <c r="D46" s="49">
        <f t="shared" si="11"/>
        <v>44608</v>
      </c>
      <c r="E46" s="49">
        <f t="shared" si="11"/>
        <v>44609</v>
      </c>
      <c r="F46" s="49">
        <f t="shared" si="11"/>
        <v>44610</v>
      </c>
      <c r="G46" s="49">
        <f t="shared" si="11"/>
        <v>44611</v>
      </c>
      <c r="H46" s="2"/>
      <c r="I46" s="7"/>
      <c r="J46" s="7"/>
      <c r="K46" s="2"/>
      <c r="L46" s="2"/>
      <c r="M46" s="2"/>
      <c r="N46" s="2"/>
      <c r="O46" s="2"/>
      <c r="P46" s="2"/>
      <c r="Q46" s="2"/>
      <c r="R46" s="2"/>
      <c r="S46" s="2"/>
      <c r="T46" s="2"/>
      <c r="U46" s="2"/>
      <c r="V46" s="2"/>
      <c r="W46" s="2"/>
      <c r="X46" s="2"/>
      <c r="Y46" s="2"/>
      <c r="Z46" s="2"/>
    </row>
    <row r="47" ht="22.5" customHeight="1">
      <c r="A47" s="42" t="str">
        <f t="array" ref="A47">IFERROR(INDEX(Lists!$B:$B,MATCH(A48,Lists!$A:$A,0)),"")</f>
        <v/>
      </c>
      <c r="B47" s="42" t="str">
        <f t="array" ref="B47">IFERROR(INDEX(Lists!$B:$B,MATCH(B48,Lists!$A:$A,0)),"")</f>
        <v/>
      </c>
      <c r="C47" s="42" t="str">
        <f t="array" ref="C47">IFERROR(INDEX(Lists!$B:$B,MATCH(C48,Lists!$A:$A,0)),"")</f>
        <v/>
      </c>
      <c r="D47" s="42" t="str">
        <f t="array" ref="D47">IFERROR(INDEX(Lists!$B:$B,MATCH(D48,Lists!$A:$A,0)),"")</f>
        <v/>
      </c>
      <c r="E47" s="42" t="str">
        <f t="array" ref="E47">IFERROR(INDEX(Lists!$B:$B,MATCH(E48,Lists!$A:$A,0)),"")</f>
        <v/>
      </c>
      <c r="F47" s="42" t="str">
        <f t="array" ref="F47">IFERROR(INDEX(Lists!$B:$B,MATCH(F48,Lists!$A:$A,0)),"")</f>
        <v/>
      </c>
      <c r="G47" s="42" t="str">
        <f t="array" ref="G47">IFERROR(INDEX(Lists!$B:$B,MATCH(G48,Lists!$A:$A,0)),"")</f>
        <v/>
      </c>
      <c r="H47" s="2"/>
      <c r="I47" s="43" t="str">
        <f>IF(A46="","","Week of "&amp;TEXT(A46-7,"MM/DD"))</f>
        <v>Week of 02/06</v>
      </c>
      <c r="J47" s="43" t="str">
        <f>IF(A46="","","Week of "&amp;TEXT(A46,"MM/DD"))</f>
        <v>Week of 02/13</v>
      </c>
      <c r="K47" s="2"/>
      <c r="L47" s="2"/>
      <c r="M47" s="2"/>
      <c r="N47" s="2"/>
      <c r="O47" s="2"/>
      <c r="P47" s="2"/>
      <c r="Q47" s="2"/>
      <c r="R47" s="2"/>
      <c r="S47" s="2"/>
      <c r="T47" s="2"/>
      <c r="U47" s="2"/>
      <c r="V47" s="2"/>
      <c r="W47" s="2"/>
      <c r="X47" s="2"/>
      <c r="Y47" s="2"/>
      <c r="Z47" s="2"/>
    </row>
    <row r="48" ht="22.5" customHeight="1">
      <c r="A48" s="42" t="str">
        <f t="array" ref="A48">IFERROR(INDEX(FinishedData!$B:$B,MATCH(A46,FinishedData!$A:$A,0)),"")</f>
        <v>Practice</v>
      </c>
      <c r="B48" s="42" t="str">
        <f t="array" ref="B48">IFERROR(INDEX(FinishedData!$B:$B,MATCH(B46,FinishedData!$A:$A,0)),"")</f>
        <v>Practice</v>
      </c>
      <c r="C48" s="42" t="str">
        <f t="array" ref="C48">IFERROR(INDEX(FinishedData!$B:$B,MATCH(C46,FinishedData!$A:$A,0)),"")</f>
        <v>Gym</v>
      </c>
      <c r="D48" s="42" t="str">
        <f t="array" ref="D48">IFERROR(INDEX(FinishedData!$B:$B,MATCH(D46,FinishedData!$A:$A,0)),"")</f>
        <v>Practice</v>
      </c>
      <c r="E48" s="42" t="str">
        <f t="array" ref="E48">IFERROR(INDEX(FinishedData!$B:$B,MATCH(E46,FinishedData!$A:$A,0)),"")</f>
        <v>Practice</v>
      </c>
      <c r="F48" s="42" t="str">
        <f t="array" ref="F48">IFERROR(INDEX(FinishedData!$B:$B,MATCH(F46,FinishedData!$A:$A,0)),"")</f>
        <v>Game</v>
      </c>
      <c r="G48" s="42" t="str">
        <f t="array" ref="G48">IFERROR(INDEX(FinishedData!$B:$B,MATCH(G46,FinishedData!$A:$A,0)),"")</f>
        <v>Practice</v>
      </c>
      <c r="H48" s="2"/>
      <c r="I48" s="13">
        <f>IFERROR(IF(A46="","",IF(G46="",SUMIFS(FinishedData!$C:$C,FinishedData!$A:$A,"&gt;="&amp;MIN($A46:$G46)-7,FinishedData!$A:$A,"&lt;="&amp;MAX($A46:$G46)+(7-COUNT($A46:$G46)-7)),
SUMIFS(FinishedData!$C:$C,FinishedData!$A:$A,"&gt;="&amp;MIN($A46:$G46)-7,FinishedData!$A:$A,"&lt;="&amp;MAX($A46:$G46)-7))),"")</f>
        <v>4060</v>
      </c>
      <c r="J48" s="13">
        <f>IFERROR(IF(A46="","",SUMIFS(FinishedData!$C:$C,FinishedData!$A:$A,"&gt;="&amp;MIN($A46:$G46),FinishedData!$A:$A,"&lt;="&amp;MAX($A46:$G46))),"")</f>
        <v>5290</v>
      </c>
      <c r="K48" s="2"/>
      <c r="L48" s="2"/>
      <c r="M48" s="2"/>
      <c r="N48" s="2"/>
      <c r="O48" s="2"/>
      <c r="P48" s="2"/>
      <c r="Q48" s="2"/>
      <c r="R48" s="2"/>
      <c r="S48" s="2"/>
      <c r="T48" s="2"/>
      <c r="U48" s="2"/>
      <c r="V48" s="2"/>
      <c r="W48" s="2"/>
      <c r="X48" s="2"/>
      <c r="Y48" s="2"/>
      <c r="Z48" s="2"/>
    </row>
    <row r="49" ht="22.5" customHeight="1">
      <c r="A49" s="45">
        <f t="array" ref="A49">IFERROR(INDEX(FinishedData!$C:$C,MATCH(A46,FinishedData!$A:$A,0)),"")</f>
        <v>665</v>
      </c>
      <c r="B49" s="45">
        <f t="array" ref="B49">IFERROR(INDEX(FinishedData!$C:$C,MATCH(B46,FinishedData!$A:$A,0)),"")</f>
        <v>685</v>
      </c>
      <c r="C49" s="45">
        <f t="array" ref="C49">IFERROR(INDEX(FinishedData!$C:$C,MATCH(C46,FinishedData!$A:$A,0)),"")</f>
        <v>940</v>
      </c>
      <c r="D49" s="45">
        <f t="array" ref="D49">IFERROR(INDEX(FinishedData!$C:$C,MATCH(D46,FinishedData!$A:$A,0)),"")</f>
        <v>680</v>
      </c>
      <c r="E49" s="45">
        <f t="array" ref="E49">IFERROR(INDEX(FinishedData!$C:$C,MATCH(E46,FinishedData!$A:$A,0)),"")</f>
        <v>600</v>
      </c>
      <c r="F49" s="45">
        <f t="array" ref="F49">IFERROR(INDEX(FinishedData!$C:$C,MATCH(F46,FinishedData!$A:$A,0)),"")</f>
        <v>955</v>
      </c>
      <c r="G49" s="45">
        <f t="array" ref="G49">IFERROR(INDEX(FinishedData!$C:$C,MATCH(G46,FinishedData!$A:$A,0)),"")</f>
        <v>765</v>
      </c>
      <c r="H49" s="2"/>
      <c r="I49" s="46" t="str">
        <f>IF(A46="","","CHANGE")</f>
        <v>CHANGE</v>
      </c>
      <c r="J49" s="47">
        <f>IFERROR(IF(A46="","",(J48-I48)/I48),"")</f>
        <v>0.302955665</v>
      </c>
      <c r="K49" s="2"/>
      <c r="L49" s="2"/>
      <c r="M49" s="2"/>
      <c r="N49" s="2"/>
      <c r="O49" s="2"/>
      <c r="P49" s="2"/>
      <c r="Q49" s="2"/>
      <c r="R49" s="2"/>
      <c r="S49" s="2"/>
      <c r="T49" s="2"/>
      <c r="U49" s="2"/>
      <c r="V49" s="2"/>
      <c r="W49" s="2"/>
      <c r="X49" s="2"/>
      <c r="Y49" s="2"/>
      <c r="Z49" s="2"/>
    </row>
    <row r="50" ht="22.5" customHeight="1">
      <c r="A50" s="49">
        <f>IF(G46&gt;=$D$3,"",G46+1)</f>
        <v>44612</v>
      </c>
      <c r="B50" s="49">
        <f t="shared" ref="B50:G50" si="12">IF(A50&gt;=$D$3,"",A50+1)</f>
        <v>44613</v>
      </c>
      <c r="C50" s="49">
        <f t="shared" si="12"/>
        <v>44614</v>
      </c>
      <c r="D50" s="49">
        <f t="shared" si="12"/>
        <v>44615</v>
      </c>
      <c r="E50" s="49">
        <f t="shared" si="12"/>
        <v>44616</v>
      </c>
      <c r="F50" s="49">
        <f t="shared" si="12"/>
        <v>44617</v>
      </c>
      <c r="G50" s="49">
        <f t="shared" si="12"/>
        <v>44618</v>
      </c>
      <c r="H50" s="2"/>
      <c r="I50" s="7"/>
      <c r="J50" s="7"/>
      <c r="K50" s="2"/>
      <c r="L50" s="2"/>
      <c r="M50" s="2"/>
      <c r="N50" s="2"/>
      <c r="O50" s="2"/>
      <c r="P50" s="2"/>
      <c r="Q50" s="2"/>
      <c r="R50" s="2"/>
      <c r="S50" s="2"/>
      <c r="T50" s="2"/>
      <c r="U50" s="2"/>
      <c r="V50" s="2"/>
      <c r="W50" s="2"/>
      <c r="X50" s="2"/>
      <c r="Y50" s="2"/>
      <c r="Z50" s="2"/>
    </row>
    <row r="51" ht="22.5" customHeight="1">
      <c r="A51" s="42" t="str">
        <f t="array" ref="A51">IFERROR(INDEX(Lists!$B:$B,MATCH(A52,Lists!$A:$A,0)),"")</f>
        <v/>
      </c>
      <c r="B51" s="42" t="str">
        <f t="array" ref="B51">IFERROR(INDEX(Lists!$B:$B,MATCH(B52,Lists!$A:$A,0)),"")</f>
        <v/>
      </c>
      <c r="C51" s="42" t="str">
        <f t="array" ref="C51">IFERROR(INDEX(Lists!$B:$B,MATCH(C52,Lists!$A:$A,0)),"")</f>
        <v/>
      </c>
      <c r="D51" s="42" t="str">
        <f t="array" ref="D51">IFERROR(INDEX(Lists!$B:$B,MATCH(D52,Lists!$A:$A,0)),"")</f>
        <v/>
      </c>
      <c r="E51" s="42" t="str">
        <f t="array" ref="E51">IFERROR(INDEX(Lists!$B:$B,MATCH(E52,Lists!$A:$A,0)),"")</f>
        <v/>
      </c>
      <c r="F51" s="42" t="str">
        <f t="array" ref="F51">IFERROR(INDEX(Lists!$B:$B,MATCH(F52,Lists!$A:$A,0)),"")</f>
        <v/>
      </c>
      <c r="G51" s="42" t="str">
        <f t="array" ref="G51">IFERROR(INDEX(Lists!$B:$B,MATCH(G52,Lists!$A:$A,0)),"")</f>
        <v/>
      </c>
      <c r="H51" s="2"/>
      <c r="I51" s="43" t="str">
        <f>IF(A50="","","Week of "&amp;TEXT(A50-7,"MM/DD"))</f>
        <v>Week of 02/13</v>
      </c>
      <c r="J51" s="43" t="str">
        <f>IF(A50="","","Week of "&amp;TEXT(A50,"MM/DD"))</f>
        <v>Week of 02/20</v>
      </c>
      <c r="K51" s="2"/>
      <c r="L51" s="2"/>
      <c r="M51" s="2"/>
      <c r="N51" s="2"/>
      <c r="O51" s="2"/>
      <c r="P51" s="2"/>
      <c r="Q51" s="2"/>
      <c r="R51" s="2"/>
      <c r="S51" s="2"/>
      <c r="T51" s="2"/>
      <c r="U51" s="2"/>
      <c r="V51" s="2"/>
      <c r="W51" s="2"/>
      <c r="X51" s="2"/>
      <c r="Y51" s="2"/>
      <c r="Z51" s="2"/>
    </row>
    <row r="52" ht="22.5" customHeight="1">
      <c r="A52" s="42" t="str">
        <f t="array" ref="A52">IFERROR(INDEX(FinishedData!$B:$B,MATCH(A50,FinishedData!$A:$A,0)),"")</f>
        <v>Game</v>
      </c>
      <c r="B52" s="42" t="str">
        <f t="array" ref="B52">IFERROR(INDEX(FinishedData!$B:$B,MATCH(B50,FinishedData!$A:$A,0)),"")</f>
        <v>Off</v>
      </c>
      <c r="C52" s="42" t="str">
        <f t="array" ref="C52">IFERROR(INDEX(FinishedData!$B:$B,MATCH(C50,FinishedData!$A:$A,0)),"")</f>
        <v>Practice</v>
      </c>
      <c r="D52" s="42" t="str">
        <f t="array" ref="D52">IFERROR(INDEX(FinishedData!$B:$B,MATCH(D50,FinishedData!$A:$A,0)),"")</f>
        <v>Gym</v>
      </c>
      <c r="E52" s="42" t="str">
        <f t="array" ref="E52">IFERROR(INDEX(FinishedData!$B:$B,MATCH(E50,FinishedData!$A:$A,0)),"")</f>
        <v>Practice</v>
      </c>
      <c r="F52" s="42" t="str">
        <f t="array" ref="F52">IFERROR(INDEX(FinishedData!$B:$B,MATCH(F50,FinishedData!$A:$A,0)),"")</f>
        <v>Practice</v>
      </c>
      <c r="G52" s="42" t="str">
        <f t="array" ref="G52">IFERROR(INDEX(FinishedData!$B:$B,MATCH(G50,FinishedData!$A:$A,0)),"")</f>
        <v>Practice</v>
      </c>
      <c r="H52" s="2"/>
      <c r="I52" s="13">
        <f>IFERROR(IF(A50="","",IF(G50="",SUMIFS(FinishedData!$C:$C,FinishedData!$A:$A,"&gt;="&amp;MIN($A50:$G50)-7,FinishedData!$A:$A,"&lt;="&amp;MAX($A50:$G50)+(7-COUNT($A50:$G50)-7)),
SUMIFS(FinishedData!$C:$C,FinishedData!$A:$A,"&gt;="&amp;MIN($A50:$G50)-7,FinishedData!$A:$A,"&lt;="&amp;MAX($A50:$G50)-7))),"")</f>
        <v>5290</v>
      </c>
      <c r="J52" s="13">
        <f>IFERROR(IF(A50="","",SUMIFS(FinishedData!$C:$C,FinishedData!$A:$A,"&gt;="&amp;MIN($A50:$G50),FinishedData!$A:$A,"&lt;="&amp;MAX($A50:$G50))),"")</f>
        <v>4675</v>
      </c>
      <c r="K52" s="2"/>
      <c r="L52" s="2"/>
      <c r="M52" s="2"/>
      <c r="N52" s="2"/>
      <c r="O52" s="2"/>
      <c r="P52" s="2"/>
      <c r="Q52" s="2"/>
      <c r="R52" s="2"/>
      <c r="S52" s="2"/>
      <c r="T52" s="2"/>
      <c r="U52" s="2"/>
      <c r="V52" s="2"/>
      <c r="W52" s="2"/>
      <c r="X52" s="2"/>
      <c r="Y52" s="2"/>
      <c r="Z52" s="2"/>
    </row>
    <row r="53" ht="22.5" customHeight="1">
      <c r="A53" s="45">
        <f t="array" ref="A53">IFERROR(INDEX(FinishedData!$C:$C,MATCH(A50,FinishedData!$A:$A,0)),"")</f>
        <v>745</v>
      </c>
      <c r="B53" s="45" t="str">
        <f t="array" ref="B53">IFERROR(INDEX(FinishedData!$C:$C,MATCH(B50,FinishedData!$A:$A,0)),"")</f>
        <v/>
      </c>
      <c r="C53" s="45">
        <f t="array" ref="C53">IFERROR(INDEX(FinishedData!$C:$C,MATCH(C50,FinishedData!$A:$A,0)),"")</f>
        <v>575</v>
      </c>
      <c r="D53" s="45">
        <f t="array" ref="D53">IFERROR(INDEX(FinishedData!$C:$C,MATCH(D50,FinishedData!$A:$A,0)),"")</f>
        <v>940</v>
      </c>
      <c r="E53" s="45">
        <f t="array" ref="E53">IFERROR(INDEX(FinishedData!$C:$C,MATCH(E50,FinishedData!$A:$A,0)),"")</f>
        <v>920</v>
      </c>
      <c r="F53" s="45">
        <f t="array" ref="F53">IFERROR(INDEX(FinishedData!$C:$C,MATCH(F50,FinishedData!$A:$A,0)),"")</f>
        <v>825</v>
      </c>
      <c r="G53" s="45">
        <f t="array" ref="G53">IFERROR(INDEX(FinishedData!$C:$C,MATCH(G50,FinishedData!$A:$A,0)),"")</f>
        <v>670</v>
      </c>
      <c r="H53" s="2"/>
      <c r="I53" s="46" t="str">
        <f>IF(A50="","","CHANGE")</f>
        <v>CHANGE</v>
      </c>
      <c r="J53" s="47">
        <f>IFERROR(IF(A50="","",(J52-I52)/I52),"")</f>
        <v>-0.1162570888</v>
      </c>
      <c r="K53" s="2"/>
      <c r="L53" s="2"/>
      <c r="M53" s="2"/>
      <c r="N53" s="2"/>
      <c r="O53" s="2"/>
      <c r="P53" s="2"/>
      <c r="Q53" s="2"/>
      <c r="R53" s="2"/>
      <c r="S53" s="2"/>
      <c r="T53" s="2"/>
      <c r="U53" s="2"/>
      <c r="V53" s="2"/>
      <c r="W53" s="2"/>
      <c r="X53" s="2"/>
      <c r="Y53" s="2"/>
      <c r="Z53" s="2"/>
    </row>
    <row r="54" ht="22.5" customHeight="1">
      <c r="A54" s="49">
        <f>IF(G50&gt;=$D$3,"",G50+1)</f>
        <v>44619</v>
      </c>
      <c r="B54" s="49">
        <f t="shared" ref="B54:G54" si="13">IF(A54&gt;=$D$3,"",A54+1)</f>
        <v>44620</v>
      </c>
      <c r="C54" s="49">
        <f t="shared" si="13"/>
        <v>44621</v>
      </c>
      <c r="D54" s="49">
        <f t="shared" si="13"/>
        <v>44622</v>
      </c>
      <c r="E54" s="49">
        <f t="shared" si="13"/>
        <v>44623</v>
      </c>
      <c r="F54" s="49">
        <f t="shared" si="13"/>
        <v>44624</v>
      </c>
      <c r="G54" s="49">
        <f t="shared" si="13"/>
        <v>44625</v>
      </c>
      <c r="H54" s="2"/>
      <c r="I54" s="2"/>
      <c r="J54" s="2"/>
      <c r="K54" s="2"/>
      <c r="L54" s="2"/>
      <c r="M54" s="2"/>
      <c r="N54" s="2"/>
      <c r="O54" s="2"/>
      <c r="P54" s="2"/>
      <c r="Q54" s="2"/>
      <c r="R54" s="2"/>
      <c r="S54" s="2"/>
      <c r="T54" s="2"/>
      <c r="U54" s="2"/>
      <c r="V54" s="2"/>
      <c r="W54" s="2"/>
      <c r="X54" s="2"/>
      <c r="Y54" s="2"/>
      <c r="Z54" s="2"/>
    </row>
    <row r="55" ht="22.5" customHeight="1">
      <c r="A55" s="42" t="str">
        <f t="array" ref="A55">IFERROR(INDEX(Lists!$B:$B,MATCH(A56,Lists!$A:$A,0)),"")</f>
        <v/>
      </c>
      <c r="B55" s="42" t="str">
        <f t="array" ref="B55">IFERROR(INDEX(Lists!$B:$B,MATCH(B56,Lists!$A:$A,0)),"")</f>
        <v/>
      </c>
      <c r="C55" s="42" t="str">
        <f t="array" ref="C55">IFERROR(INDEX(Lists!$B:$B,MATCH(C56,Lists!$A:$A,0)),"")</f>
        <v/>
      </c>
      <c r="D55" s="42" t="str">
        <f t="array" ref="D55">IFERROR(INDEX(Lists!$B:$B,MATCH(D56,Lists!$A:$A,0)),"")</f>
        <v/>
      </c>
      <c r="E55" s="42" t="str">
        <f t="array" ref="E55">IFERROR(INDEX(Lists!$B:$B,MATCH(E56,Lists!$A:$A,0)),"")</f>
        <v/>
      </c>
      <c r="F55" s="42" t="str">
        <f t="array" ref="F55">IFERROR(INDEX(Lists!$B:$B,MATCH(F56,Lists!$A:$A,0)),"")</f>
        <v/>
      </c>
      <c r="G55" s="42" t="str">
        <f t="array" ref="G55">IFERROR(INDEX(Lists!$B:$B,MATCH(G56,Lists!$A:$A,0)),"")</f>
        <v/>
      </c>
      <c r="H55" s="2"/>
      <c r="I55" s="43" t="str">
        <f>IF(A54="","","Week of "&amp;TEXT(A54-7,"MM/DD"))</f>
        <v>Week of 02/20</v>
      </c>
      <c r="J55" s="43" t="str">
        <f>IF(A54="","","Week of "&amp;TEXT(A54,"MM/DD"))</f>
        <v>Week of 02/27</v>
      </c>
      <c r="K55" s="2"/>
      <c r="L55" s="2"/>
      <c r="M55" s="2"/>
      <c r="N55" s="2"/>
      <c r="O55" s="2"/>
      <c r="P55" s="2"/>
      <c r="Q55" s="2"/>
      <c r="R55" s="2"/>
      <c r="S55" s="2"/>
      <c r="T55" s="2"/>
      <c r="U55" s="2"/>
      <c r="V55" s="2"/>
      <c r="W55" s="2"/>
      <c r="X55" s="2"/>
      <c r="Y55" s="2"/>
      <c r="Z55" s="2"/>
    </row>
    <row r="56" ht="22.5" customHeight="1">
      <c r="A56" s="42" t="str">
        <f t="array" ref="A56">IFERROR(INDEX(FinishedData!$B:$B,MATCH(A54,FinishedData!$A:$A,0)),"")</f>
        <v>Game</v>
      </c>
      <c r="B56" s="42" t="str">
        <f t="array" ref="B56">IFERROR(INDEX(FinishedData!$B:$B,MATCH(B54,FinishedData!$A:$A,0)),"")</f>
        <v>Off</v>
      </c>
      <c r="C56" s="42" t="str">
        <f t="array" ref="C56">IFERROR(INDEX(FinishedData!$B:$B,MATCH(C54,FinishedData!$A:$A,0)),"")</f>
        <v>Practice</v>
      </c>
      <c r="D56" s="42" t="str">
        <f t="array" ref="D56">IFERROR(INDEX(FinishedData!$B:$B,MATCH(D54,FinishedData!$A:$A,0)),"")</f>
        <v>Game</v>
      </c>
      <c r="E56" s="42" t="str">
        <f t="array" ref="E56">IFERROR(INDEX(FinishedData!$B:$B,MATCH(E54,FinishedData!$A:$A,0)),"")</f>
        <v>Practice</v>
      </c>
      <c r="F56" s="42" t="str">
        <f t="array" ref="F56">IFERROR(INDEX(FinishedData!$B:$B,MATCH(F54,FinishedData!$A:$A,0)),"")</f>
        <v>Practice</v>
      </c>
      <c r="G56" s="42" t="str">
        <f t="array" ref="G56">IFERROR(INDEX(FinishedData!$B:$B,MATCH(G54,FinishedData!$A:$A,0)),"")</f>
        <v>Game</v>
      </c>
      <c r="H56" s="2"/>
      <c r="I56" s="13">
        <f>IFERROR(IF(A54="","",IF(G54="",SUMIFS(FinishedData!$C:$C,FinishedData!$A:$A,"&gt;="&amp;MIN($A54:$G54)-7,FinishedData!$A:$A,"&lt;="&amp;MAX($A54:$G54)+(7-COUNT($A54:$G54)-7)),
SUMIFS(FinishedData!$C:$C,FinishedData!$A:$A,"&gt;="&amp;MIN($A54:$G54)-7,FinishedData!$A:$A,"&lt;="&amp;MAX($A54:$G54)-7))),"")</f>
        <v>4675</v>
      </c>
      <c r="J56" s="13">
        <f>IFERROR(IF(A54="","",SUMIFS(FinishedData!$C:$C,FinishedData!$A:$A,"&gt;="&amp;MIN($A54:$G54),FinishedData!$A:$A,"&lt;="&amp;MAX($A54:$G54))),"")</f>
        <v>4510</v>
      </c>
      <c r="K56" s="2"/>
      <c r="L56" s="2"/>
      <c r="M56" s="2"/>
      <c r="N56" s="2"/>
      <c r="O56" s="2"/>
      <c r="P56" s="2"/>
      <c r="Q56" s="2"/>
      <c r="R56" s="2"/>
      <c r="S56" s="2"/>
      <c r="T56" s="2"/>
      <c r="U56" s="2"/>
      <c r="V56" s="2"/>
      <c r="W56" s="2"/>
      <c r="X56" s="2"/>
      <c r="Y56" s="2"/>
      <c r="Z56" s="2"/>
    </row>
    <row r="57" ht="22.5" customHeight="1">
      <c r="A57" s="45">
        <f t="array" ref="A57">IFERROR(INDEX(FinishedData!$C:$C,MATCH(A54,FinishedData!$A:$A,0)),"")</f>
        <v>830</v>
      </c>
      <c r="B57" s="45" t="str">
        <f t="array" ref="B57">IFERROR(INDEX(FinishedData!$C:$C,MATCH(B54,FinishedData!$A:$A,0)),"")</f>
        <v/>
      </c>
      <c r="C57" s="45">
        <f t="array" ref="C57">IFERROR(INDEX(FinishedData!$C:$C,MATCH(C54,FinishedData!$A:$A,0)),"")</f>
        <v>500</v>
      </c>
      <c r="D57" s="45">
        <f t="array" ref="D57">IFERROR(INDEX(FinishedData!$C:$C,MATCH(D54,FinishedData!$A:$A,0)),"")</f>
        <v>970</v>
      </c>
      <c r="E57" s="45">
        <f t="array" ref="E57">IFERROR(INDEX(FinishedData!$C:$C,MATCH(E54,FinishedData!$A:$A,0)),"")</f>
        <v>575</v>
      </c>
      <c r="F57" s="45">
        <f t="array" ref="F57">IFERROR(INDEX(FinishedData!$C:$C,MATCH(F54,FinishedData!$A:$A,0)),"")</f>
        <v>885</v>
      </c>
      <c r="G57" s="45">
        <f t="array" ref="G57">IFERROR(INDEX(FinishedData!$C:$C,MATCH(G54,FinishedData!$A:$A,0)),"")</f>
        <v>750</v>
      </c>
      <c r="H57" s="2"/>
      <c r="I57" s="46" t="str">
        <f>IF(A54="","","CHANGE")</f>
        <v>CHANGE</v>
      </c>
      <c r="J57" s="47">
        <f>IFERROR(IF(A54="","",(J56-I56)/I56),"")</f>
        <v>-0.03529411765</v>
      </c>
      <c r="K57" s="2"/>
      <c r="L57" s="2"/>
      <c r="M57" s="2"/>
      <c r="N57" s="2"/>
      <c r="O57" s="2"/>
      <c r="P57" s="2"/>
      <c r="Q57" s="2"/>
      <c r="R57" s="2"/>
      <c r="S57" s="2"/>
      <c r="T57" s="2"/>
      <c r="U57" s="2"/>
      <c r="V57" s="2"/>
      <c r="W57" s="2"/>
      <c r="X57" s="2"/>
      <c r="Y57" s="2"/>
      <c r="Z57" s="2"/>
    </row>
    <row r="58" ht="22.5" customHeight="1">
      <c r="A58" s="49">
        <f>IF(G54&gt;=$D$3,"",G54+1)</f>
        <v>44626</v>
      </c>
      <c r="B58" s="49">
        <f t="shared" ref="B58:G58" si="14">IF(A58&gt;=$D$3,"",A58+1)</f>
        <v>44627</v>
      </c>
      <c r="C58" s="49">
        <f t="shared" si="14"/>
        <v>44628</v>
      </c>
      <c r="D58" s="49">
        <f t="shared" si="14"/>
        <v>44629</v>
      </c>
      <c r="E58" s="49">
        <f t="shared" si="14"/>
        <v>44630</v>
      </c>
      <c r="F58" s="49">
        <f t="shared" si="14"/>
        <v>44631</v>
      </c>
      <c r="G58" s="49">
        <f t="shared" si="14"/>
        <v>44632</v>
      </c>
      <c r="H58" s="2"/>
      <c r="I58" s="7"/>
      <c r="J58" s="7"/>
      <c r="K58" s="2"/>
      <c r="L58" s="2"/>
      <c r="M58" s="2"/>
      <c r="N58" s="2"/>
      <c r="O58" s="2"/>
      <c r="P58" s="2"/>
      <c r="Q58" s="2"/>
      <c r="R58" s="2"/>
      <c r="S58" s="2"/>
      <c r="T58" s="2"/>
      <c r="U58" s="2"/>
      <c r="V58" s="2"/>
      <c r="W58" s="2"/>
      <c r="X58" s="2"/>
      <c r="Y58" s="2"/>
      <c r="Z58" s="2"/>
    </row>
    <row r="59" ht="22.5" customHeight="1">
      <c r="A59" s="42" t="str">
        <f t="array" ref="A59">IFERROR(INDEX(Lists!$B:$B,MATCH(A60,Lists!$A:$A,0)),"")</f>
        <v/>
      </c>
      <c r="B59" s="42" t="str">
        <f t="array" ref="B59">IFERROR(INDEX(Lists!$B:$B,MATCH(B60,Lists!$A:$A,0)),"")</f>
        <v/>
      </c>
      <c r="C59" s="42" t="str">
        <f t="array" ref="C59">IFERROR(INDEX(Lists!$B:$B,MATCH(C60,Lists!$A:$A,0)),"")</f>
        <v/>
      </c>
      <c r="D59" s="42" t="str">
        <f t="array" ref="D59">IFERROR(INDEX(Lists!$B:$B,MATCH(D60,Lists!$A:$A,0)),"")</f>
        <v/>
      </c>
      <c r="E59" s="42" t="str">
        <f t="array" ref="E59">IFERROR(INDEX(Lists!$B:$B,MATCH(E60,Lists!$A:$A,0)),"")</f>
        <v/>
      </c>
      <c r="F59" s="42" t="str">
        <f t="array" ref="F59">IFERROR(INDEX(Lists!$B:$B,MATCH(F60,Lists!$A:$A,0)),"")</f>
        <v/>
      </c>
      <c r="G59" s="42" t="str">
        <f t="array" ref="G59">IFERROR(INDEX(Lists!$B:$B,MATCH(G60,Lists!$A:$A,0)),"")</f>
        <v/>
      </c>
      <c r="H59" s="2"/>
      <c r="I59" s="43" t="str">
        <f>IF(A58="","","Week of "&amp;TEXT(A58-7,"MM/DD"))</f>
        <v>Week of 02/27</v>
      </c>
      <c r="J59" s="43" t="str">
        <f>IF(A58="","","Week of "&amp;TEXT(A58,"MM/DD"))</f>
        <v>Week of 03/06</v>
      </c>
      <c r="K59" s="2"/>
      <c r="L59" s="2"/>
      <c r="M59" s="2"/>
      <c r="N59" s="2"/>
      <c r="O59" s="2"/>
      <c r="P59" s="2"/>
      <c r="Q59" s="2"/>
      <c r="R59" s="2"/>
      <c r="S59" s="2"/>
      <c r="T59" s="2"/>
      <c r="U59" s="2"/>
      <c r="V59" s="2"/>
      <c r="W59" s="2"/>
      <c r="X59" s="2"/>
      <c r="Y59" s="2"/>
      <c r="Z59" s="2"/>
    </row>
    <row r="60" ht="22.5" customHeight="1">
      <c r="A60" s="42" t="str">
        <f t="array" ref="A60">IFERROR(INDEX(FinishedData!$B:$B,MATCH(A58,FinishedData!$A:$A,0)),"")</f>
        <v>Practice</v>
      </c>
      <c r="B60" s="42" t="str">
        <f t="array" ref="B60">IFERROR(INDEX(FinishedData!$B:$B,MATCH(B58,FinishedData!$A:$A,0)),"")</f>
        <v>Gym</v>
      </c>
      <c r="C60" s="42" t="str">
        <f t="array" ref="C60">IFERROR(INDEX(FinishedData!$B:$B,MATCH(C58,FinishedData!$A:$A,0)),"")</f>
        <v>Off</v>
      </c>
      <c r="D60" s="42" t="str">
        <f t="array" ref="D60">IFERROR(INDEX(FinishedData!$B:$B,MATCH(D58,FinishedData!$A:$A,0)),"")</f>
        <v>Practice</v>
      </c>
      <c r="E60" s="42" t="str">
        <f t="array" ref="E60">IFERROR(INDEX(FinishedData!$B:$B,MATCH(E58,FinishedData!$A:$A,0)),"")</f>
        <v>Practice</v>
      </c>
      <c r="F60" s="42" t="str">
        <f t="array" ref="F60">IFERROR(INDEX(FinishedData!$B:$B,MATCH(F58,FinishedData!$A:$A,0)),"")</f>
        <v>Game</v>
      </c>
      <c r="G60" s="42" t="str">
        <f t="array" ref="G60">IFERROR(INDEX(FinishedData!$B:$B,MATCH(G58,FinishedData!$A:$A,0)),"")</f>
        <v>Game</v>
      </c>
      <c r="H60" s="2"/>
      <c r="I60" s="13">
        <f>IFERROR(IF(A58="","",IF(G58="",SUMIFS(FinishedData!$C:$C,FinishedData!$A:$A,"&gt;="&amp;MIN($A58:$G58)-7,FinishedData!$A:$A,"&lt;="&amp;MAX($A58:$G58)+(7-COUNT($A58:$G58)-7)),
SUMIFS(FinishedData!$C:$C,FinishedData!$A:$A,"&gt;="&amp;MIN($A58:$G58)-7,FinishedData!$A:$A,"&lt;="&amp;MAX($A58:$G58)-7))),"")</f>
        <v>4510</v>
      </c>
      <c r="J60" s="13">
        <f>IFERROR(IF(A58="","",SUMIFS(FinishedData!$C:$C,FinishedData!$A:$A,"&gt;="&amp;MIN($A58:$G58),FinishedData!$A:$A,"&lt;="&amp;MAX($A58:$G58))),"")</f>
        <v>4370</v>
      </c>
      <c r="K60" s="2"/>
      <c r="L60" s="2"/>
      <c r="M60" s="2"/>
      <c r="N60" s="2"/>
      <c r="O60" s="2"/>
      <c r="P60" s="2"/>
      <c r="Q60" s="2"/>
      <c r="R60" s="2"/>
      <c r="S60" s="2"/>
      <c r="T60" s="2"/>
      <c r="U60" s="2"/>
      <c r="V60" s="2"/>
      <c r="W60" s="2"/>
      <c r="X60" s="2"/>
      <c r="Y60" s="2"/>
      <c r="Z60" s="2"/>
    </row>
    <row r="61" ht="22.5" customHeight="1">
      <c r="A61" s="45">
        <f t="array" ref="A61">IFERROR(INDEX(FinishedData!$C:$C,MATCH(A58,FinishedData!$A:$A,0)),"")</f>
        <v>635</v>
      </c>
      <c r="B61" s="45">
        <f t="array" ref="B61">IFERROR(INDEX(FinishedData!$C:$C,MATCH(B58,FinishedData!$A:$A,0)),"")</f>
        <v>595</v>
      </c>
      <c r="C61" s="45" t="str">
        <f t="array" ref="C61">IFERROR(INDEX(FinishedData!$C:$C,MATCH(C58,FinishedData!$A:$A,0)),"")</f>
        <v/>
      </c>
      <c r="D61" s="45">
        <f t="array" ref="D61">IFERROR(INDEX(FinishedData!$C:$C,MATCH(D58,FinishedData!$A:$A,0)),"")</f>
        <v>910</v>
      </c>
      <c r="E61" s="45">
        <f t="array" ref="E61">IFERROR(INDEX(FinishedData!$C:$C,MATCH(E58,FinishedData!$A:$A,0)),"")</f>
        <v>585</v>
      </c>
      <c r="F61" s="45">
        <f t="array" ref="F61">IFERROR(INDEX(FinishedData!$C:$C,MATCH(F58,FinishedData!$A:$A,0)),"")</f>
        <v>775</v>
      </c>
      <c r="G61" s="45">
        <f t="array" ref="G61">IFERROR(INDEX(FinishedData!$C:$C,MATCH(G58,FinishedData!$A:$A,0)),"")</f>
        <v>870</v>
      </c>
      <c r="H61" s="2"/>
      <c r="I61" s="46" t="str">
        <f>IF(A58="","","CHANGE")</f>
        <v>CHANGE</v>
      </c>
      <c r="J61" s="47">
        <f>IFERROR(IF(A58="","",(J60-I60)/I60),"")</f>
        <v>-0.0310421286</v>
      </c>
      <c r="K61" s="2"/>
      <c r="L61" s="2"/>
      <c r="M61" s="2"/>
      <c r="N61" s="2"/>
      <c r="O61" s="2"/>
      <c r="P61" s="2"/>
      <c r="Q61" s="2"/>
      <c r="R61" s="2"/>
      <c r="S61" s="2"/>
      <c r="T61" s="2"/>
      <c r="U61" s="2"/>
      <c r="V61" s="2"/>
      <c r="W61" s="2"/>
      <c r="X61" s="2"/>
      <c r="Y61" s="2"/>
      <c r="Z61" s="2"/>
    </row>
    <row r="62" ht="22.5" customHeight="1">
      <c r="A62" s="49">
        <f>IF(G58&gt;=$D$3,"",G58+1)</f>
        <v>44633</v>
      </c>
      <c r="B62" s="49">
        <f t="shared" ref="B62:G62" si="15">IF(A62&gt;=$D$3,"",A62+1)</f>
        <v>44634</v>
      </c>
      <c r="C62" s="49">
        <f t="shared" si="15"/>
        <v>44635</v>
      </c>
      <c r="D62" s="49">
        <f t="shared" si="15"/>
        <v>44636</v>
      </c>
      <c r="E62" s="49">
        <f t="shared" si="15"/>
        <v>44637</v>
      </c>
      <c r="F62" s="49">
        <f t="shared" si="15"/>
        <v>44638</v>
      </c>
      <c r="G62" s="49">
        <f t="shared" si="15"/>
        <v>44639</v>
      </c>
      <c r="H62" s="2"/>
      <c r="I62" s="7"/>
      <c r="J62" s="7"/>
      <c r="K62" s="2"/>
      <c r="L62" s="2"/>
      <c r="M62" s="2"/>
      <c r="N62" s="2"/>
      <c r="O62" s="2"/>
      <c r="P62" s="2"/>
      <c r="Q62" s="2"/>
      <c r="R62" s="2"/>
      <c r="S62" s="2"/>
      <c r="T62" s="2"/>
      <c r="U62" s="2"/>
      <c r="V62" s="2"/>
      <c r="W62" s="2"/>
      <c r="X62" s="2"/>
      <c r="Y62" s="2"/>
      <c r="Z62" s="2"/>
    </row>
    <row r="63" ht="22.5" customHeight="1">
      <c r="A63" s="42" t="str">
        <f t="array" ref="A63">IFERROR(INDEX(Lists!$B:$B,MATCH(A64,Lists!$A:$A,0)),"")</f>
        <v/>
      </c>
      <c r="B63" s="42" t="str">
        <f t="array" ref="B63">IFERROR(INDEX(Lists!$B:$B,MATCH(B64,Lists!$A:$A,0)),"")</f>
        <v/>
      </c>
      <c r="C63" s="42" t="str">
        <f t="array" ref="C63">IFERROR(INDEX(Lists!$B:$B,MATCH(C64,Lists!$A:$A,0)),"")</f>
        <v/>
      </c>
      <c r="D63" s="42" t="str">
        <f t="array" ref="D63">IFERROR(INDEX(Lists!$B:$B,MATCH(D64,Lists!$A:$A,0)),"")</f>
        <v/>
      </c>
      <c r="E63" s="42" t="str">
        <f t="array" ref="E63">IFERROR(INDEX(Lists!$B:$B,MATCH(E64,Lists!$A:$A,0)),"")</f>
        <v/>
      </c>
      <c r="F63" s="42" t="str">
        <f t="array" ref="F63">IFERROR(INDEX(Lists!$B:$B,MATCH(F64,Lists!$A:$A,0)),"")</f>
        <v/>
      </c>
      <c r="G63" s="42" t="str">
        <f t="array" ref="G63">IFERROR(INDEX(Lists!$B:$B,MATCH(G64,Lists!$A:$A,0)),"")</f>
        <v/>
      </c>
      <c r="H63" s="2"/>
      <c r="I63" s="43" t="str">
        <f>IF(A62="","","Week of "&amp;TEXT(A62-7,"MM/DD"))</f>
        <v>Week of 03/06</v>
      </c>
      <c r="J63" s="43" t="str">
        <f>IF(A62="","","Week of "&amp;TEXT(A62,"MM/DD"))</f>
        <v>Week of 03/13</v>
      </c>
      <c r="K63" s="2"/>
      <c r="L63" s="2"/>
      <c r="M63" s="2"/>
      <c r="N63" s="2"/>
      <c r="O63" s="2"/>
      <c r="P63" s="2"/>
      <c r="Q63" s="2"/>
      <c r="R63" s="2"/>
      <c r="S63" s="2"/>
      <c r="T63" s="2"/>
      <c r="U63" s="2"/>
      <c r="V63" s="2"/>
      <c r="W63" s="2"/>
      <c r="X63" s="2"/>
      <c r="Y63" s="2"/>
      <c r="Z63" s="2"/>
    </row>
    <row r="64" ht="22.5" customHeight="1">
      <c r="A64" s="42" t="str">
        <f t="array" ref="A64">IFERROR(INDEX(FinishedData!$B:$B,MATCH(A62,FinishedData!$A:$A,0)),"")</f>
        <v>Off</v>
      </c>
      <c r="B64" s="42" t="str">
        <f t="array" ref="B64">IFERROR(INDEX(FinishedData!$B:$B,MATCH(B62,FinishedData!$A:$A,0)),"")</f>
        <v>Practice</v>
      </c>
      <c r="C64" s="42" t="str">
        <f t="array" ref="C64">IFERROR(INDEX(FinishedData!$B:$B,MATCH(C62,FinishedData!$A:$A,0)),"")</f>
        <v>Gym</v>
      </c>
      <c r="D64" s="42" t="str">
        <f t="array" ref="D64">IFERROR(INDEX(FinishedData!$B:$B,MATCH(D62,FinishedData!$A:$A,0)),"")</f>
        <v>Practice</v>
      </c>
      <c r="E64" s="42" t="str">
        <f t="array" ref="E64">IFERROR(INDEX(FinishedData!$B:$B,MATCH(E62,FinishedData!$A:$A,0)),"")</f>
        <v>Practice</v>
      </c>
      <c r="F64" s="42" t="str">
        <f t="array" ref="F64">IFERROR(INDEX(FinishedData!$B:$B,MATCH(F62,FinishedData!$A:$A,0)),"")</f>
        <v>Game</v>
      </c>
      <c r="G64" s="42" t="str">
        <f t="array" ref="G64">IFERROR(INDEX(FinishedData!$B:$B,MATCH(G62,FinishedData!$A:$A,0)),"")</f>
        <v>Practice</v>
      </c>
      <c r="H64" s="2"/>
      <c r="I64" s="13">
        <f>IFERROR(IF(A62="","",IF(G62="",SUMIFS(FinishedData!$C:$C,FinishedData!$A:$A,"&gt;="&amp;MIN($A62:$G62)-7,FinishedData!$A:$A,"&lt;="&amp;MAX($A62:$G62)+(7-COUNT($A62:$G62)-7)),
SUMIFS(FinishedData!$C:$C,FinishedData!$A:$A,"&gt;="&amp;MIN($A62:$G62)-7,FinishedData!$A:$A,"&lt;="&amp;MAX($A62:$G62)-7))),"")</f>
        <v>4370</v>
      </c>
      <c r="J64" s="13">
        <f>IFERROR(IF(A62="","",SUMIFS(FinishedData!$C:$C,FinishedData!$A:$A,"&gt;="&amp;MIN($A62:$G62),FinishedData!$A:$A,"&lt;="&amp;MAX($A62:$G62))),"")</f>
        <v>4360</v>
      </c>
      <c r="K64" s="2"/>
      <c r="L64" s="2"/>
      <c r="M64" s="2"/>
      <c r="N64" s="2"/>
      <c r="O64" s="2"/>
      <c r="P64" s="2"/>
      <c r="Q64" s="2"/>
      <c r="R64" s="2"/>
      <c r="S64" s="2"/>
      <c r="T64" s="2"/>
      <c r="U64" s="2"/>
      <c r="V64" s="2"/>
      <c r="W64" s="2"/>
      <c r="X64" s="2"/>
      <c r="Y64" s="2"/>
      <c r="Z64" s="2"/>
    </row>
    <row r="65" ht="22.5" customHeight="1">
      <c r="A65" s="45" t="str">
        <f t="array" ref="A65">IFERROR(INDEX(FinishedData!$C:$C,MATCH(A62,FinishedData!$A:$A,0)),"")</f>
        <v/>
      </c>
      <c r="B65" s="45">
        <f t="array" ref="B65">IFERROR(INDEX(FinishedData!$C:$C,MATCH(B62,FinishedData!$A:$A,0)),"")</f>
        <v>705</v>
      </c>
      <c r="C65" s="45">
        <f t="array" ref="C65">IFERROR(INDEX(FinishedData!$C:$C,MATCH(C62,FinishedData!$A:$A,0)),"")</f>
        <v>740</v>
      </c>
      <c r="D65" s="45">
        <f t="array" ref="D65">IFERROR(INDEX(FinishedData!$C:$C,MATCH(D62,FinishedData!$A:$A,0)),"")</f>
        <v>755</v>
      </c>
      <c r="E65" s="45">
        <f t="array" ref="E65">IFERROR(INDEX(FinishedData!$C:$C,MATCH(E62,FinishedData!$A:$A,0)),"")</f>
        <v>655</v>
      </c>
      <c r="F65" s="45">
        <f t="array" ref="F65">IFERROR(INDEX(FinishedData!$C:$C,MATCH(F62,FinishedData!$A:$A,0)),"")</f>
        <v>750</v>
      </c>
      <c r="G65" s="45">
        <f t="array" ref="G65">IFERROR(INDEX(FinishedData!$C:$C,MATCH(G62,FinishedData!$A:$A,0)),"")</f>
        <v>755</v>
      </c>
      <c r="H65" s="2"/>
      <c r="I65" s="46" t="str">
        <f>IF(A62="","","CHANGE")</f>
        <v>CHANGE</v>
      </c>
      <c r="J65" s="47">
        <f>IFERROR(IF(A62="","",(J64-I64)/I64),"")</f>
        <v>-0.002288329519</v>
      </c>
      <c r="K65" s="2"/>
      <c r="L65" s="2"/>
      <c r="M65" s="2"/>
      <c r="N65" s="2"/>
      <c r="O65" s="2"/>
      <c r="P65" s="2"/>
      <c r="Q65" s="2"/>
      <c r="R65" s="2"/>
      <c r="S65" s="2"/>
      <c r="T65" s="2"/>
      <c r="U65" s="2"/>
      <c r="V65" s="2"/>
      <c r="W65" s="2"/>
      <c r="X65" s="2"/>
      <c r="Y65" s="2"/>
      <c r="Z65" s="2"/>
    </row>
    <row r="66" ht="22.5" customHeight="1">
      <c r="A66" s="49">
        <f>IF(G62&gt;=$D$3,"",G62+1)</f>
        <v>44640</v>
      </c>
      <c r="B66" s="49">
        <f t="shared" ref="B66:G66" si="16">IF(A66&gt;=$D$3,"",A66+1)</f>
        <v>44641</v>
      </c>
      <c r="C66" s="49">
        <f t="shared" si="16"/>
        <v>44642</v>
      </c>
      <c r="D66" s="49">
        <f t="shared" si="16"/>
        <v>44643</v>
      </c>
      <c r="E66" s="49">
        <f t="shared" si="16"/>
        <v>44644</v>
      </c>
      <c r="F66" s="49">
        <f t="shared" si="16"/>
        <v>44645</v>
      </c>
      <c r="G66" s="49">
        <f t="shared" si="16"/>
        <v>44646</v>
      </c>
      <c r="H66" s="2"/>
      <c r="I66" s="7"/>
      <c r="J66" s="7"/>
      <c r="K66" s="2"/>
      <c r="L66" s="2"/>
      <c r="M66" s="2"/>
      <c r="N66" s="2"/>
      <c r="O66" s="2"/>
      <c r="P66" s="2"/>
      <c r="Q66" s="2"/>
      <c r="R66" s="2"/>
      <c r="S66" s="2"/>
      <c r="T66" s="2"/>
      <c r="U66" s="2"/>
      <c r="V66" s="2"/>
      <c r="W66" s="2"/>
      <c r="X66" s="2"/>
      <c r="Y66" s="2"/>
      <c r="Z66" s="2"/>
    </row>
    <row r="67" ht="22.5" customHeight="1">
      <c r="A67" s="42" t="str">
        <f t="array" ref="A67">IFERROR(INDEX(Lists!$B:$B,MATCH(A68,Lists!$A:$A,0)),"")</f>
        <v/>
      </c>
      <c r="B67" s="42" t="str">
        <f t="array" ref="B67">IFERROR(INDEX(Lists!$B:$B,MATCH(B68,Lists!$A:$A,0)),"")</f>
        <v/>
      </c>
      <c r="C67" s="42" t="str">
        <f t="array" ref="C67">IFERROR(INDEX(Lists!$B:$B,MATCH(C68,Lists!$A:$A,0)),"")</f>
        <v/>
      </c>
      <c r="D67" s="42" t="str">
        <f t="array" ref="D67">IFERROR(INDEX(Lists!$B:$B,MATCH(D68,Lists!$A:$A,0)),"")</f>
        <v/>
      </c>
      <c r="E67" s="42" t="str">
        <f t="array" ref="E67">IFERROR(INDEX(Lists!$B:$B,MATCH(E68,Lists!$A:$A,0)),"")</f>
        <v/>
      </c>
      <c r="F67" s="42" t="str">
        <f t="array" ref="F67">IFERROR(INDEX(Lists!$B:$B,MATCH(F68,Lists!$A:$A,0)),"")</f>
        <v/>
      </c>
      <c r="G67" s="42" t="str">
        <f t="array" ref="G67">IFERROR(INDEX(Lists!$B:$B,MATCH(G68,Lists!$A:$A,0)),"")</f>
        <v/>
      </c>
      <c r="H67" s="2"/>
      <c r="I67" s="43" t="str">
        <f>IF(A66="","","Week of "&amp;TEXT(A66-7,"MM/DD"))</f>
        <v>Week of 03/13</v>
      </c>
      <c r="J67" s="43" t="str">
        <f>IF(A66="","","Week of "&amp;TEXT(A66,"MM/DD"))</f>
        <v>Week of 03/20</v>
      </c>
      <c r="K67" s="2"/>
      <c r="L67" s="2"/>
      <c r="M67" s="2"/>
      <c r="N67" s="2"/>
      <c r="O67" s="2"/>
      <c r="P67" s="2"/>
      <c r="Q67" s="2"/>
      <c r="R67" s="2"/>
      <c r="S67" s="2"/>
      <c r="T67" s="2"/>
      <c r="U67" s="2"/>
      <c r="V67" s="2"/>
      <c r="W67" s="2"/>
      <c r="X67" s="2"/>
      <c r="Y67" s="2"/>
      <c r="Z67" s="2"/>
    </row>
    <row r="68" ht="22.5" customHeight="1">
      <c r="A68" s="42" t="str">
        <f t="array" ref="A68">IFERROR(INDEX(FinishedData!$B:$B,MATCH(A66,FinishedData!$A:$A,0)),"")</f>
        <v>Game</v>
      </c>
      <c r="B68" s="42" t="str">
        <f t="array" ref="B68">IFERROR(INDEX(FinishedData!$B:$B,MATCH(B66,FinishedData!$A:$A,0)),"")</f>
        <v>Off</v>
      </c>
      <c r="C68" s="42" t="str">
        <f t="array" ref="C68">IFERROR(INDEX(FinishedData!$B:$B,MATCH(C66,FinishedData!$A:$A,0)),"")</f>
        <v>Gym</v>
      </c>
      <c r="D68" s="42" t="str">
        <f t="array" ref="D68">IFERROR(INDEX(FinishedData!$B:$B,MATCH(D66,FinishedData!$A:$A,0)),"")</f>
        <v>Practice</v>
      </c>
      <c r="E68" s="42" t="str">
        <f t="array" ref="E68">IFERROR(INDEX(FinishedData!$B:$B,MATCH(E66,FinishedData!$A:$A,0)),"")</f>
        <v>Practice</v>
      </c>
      <c r="F68" s="42" t="str">
        <f t="array" ref="F68">IFERROR(INDEX(FinishedData!$B:$B,MATCH(F66,FinishedData!$A:$A,0)),"")</f>
        <v>Practice</v>
      </c>
      <c r="G68" s="42" t="str">
        <f t="array" ref="G68">IFERROR(INDEX(FinishedData!$B:$B,MATCH(G66,FinishedData!$A:$A,0)),"")</f>
        <v>Game</v>
      </c>
      <c r="H68" s="2"/>
      <c r="I68" s="13">
        <f>IFERROR(IF(A66="","",IF(G66="",SUMIFS(FinishedData!$C:$C,FinishedData!$A:$A,"&gt;="&amp;MIN($A66:$G66)-7,FinishedData!$A:$A,"&lt;="&amp;MAX($A66:$G66)+(7-COUNT($A66:$G66)-7)),
SUMIFS(FinishedData!$C:$C,FinishedData!$A:$A,"&gt;="&amp;MIN($A66:$G66)-7,FinishedData!$A:$A,"&lt;="&amp;MAX($A66:$G66)-7))),"")</f>
        <v>4360</v>
      </c>
      <c r="J68" s="13">
        <f>IFERROR(IF(A66="","",SUMIFS(FinishedData!$C:$C,FinishedData!$A:$A,"&gt;="&amp;MIN($A66:$G66),FinishedData!$A:$A,"&lt;="&amp;MAX($A66:$G66))),"")</f>
        <v>4680</v>
      </c>
      <c r="K68" s="2"/>
      <c r="L68" s="2"/>
      <c r="M68" s="2"/>
      <c r="N68" s="2"/>
      <c r="O68" s="2"/>
      <c r="P68" s="2"/>
      <c r="Q68" s="2"/>
      <c r="R68" s="2"/>
      <c r="S68" s="2"/>
      <c r="T68" s="2"/>
      <c r="U68" s="2"/>
      <c r="V68" s="2"/>
      <c r="W68" s="2"/>
      <c r="X68" s="2"/>
      <c r="Y68" s="2"/>
      <c r="Z68" s="2"/>
    </row>
    <row r="69" ht="22.5" customHeight="1">
      <c r="A69" s="45">
        <f t="array" ref="A69">IFERROR(INDEX(FinishedData!$C:$C,MATCH(A66,FinishedData!$A:$A,0)),"")</f>
        <v>910</v>
      </c>
      <c r="B69" s="45" t="str">
        <f t="array" ref="B69">IFERROR(INDEX(FinishedData!$C:$C,MATCH(B66,FinishedData!$A:$A,0)),"")</f>
        <v/>
      </c>
      <c r="C69" s="45">
        <f t="array" ref="C69">IFERROR(INDEX(FinishedData!$C:$C,MATCH(C66,FinishedData!$A:$A,0)),"")</f>
        <v>970</v>
      </c>
      <c r="D69" s="45">
        <f t="array" ref="D69">IFERROR(INDEX(FinishedData!$C:$C,MATCH(D66,FinishedData!$A:$A,0)),"")</f>
        <v>535</v>
      </c>
      <c r="E69" s="45">
        <f t="array" ref="E69">IFERROR(INDEX(FinishedData!$C:$C,MATCH(E66,FinishedData!$A:$A,0)),"")</f>
        <v>700</v>
      </c>
      <c r="F69" s="45">
        <f t="array" ref="F69">IFERROR(INDEX(FinishedData!$C:$C,MATCH(F66,FinishedData!$A:$A,0)),"")</f>
        <v>780</v>
      </c>
      <c r="G69" s="45">
        <f t="array" ref="G69">IFERROR(INDEX(FinishedData!$C:$C,MATCH(G66,FinishedData!$A:$A,0)),"")</f>
        <v>785</v>
      </c>
      <c r="H69" s="2"/>
      <c r="I69" s="46" t="str">
        <f>IF(A66="","","CHANGE")</f>
        <v>CHANGE</v>
      </c>
      <c r="J69" s="47">
        <f>IFERROR(IF(A66="","",(J68-I68)/I68),"")</f>
        <v>0.07339449541</v>
      </c>
      <c r="K69" s="2"/>
      <c r="L69" s="2"/>
      <c r="M69" s="2"/>
      <c r="N69" s="2"/>
      <c r="O69" s="2"/>
      <c r="P69" s="2"/>
      <c r="Q69" s="2"/>
      <c r="R69" s="2"/>
      <c r="S69" s="2"/>
      <c r="T69" s="2"/>
      <c r="U69" s="2"/>
      <c r="V69" s="2"/>
      <c r="W69" s="2"/>
      <c r="X69" s="2"/>
      <c r="Y69" s="2"/>
      <c r="Z69" s="2"/>
    </row>
    <row r="70" ht="22.5" customHeight="1">
      <c r="A70" s="49">
        <f>IF(G66&gt;=$D$3,"",G66+1)</f>
        <v>44647</v>
      </c>
      <c r="B70" s="49">
        <f t="shared" ref="B70:G70" si="17">IF(A70&gt;=$D$3,"",A70+1)</f>
        <v>44648</v>
      </c>
      <c r="C70" s="49">
        <f t="shared" si="17"/>
        <v>44649</v>
      </c>
      <c r="D70" s="49">
        <f t="shared" si="17"/>
        <v>44650</v>
      </c>
      <c r="E70" s="49">
        <f t="shared" si="17"/>
        <v>44651</v>
      </c>
      <c r="F70" s="49">
        <f t="shared" si="17"/>
        <v>44652</v>
      </c>
      <c r="G70" s="49">
        <f t="shared" si="17"/>
        <v>44653</v>
      </c>
      <c r="H70" s="2"/>
      <c r="I70" s="7"/>
      <c r="J70" s="7"/>
      <c r="K70" s="2"/>
      <c r="L70" s="2"/>
      <c r="M70" s="2"/>
      <c r="N70" s="2"/>
      <c r="O70" s="2"/>
      <c r="P70" s="2"/>
      <c r="Q70" s="2"/>
      <c r="R70" s="2"/>
      <c r="S70" s="2"/>
      <c r="T70" s="2"/>
      <c r="U70" s="2"/>
      <c r="V70" s="2"/>
      <c r="W70" s="2"/>
      <c r="X70" s="2"/>
      <c r="Y70" s="2"/>
      <c r="Z70" s="2"/>
    </row>
    <row r="71" ht="22.5" customHeight="1">
      <c r="A71" s="42" t="str">
        <f t="array" ref="A71">IFERROR(INDEX(Lists!$B:$B,MATCH(A72,Lists!$A:$A,0)),"")</f>
        <v/>
      </c>
      <c r="B71" s="42" t="str">
        <f t="array" ref="B71">IFERROR(INDEX(Lists!$B:$B,MATCH(B72,Lists!$A:$A,0)),"")</f>
        <v/>
      </c>
      <c r="C71" s="42" t="str">
        <f t="array" ref="C71">IFERROR(INDEX(Lists!$B:$B,MATCH(C72,Lists!$A:$A,0)),"")</f>
        <v/>
      </c>
      <c r="D71" s="42" t="str">
        <f t="array" ref="D71">IFERROR(INDEX(Lists!$B:$B,MATCH(D72,Lists!$A:$A,0)),"")</f>
        <v/>
      </c>
      <c r="E71" s="42" t="str">
        <f t="array" ref="E71">IFERROR(INDEX(Lists!$B:$B,MATCH(E72,Lists!$A:$A,0)),"")</f>
        <v/>
      </c>
      <c r="F71" s="42" t="str">
        <f t="array" ref="F71">IFERROR(INDEX(Lists!$B:$B,MATCH(F72,Lists!$A:$A,0)),"")</f>
        <v/>
      </c>
      <c r="G71" s="42" t="str">
        <f t="array" ref="G71">IFERROR(INDEX(Lists!$B:$B,MATCH(G72,Lists!$A:$A,0)),"")</f>
        <v/>
      </c>
      <c r="H71" s="2"/>
      <c r="I71" s="43" t="str">
        <f>IF(A70="","","Week of "&amp;TEXT(A70-7,"MM/DD"))</f>
        <v>Week of 03/20</v>
      </c>
      <c r="J71" s="43" t="str">
        <f>IF(A70="","","Week of "&amp;TEXT(A70,"MM/DD"))</f>
        <v>Week of 03/27</v>
      </c>
      <c r="K71" s="2"/>
      <c r="L71" s="2"/>
      <c r="M71" s="2"/>
      <c r="N71" s="2"/>
      <c r="O71" s="2"/>
      <c r="P71" s="2"/>
      <c r="Q71" s="2"/>
      <c r="R71" s="2"/>
      <c r="S71" s="2"/>
      <c r="T71" s="2"/>
      <c r="U71" s="2"/>
      <c r="V71" s="2"/>
      <c r="W71" s="2"/>
      <c r="X71" s="2"/>
      <c r="Y71" s="2"/>
      <c r="Z71" s="2"/>
    </row>
    <row r="72" ht="22.5" customHeight="1">
      <c r="A72" s="42" t="str">
        <f t="array" ref="A72">IFERROR(INDEX(FinishedData!$B:$B,MATCH(A70,FinishedData!$A:$A,0)),"")</f>
        <v>Game</v>
      </c>
      <c r="B72" s="42" t="str">
        <f t="array" ref="B72">IFERROR(INDEX(FinishedData!$B:$B,MATCH(B70,FinishedData!$A:$A,0)),"")</f>
        <v>Off</v>
      </c>
      <c r="C72" s="42" t="str">
        <f t="array" ref="C72">IFERROR(INDEX(FinishedData!$B:$B,MATCH(C70,FinishedData!$A:$A,0)),"")</f>
        <v>Practice</v>
      </c>
      <c r="D72" s="42" t="str">
        <f t="array" ref="D72">IFERROR(INDEX(FinishedData!$B:$B,MATCH(D70,FinishedData!$A:$A,0)),"")</f>
        <v>Game</v>
      </c>
      <c r="E72" s="42" t="str">
        <f t="array" ref="E72">IFERROR(INDEX(FinishedData!$B:$B,MATCH(E70,FinishedData!$A:$A,0)),"")</f>
        <v>Practice</v>
      </c>
      <c r="F72" s="42" t="str">
        <f t="array" ref="F72">IFERROR(INDEX(FinishedData!$B:$B,MATCH(F70,FinishedData!$A:$A,0)),"")</f>
        <v>Practice</v>
      </c>
      <c r="G72" s="42" t="str">
        <f t="array" ref="G72">IFERROR(INDEX(FinishedData!$B:$B,MATCH(G70,FinishedData!$A:$A,0)),"")</f>
        <v>Practice</v>
      </c>
      <c r="H72" s="2"/>
      <c r="I72" s="13">
        <f>IFERROR(IF(A70="","",IF(G70="",SUMIFS(FinishedData!$C:$C,FinishedData!$A:$A,"&gt;="&amp;MIN($A70:$G70)-7,FinishedData!$A:$A,"&lt;="&amp;MAX($A70:$G70)+(7-COUNT($A70:$G70)-7)),
SUMIFS(FinishedData!$C:$C,FinishedData!$A:$A,"&gt;="&amp;MIN($A70:$G70)-7,FinishedData!$A:$A,"&lt;="&amp;MAX($A70:$G70)-7))),"")</f>
        <v>4680</v>
      </c>
      <c r="J72" s="13">
        <f>IFERROR(IF(A70="","",SUMIFS(FinishedData!$C:$C,FinishedData!$A:$A,"&gt;="&amp;MIN($A70:$G70),FinishedData!$A:$A,"&lt;="&amp;MAX($A70:$G70))),"")</f>
        <v>4570</v>
      </c>
      <c r="K72" s="2"/>
      <c r="L72" s="2"/>
      <c r="M72" s="2"/>
      <c r="N72" s="2"/>
      <c r="O72" s="2"/>
      <c r="P72" s="2"/>
      <c r="Q72" s="2"/>
      <c r="R72" s="2"/>
      <c r="S72" s="2"/>
      <c r="T72" s="2"/>
      <c r="U72" s="2"/>
      <c r="V72" s="2"/>
      <c r="W72" s="2"/>
      <c r="X72" s="2"/>
      <c r="Y72" s="2"/>
      <c r="Z72" s="2"/>
    </row>
    <row r="73" ht="22.5" customHeight="1">
      <c r="A73" s="45">
        <f t="array" ref="A73">IFERROR(INDEX(FinishedData!$C:$C,MATCH(A70,FinishedData!$A:$A,0)),"")</f>
        <v>755</v>
      </c>
      <c r="B73" s="45" t="str">
        <f t="array" ref="B73">IFERROR(INDEX(FinishedData!$C:$C,MATCH(B70,FinishedData!$A:$A,0)),"")</f>
        <v/>
      </c>
      <c r="C73" s="45">
        <f t="array" ref="C73">IFERROR(INDEX(FinishedData!$C:$C,MATCH(C70,FinishedData!$A:$A,0)),"")</f>
        <v>620</v>
      </c>
      <c r="D73" s="45">
        <f t="array" ref="D73">IFERROR(INDEX(FinishedData!$C:$C,MATCH(D70,FinishedData!$A:$A,0)),"")</f>
        <v>900</v>
      </c>
      <c r="E73" s="45">
        <f t="array" ref="E73">IFERROR(INDEX(FinishedData!$C:$C,MATCH(E70,FinishedData!$A:$A,0)),"")</f>
        <v>835</v>
      </c>
      <c r="F73" s="45">
        <f t="array" ref="F73">IFERROR(INDEX(FinishedData!$C:$C,MATCH(F70,FinishedData!$A:$A,0)),"")</f>
        <v>745</v>
      </c>
      <c r="G73" s="45">
        <f t="array" ref="G73">IFERROR(INDEX(FinishedData!$C:$C,MATCH(G70,FinishedData!$A:$A,0)),"")</f>
        <v>715</v>
      </c>
      <c r="H73" s="2"/>
      <c r="I73" s="46" t="str">
        <f>IF(A70="","","CHANGE")</f>
        <v>CHANGE</v>
      </c>
      <c r="J73" s="47">
        <f>IFERROR(IF(A70="","",(J72-I72)/I72),"")</f>
        <v>-0.0235042735</v>
      </c>
      <c r="K73" s="2"/>
      <c r="L73" s="2"/>
      <c r="M73" s="2"/>
      <c r="N73" s="2"/>
      <c r="O73" s="2"/>
      <c r="P73" s="2"/>
      <c r="Q73" s="2"/>
      <c r="R73" s="2"/>
      <c r="S73" s="2"/>
      <c r="T73" s="2"/>
      <c r="U73" s="2"/>
      <c r="V73" s="2"/>
      <c r="W73" s="2"/>
      <c r="X73" s="2"/>
      <c r="Y73" s="2"/>
      <c r="Z73" s="2"/>
    </row>
    <row r="74" ht="22.5" customHeight="1">
      <c r="A74" s="49">
        <f>IF(G70&gt;=$D$3,"",G70+1)</f>
        <v>44654</v>
      </c>
      <c r="B74" s="49">
        <f t="shared" ref="B74:G74" si="18">IF(A74&gt;=$D$3,"",A74+1)</f>
        <v>44655</v>
      </c>
      <c r="C74" s="49">
        <f t="shared" si="18"/>
        <v>44656</v>
      </c>
      <c r="D74" s="49">
        <f t="shared" si="18"/>
        <v>44657</v>
      </c>
      <c r="E74" s="49">
        <f t="shared" si="18"/>
        <v>44658</v>
      </c>
      <c r="F74" s="49">
        <f t="shared" si="18"/>
        <v>44659</v>
      </c>
      <c r="G74" s="49">
        <f t="shared" si="18"/>
        <v>44660</v>
      </c>
      <c r="H74" s="2"/>
      <c r="I74" s="7"/>
      <c r="J74" s="7"/>
      <c r="K74" s="2"/>
      <c r="L74" s="2"/>
      <c r="M74" s="2"/>
      <c r="N74" s="2"/>
      <c r="O74" s="2"/>
      <c r="P74" s="2"/>
      <c r="Q74" s="2"/>
      <c r="R74" s="2"/>
      <c r="S74" s="2"/>
      <c r="T74" s="2"/>
      <c r="U74" s="2"/>
      <c r="V74" s="2"/>
      <c r="W74" s="2"/>
      <c r="X74" s="2"/>
      <c r="Y74" s="2"/>
      <c r="Z74" s="2"/>
    </row>
    <row r="75" ht="22.5" customHeight="1">
      <c r="A75" s="42" t="str">
        <f t="array" ref="A75">IFERROR(INDEX(Lists!$B:$B,MATCH(A76,Lists!$A:$A,0)),"")</f>
        <v/>
      </c>
      <c r="B75" s="42" t="str">
        <f t="array" ref="B75">IFERROR(INDEX(Lists!$B:$B,MATCH(B76,Lists!$A:$A,0)),"")</f>
        <v/>
      </c>
      <c r="C75" s="42" t="str">
        <f t="array" ref="C75">IFERROR(INDEX(Lists!$B:$B,MATCH(C76,Lists!$A:$A,0)),"")</f>
        <v/>
      </c>
      <c r="D75" s="42" t="str">
        <f t="array" ref="D75">IFERROR(INDEX(Lists!$B:$B,MATCH(D76,Lists!$A:$A,0)),"")</f>
        <v/>
      </c>
      <c r="E75" s="42" t="str">
        <f t="array" ref="E75">IFERROR(INDEX(Lists!$B:$B,MATCH(E76,Lists!$A:$A,0)),"")</f>
        <v/>
      </c>
      <c r="F75" s="42" t="str">
        <f t="array" ref="F75">IFERROR(INDEX(Lists!$B:$B,MATCH(F76,Lists!$A:$A,0)),"")</f>
        <v/>
      </c>
      <c r="G75" s="42" t="str">
        <f t="array" ref="G75">IFERROR(INDEX(Lists!$B:$B,MATCH(G76,Lists!$A:$A,0)),"")</f>
        <v/>
      </c>
      <c r="H75" s="2"/>
      <c r="I75" s="43" t="str">
        <f>IF(A74="","","Week of "&amp;TEXT(A74-7,"MM/DD"))</f>
        <v>Week of 03/27</v>
      </c>
      <c r="J75" s="43" t="str">
        <f>IF(A74="","","Week of "&amp;TEXT(A74,"MM/DD"))</f>
        <v>Week of 04/03</v>
      </c>
      <c r="K75" s="2"/>
      <c r="L75" s="2"/>
      <c r="M75" s="2"/>
      <c r="N75" s="2"/>
      <c r="O75" s="2"/>
      <c r="P75" s="2"/>
      <c r="Q75" s="2"/>
      <c r="R75" s="2"/>
      <c r="S75" s="2"/>
      <c r="T75" s="2"/>
      <c r="U75" s="2"/>
      <c r="V75" s="2"/>
      <c r="W75" s="2"/>
      <c r="X75" s="2"/>
      <c r="Y75" s="2"/>
      <c r="Z75" s="2"/>
    </row>
    <row r="76" ht="22.5" customHeight="1">
      <c r="A76" s="42" t="str">
        <f t="array" ref="A76">IFERROR(INDEX(FinishedData!$B:$B,MATCH(A74,FinishedData!$A:$A,0)),"")</f>
        <v>Game</v>
      </c>
      <c r="B76" s="42" t="str">
        <f t="array" ref="B76">IFERROR(INDEX(FinishedData!$B:$B,MATCH(B74,FinishedData!$A:$A,0)),"")</f>
        <v>Practice</v>
      </c>
      <c r="C76" s="42" t="str">
        <f t="array" ref="C76">IFERROR(INDEX(FinishedData!$B:$B,MATCH(C74,FinishedData!$A:$A,0)),"")</f>
        <v>Practice</v>
      </c>
      <c r="D76" s="42" t="str">
        <f t="array" ref="D76">IFERROR(INDEX(FinishedData!$B:$B,MATCH(D74,FinishedData!$A:$A,0)),"")</f>
        <v>Game</v>
      </c>
      <c r="E76" s="42" t="str">
        <f t="array" ref="E76">IFERROR(INDEX(FinishedData!$B:$B,MATCH(E74,FinishedData!$A:$A,0)),"")</f>
        <v>Off</v>
      </c>
      <c r="F76" s="42" t="str">
        <f t="array" ref="F76">IFERROR(INDEX(FinishedData!$B:$B,MATCH(F74,FinishedData!$A:$A,0)),"")</f>
        <v>Practice</v>
      </c>
      <c r="G76" s="42" t="str">
        <f t="array" ref="G76">IFERROR(INDEX(FinishedData!$B:$B,MATCH(G74,FinishedData!$A:$A,0)),"")</f>
        <v>Gym</v>
      </c>
      <c r="H76" s="2"/>
      <c r="I76" s="13">
        <f>IFERROR(IF(A74="","",IF(G74="",SUMIFS(FinishedData!$C:$C,FinishedData!$A:$A,"&gt;="&amp;MIN($A74:$G74)-7,FinishedData!$A:$A,"&lt;="&amp;MAX($A74:$G74)+(7-COUNT($A74:$G74)-7)),
SUMIFS(FinishedData!$C:$C,FinishedData!$A:$A,"&gt;="&amp;MIN($A74:$G74)-7,FinishedData!$A:$A,"&lt;="&amp;MAX($A74:$G74)-7))),"")</f>
        <v>4570</v>
      </c>
      <c r="J76" s="13">
        <f>IFERROR(IF(A74="","",SUMIFS(FinishedData!$C:$C,FinishedData!$A:$A,"&gt;="&amp;MIN($A74:$G74),FinishedData!$A:$A,"&lt;="&amp;MAX($A74:$G74))),"")</f>
        <v>4325</v>
      </c>
      <c r="K76" s="2"/>
      <c r="L76" s="2"/>
      <c r="M76" s="2"/>
      <c r="N76" s="2"/>
      <c r="O76" s="2"/>
      <c r="P76" s="2"/>
      <c r="Q76" s="2"/>
      <c r="R76" s="2"/>
      <c r="S76" s="2"/>
      <c r="T76" s="2"/>
      <c r="U76" s="2"/>
      <c r="V76" s="2"/>
      <c r="W76" s="2"/>
      <c r="X76" s="2"/>
      <c r="Y76" s="2"/>
      <c r="Z76" s="2"/>
    </row>
    <row r="77" ht="22.5" customHeight="1">
      <c r="A77" s="45">
        <f t="array" ref="A77">IFERROR(INDEX(FinishedData!$C:$C,MATCH(A74,FinishedData!$A:$A,0)),"")</f>
        <v>600</v>
      </c>
      <c r="B77" s="45">
        <f t="array" ref="B77">IFERROR(INDEX(FinishedData!$C:$C,MATCH(B74,FinishedData!$A:$A,0)),"")</f>
        <v>720</v>
      </c>
      <c r="C77" s="45">
        <f t="array" ref="C77">IFERROR(INDEX(FinishedData!$C:$C,MATCH(C74,FinishedData!$A:$A,0)),"")</f>
        <v>690</v>
      </c>
      <c r="D77" s="45">
        <f t="array" ref="D77">IFERROR(INDEX(FinishedData!$C:$C,MATCH(D74,FinishedData!$A:$A,0)),"")</f>
        <v>510</v>
      </c>
      <c r="E77" s="45" t="str">
        <f t="array" ref="E77">IFERROR(INDEX(FinishedData!$C:$C,MATCH(E74,FinishedData!$A:$A,0)),"")</f>
        <v/>
      </c>
      <c r="F77" s="45">
        <f t="array" ref="F77">IFERROR(INDEX(FinishedData!$C:$C,MATCH(F74,FinishedData!$A:$A,0)),"")</f>
        <v>895</v>
      </c>
      <c r="G77" s="45">
        <f t="array" ref="G77">IFERROR(INDEX(FinishedData!$C:$C,MATCH(G74,FinishedData!$A:$A,0)),"")</f>
        <v>910</v>
      </c>
      <c r="H77" s="2"/>
      <c r="I77" s="46" t="str">
        <f>IF(A74="","","CHANGE")</f>
        <v>CHANGE</v>
      </c>
      <c r="J77" s="47">
        <f>IFERROR(IF(A74="","",(J76-I76)/I76),"")</f>
        <v>-0.05361050328</v>
      </c>
      <c r="K77" s="2"/>
      <c r="L77" s="2"/>
      <c r="M77" s="2"/>
      <c r="N77" s="2"/>
      <c r="O77" s="2"/>
      <c r="P77" s="2"/>
      <c r="Q77" s="2"/>
      <c r="R77" s="2"/>
      <c r="S77" s="2"/>
      <c r="T77" s="2"/>
      <c r="U77" s="2"/>
      <c r="V77" s="2"/>
      <c r="W77" s="2"/>
      <c r="X77" s="2"/>
      <c r="Y77" s="2"/>
      <c r="Z77" s="2"/>
    </row>
    <row r="78" ht="22.5" customHeight="1">
      <c r="A78" s="49">
        <f>IF(G74&gt;=$D$3,"",G74+1)</f>
        <v>44661</v>
      </c>
      <c r="B78" s="49">
        <f t="shared" ref="B78:G78" si="19">IF(A78&gt;=$D$3,"",A78+1)</f>
        <v>44662</v>
      </c>
      <c r="C78" s="49">
        <f t="shared" si="19"/>
        <v>44663</v>
      </c>
      <c r="D78" s="49">
        <f t="shared" si="19"/>
        <v>44664</v>
      </c>
      <c r="E78" s="49">
        <f t="shared" si="19"/>
        <v>44665</v>
      </c>
      <c r="F78" s="49">
        <f t="shared" si="19"/>
        <v>44666</v>
      </c>
      <c r="G78" s="49">
        <f t="shared" si="19"/>
        <v>44667</v>
      </c>
      <c r="H78" s="2"/>
      <c r="I78" s="2"/>
      <c r="J78" s="2"/>
      <c r="K78" s="2"/>
      <c r="L78" s="2"/>
      <c r="M78" s="2"/>
      <c r="N78" s="2"/>
      <c r="O78" s="2"/>
      <c r="P78" s="2"/>
      <c r="Q78" s="2"/>
      <c r="R78" s="2"/>
      <c r="S78" s="2"/>
      <c r="T78" s="2"/>
      <c r="U78" s="2"/>
      <c r="V78" s="2"/>
      <c r="W78" s="2"/>
      <c r="X78" s="2"/>
      <c r="Y78" s="2"/>
      <c r="Z78" s="2"/>
    </row>
    <row r="79" ht="22.5" customHeight="1">
      <c r="A79" s="42" t="str">
        <f t="array" ref="A79">IFERROR(INDEX(Lists!$B:$B,MATCH(A80,Lists!$A:$A,0)),"")</f>
        <v/>
      </c>
      <c r="B79" s="42" t="str">
        <f t="array" ref="B79">IFERROR(INDEX(Lists!$B:$B,MATCH(B80,Lists!$A:$A,0)),"")</f>
        <v/>
      </c>
      <c r="C79" s="42" t="str">
        <f t="array" ref="C79">IFERROR(INDEX(Lists!$B:$B,MATCH(C80,Lists!$A:$A,0)),"")</f>
        <v/>
      </c>
      <c r="D79" s="42" t="str">
        <f t="array" ref="D79">IFERROR(INDEX(Lists!$B:$B,MATCH(D80,Lists!$A:$A,0)),"")</f>
        <v/>
      </c>
      <c r="E79" s="42" t="str">
        <f t="array" ref="E79">IFERROR(INDEX(Lists!$B:$B,MATCH(E80,Lists!$A:$A,0)),"")</f>
        <v/>
      </c>
      <c r="F79" s="42" t="str">
        <f t="array" ref="F79">IFERROR(INDEX(Lists!$B:$B,MATCH(F80,Lists!$A:$A,0)),"")</f>
        <v/>
      </c>
      <c r="G79" s="42" t="str">
        <f t="array" ref="G79">IFERROR(INDEX(Lists!$B:$B,MATCH(G80,Lists!$A:$A,0)),"")</f>
        <v/>
      </c>
      <c r="H79" s="2"/>
      <c r="I79" s="43" t="str">
        <f>IF(A78="","","Week of "&amp;TEXT(A78-7,"MM/DD"))</f>
        <v>Week of 04/03</v>
      </c>
      <c r="J79" s="43" t="str">
        <f>IF(A78="","","Week of "&amp;TEXT(A78,"MM/DD"))</f>
        <v>Week of 04/10</v>
      </c>
      <c r="K79" s="2"/>
      <c r="L79" s="2"/>
      <c r="M79" s="2"/>
      <c r="N79" s="2"/>
      <c r="O79" s="2"/>
      <c r="P79" s="2"/>
      <c r="Q79" s="2"/>
      <c r="R79" s="2"/>
      <c r="S79" s="2"/>
      <c r="T79" s="2"/>
      <c r="U79" s="2"/>
      <c r="V79" s="2"/>
      <c r="W79" s="2"/>
      <c r="X79" s="2"/>
      <c r="Y79" s="2"/>
      <c r="Z79" s="2"/>
    </row>
    <row r="80" ht="22.5" customHeight="1">
      <c r="A80" s="42" t="str">
        <f t="array" ref="A80">IFERROR(INDEX(FinishedData!$B:$B,MATCH(A78,FinishedData!$A:$A,0)),"")</f>
        <v>Practice</v>
      </c>
      <c r="B80" s="42" t="str">
        <f t="array" ref="B80">IFERROR(INDEX(FinishedData!$B:$B,MATCH(B78,FinishedData!$A:$A,0)),"")</f>
        <v>Practice</v>
      </c>
      <c r="C80" s="42" t="str">
        <f t="array" ref="C80">IFERROR(INDEX(FinishedData!$B:$B,MATCH(C78,FinishedData!$A:$A,0)),"")</f>
        <v>Practice</v>
      </c>
      <c r="D80" s="42" t="str">
        <f t="array" ref="D80">IFERROR(INDEX(FinishedData!$B:$B,MATCH(D78,FinishedData!$A:$A,0)),"")</f>
        <v>Game</v>
      </c>
      <c r="E80" s="42" t="str">
        <f t="array" ref="E80">IFERROR(INDEX(FinishedData!$B:$B,MATCH(E78,FinishedData!$A:$A,0)),"")</f>
        <v>Off</v>
      </c>
      <c r="F80" s="42" t="str">
        <f t="array" ref="F80">IFERROR(INDEX(FinishedData!$B:$B,MATCH(F78,FinishedData!$A:$A,0)),"")</f>
        <v>Gym</v>
      </c>
      <c r="G80" s="42" t="str">
        <f t="array" ref="G80">IFERROR(INDEX(FinishedData!$B:$B,MATCH(G78,FinishedData!$A:$A,0)),"")</f>
        <v>Practice</v>
      </c>
      <c r="H80" s="2"/>
      <c r="I80" s="13">
        <f>IFERROR(IF(A78="","",IF(G78="",SUMIFS(FinishedData!$C:$C,FinishedData!$A:$A,"&gt;="&amp;MIN($A78:$G78)-7,FinishedData!$A:$A,"&lt;="&amp;MAX($A78:$G78)+(7-COUNT($A78:$G78)-7)),
SUMIFS(FinishedData!$C:$C,FinishedData!$A:$A,"&gt;="&amp;MIN($A78:$G78)-7,FinishedData!$A:$A,"&lt;="&amp;MAX($A78:$G78)-7))),"")</f>
        <v>4325</v>
      </c>
      <c r="J80" s="13">
        <f>IFERROR(IF(A78="","",SUMIFS(FinishedData!$C:$C,FinishedData!$A:$A,"&gt;="&amp;MIN($A78:$G78),FinishedData!$A:$A,"&lt;="&amp;MAX($A78:$G78))),"")</f>
        <v>4535</v>
      </c>
      <c r="K80" s="2"/>
      <c r="L80" s="2"/>
      <c r="M80" s="2"/>
      <c r="N80" s="2"/>
      <c r="O80" s="2"/>
      <c r="P80" s="2"/>
      <c r="Q80" s="2"/>
      <c r="R80" s="2"/>
      <c r="S80" s="2"/>
      <c r="T80" s="2"/>
      <c r="U80" s="2"/>
      <c r="V80" s="2"/>
      <c r="W80" s="2"/>
      <c r="X80" s="2"/>
      <c r="Y80" s="2"/>
      <c r="Z80" s="2"/>
    </row>
    <row r="81" ht="22.5" customHeight="1">
      <c r="A81" s="45">
        <f t="array" ref="A81">IFERROR(INDEX(FinishedData!$C:$C,MATCH(A78,FinishedData!$A:$A,0)),"")</f>
        <v>720</v>
      </c>
      <c r="B81" s="45">
        <f t="array" ref="B81">IFERROR(INDEX(FinishedData!$C:$C,MATCH(B78,FinishedData!$A:$A,0)),"")</f>
        <v>540</v>
      </c>
      <c r="C81" s="45">
        <f t="array" ref="C81">IFERROR(INDEX(FinishedData!$C:$C,MATCH(C78,FinishedData!$A:$A,0)),"")</f>
        <v>590</v>
      </c>
      <c r="D81" s="45">
        <f t="array" ref="D81">IFERROR(INDEX(FinishedData!$C:$C,MATCH(D78,FinishedData!$A:$A,0)),"")</f>
        <v>810</v>
      </c>
      <c r="E81" s="45" t="str">
        <f t="array" ref="E81">IFERROR(INDEX(FinishedData!$C:$C,MATCH(E78,FinishedData!$A:$A,0)),"")</f>
        <v/>
      </c>
      <c r="F81" s="45">
        <f t="array" ref="F81">IFERROR(INDEX(FinishedData!$C:$C,MATCH(F78,FinishedData!$A:$A,0)),"")</f>
        <v>990</v>
      </c>
      <c r="G81" s="45">
        <f t="array" ref="G81">IFERROR(INDEX(FinishedData!$C:$C,MATCH(G78,FinishedData!$A:$A,0)),"")</f>
        <v>885</v>
      </c>
      <c r="H81" s="2"/>
      <c r="I81" s="46" t="str">
        <f>IF(A78="","","CHANGE")</f>
        <v>CHANGE</v>
      </c>
      <c r="J81" s="47">
        <f>IFERROR(IF(A78="","",(J80-I80)/I80),"")</f>
        <v>0.04855491329</v>
      </c>
      <c r="K81" s="2"/>
      <c r="L81" s="2"/>
      <c r="M81" s="2"/>
      <c r="N81" s="2"/>
      <c r="O81" s="2"/>
      <c r="P81" s="2"/>
      <c r="Q81" s="2"/>
      <c r="R81" s="2"/>
      <c r="S81" s="2"/>
      <c r="T81" s="2"/>
      <c r="U81" s="2"/>
      <c r="V81" s="2"/>
      <c r="W81" s="2"/>
      <c r="X81" s="2"/>
      <c r="Y81" s="2"/>
      <c r="Z81" s="2"/>
    </row>
    <row r="82" ht="22.5" customHeight="1">
      <c r="A82" s="49">
        <f>IF(G78&gt;=$D$3,"",G78+1)</f>
        <v>44668</v>
      </c>
      <c r="B82" s="49">
        <f t="shared" ref="B82:G82" si="20">IF(A82&gt;=$D$3,"",A82+1)</f>
        <v>44669</v>
      </c>
      <c r="C82" s="49">
        <f t="shared" si="20"/>
        <v>44670</v>
      </c>
      <c r="D82" s="49">
        <f t="shared" si="20"/>
        <v>44671</v>
      </c>
      <c r="E82" s="49">
        <f t="shared" si="20"/>
        <v>44672</v>
      </c>
      <c r="F82" s="49">
        <f t="shared" si="20"/>
        <v>44673</v>
      </c>
      <c r="G82" s="49">
        <f t="shared" si="20"/>
        <v>44674</v>
      </c>
      <c r="H82" s="2"/>
      <c r="I82" s="7"/>
      <c r="J82" s="7"/>
      <c r="K82" s="2"/>
      <c r="L82" s="2"/>
      <c r="M82" s="2"/>
      <c r="N82" s="2"/>
      <c r="O82" s="2"/>
      <c r="P82" s="2"/>
      <c r="Q82" s="2"/>
      <c r="R82" s="2"/>
      <c r="S82" s="2"/>
      <c r="T82" s="2"/>
      <c r="U82" s="2"/>
      <c r="V82" s="2"/>
      <c r="W82" s="2"/>
      <c r="X82" s="2"/>
      <c r="Y82" s="2"/>
      <c r="Z82" s="2"/>
    </row>
    <row r="83" ht="22.5" customHeight="1">
      <c r="A83" s="42" t="str">
        <f t="array" ref="A83">IFERROR(INDEX(Lists!$B:$B,MATCH(A84,Lists!$A:$A,0)),"")</f>
        <v/>
      </c>
      <c r="B83" s="42" t="str">
        <f t="array" ref="B83">IFERROR(INDEX(Lists!$B:$B,MATCH(B84,Lists!$A:$A,0)),"")</f>
        <v/>
      </c>
      <c r="C83" s="42" t="str">
        <f t="array" ref="C83">IFERROR(INDEX(Lists!$B:$B,MATCH(C84,Lists!$A:$A,0)),"")</f>
        <v/>
      </c>
      <c r="D83" s="42" t="str">
        <f t="array" ref="D83">IFERROR(INDEX(Lists!$B:$B,MATCH(D84,Lists!$A:$A,0)),"")</f>
        <v/>
      </c>
      <c r="E83" s="42" t="str">
        <f t="array" ref="E83">IFERROR(INDEX(Lists!$B:$B,MATCH(E84,Lists!$A:$A,0)),"")</f>
        <v/>
      </c>
      <c r="F83" s="42" t="str">
        <f t="array" ref="F83">IFERROR(INDEX(Lists!$B:$B,MATCH(F84,Lists!$A:$A,0)),"")</f>
        <v/>
      </c>
      <c r="G83" s="42" t="str">
        <f t="array" ref="G83">IFERROR(INDEX(Lists!$B:$B,MATCH(G84,Lists!$A:$A,0)),"")</f>
        <v/>
      </c>
      <c r="H83" s="2"/>
      <c r="I83" s="43" t="str">
        <f>IF(A82="","","Week of "&amp;TEXT(A82-7,"MM/DD"))</f>
        <v>Week of 04/10</v>
      </c>
      <c r="J83" s="43" t="str">
        <f>IF(A82="","","Week of "&amp;TEXT(A82,"MM/DD"))</f>
        <v>Week of 04/17</v>
      </c>
      <c r="K83" s="2"/>
      <c r="L83" s="2"/>
      <c r="M83" s="2"/>
      <c r="N83" s="2"/>
      <c r="O83" s="2"/>
      <c r="P83" s="2"/>
      <c r="Q83" s="2"/>
      <c r="R83" s="2"/>
      <c r="S83" s="2"/>
      <c r="T83" s="2"/>
      <c r="U83" s="2"/>
      <c r="V83" s="2"/>
      <c r="W83" s="2"/>
      <c r="X83" s="2"/>
      <c r="Y83" s="2"/>
      <c r="Z83" s="2"/>
    </row>
    <row r="84" ht="22.5" customHeight="1">
      <c r="A84" s="42" t="str">
        <f t="array" ref="A84">IFERROR(INDEX(FinishedData!$B:$B,MATCH(A82,FinishedData!$A:$A,0)),"")</f>
        <v>Practice</v>
      </c>
      <c r="B84" s="42" t="str">
        <f t="array" ref="B84">IFERROR(INDEX(FinishedData!$B:$B,MATCH(B82,FinishedData!$A:$A,0)),"")</f>
        <v>Game</v>
      </c>
      <c r="C84" s="42" t="str">
        <f t="array" ref="C84">IFERROR(INDEX(FinishedData!$B:$B,MATCH(C82,FinishedData!$A:$A,0)),"")</f>
        <v>Game</v>
      </c>
      <c r="D84" s="42" t="str">
        <f t="array" ref="D84">IFERROR(INDEX(FinishedData!$B:$B,MATCH(D82,FinishedData!$A:$A,0)),"")</f>
        <v>Off</v>
      </c>
      <c r="E84" s="42" t="str">
        <f t="array" ref="E84">IFERROR(INDEX(FinishedData!$B:$B,MATCH(E82,FinishedData!$A:$A,0)),"")</f>
        <v>Practice</v>
      </c>
      <c r="F84" s="42" t="str">
        <f t="array" ref="F84">IFERROR(INDEX(FinishedData!$B:$B,MATCH(F82,FinishedData!$A:$A,0)),"")</f>
        <v>Practice</v>
      </c>
      <c r="G84" s="42" t="str">
        <f t="array" ref="G84">IFERROR(INDEX(FinishedData!$B:$B,MATCH(G82,FinishedData!$A:$A,0)),"")</f>
        <v>Gym</v>
      </c>
      <c r="H84" s="2"/>
      <c r="I84" s="13">
        <f>IFERROR(IF(A82="","",IF(G82="",SUMIFS(FinishedData!$C:$C,FinishedData!$A:$A,"&gt;="&amp;MIN($A82:$G82)-7,FinishedData!$A:$A,"&lt;="&amp;MAX($A82:$G82)+(7-COUNT($A82:$G82)-7)),
SUMIFS(FinishedData!$C:$C,FinishedData!$A:$A,"&gt;="&amp;MIN($A82:$G82)-7,FinishedData!$A:$A,"&lt;="&amp;MAX($A82:$G82)-7))),"")</f>
        <v>4535</v>
      </c>
      <c r="J84" s="13">
        <f>IFERROR(IF(A82="","",SUMIFS(FinishedData!$C:$C,FinishedData!$A:$A,"&gt;="&amp;MIN($A82:$G82),FinishedData!$A:$A,"&lt;="&amp;MAX($A82:$G82))),"")</f>
        <v>4755</v>
      </c>
      <c r="K84" s="2"/>
      <c r="L84" s="2"/>
      <c r="M84" s="2"/>
      <c r="N84" s="2"/>
      <c r="O84" s="2"/>
      <c r="P84" s="2"/>
      <c r="Q84" s="2"/>
      <c r="R84" s="2"/>
      <c r="S84" s="2"/>
      <c r="T84" s="2"/>
      <c r="U84" s="2"/>
      <c r="V84" s="2"/>
      <c r="W84" s="2"/>
      <c r="X84" s="2"/>
      <c r="Y84" s="2"/>
      <c r="Z84" s="2"/>
    </row>
    <row r="85" ht="22.5" customHeight="1">
      <c r="A85" s="45">
        <f t="array" ref="A85">IFERROR(INDEX(FinishedData!$C:$C,MATCH(A82,FinishedData!$A:$A,0)),"")</f>
        <v>865</v>
      </c>
      <c r="B85" s="45">
        <f t="array" ref="B85">IFERROR(INDEX(FinishedData!$C:$C,MATCH(B82,FinishedData!$A:$A,0)),"")</f>
        <v>615</v>
      </c>
      <c r="C85" s="45">
        <f t="array" ref="C85">IFERROR(INDEX(FinishedData!$C:$C,MATCH(C82,FinishedData!$A:$A,0)),"")</f>
        <v>740</v>
      </c>
      <c r="D85" s="45" t="str">
        <f t="array" ref="D85">IFERROR(INDEX(FinishedData!$C:$C,MATCH(D82,FinishedData!$A:$A,0)),"")</f>
        <v/>
      </c>
      <c r="E85" s="45">
        <f t="array" ref="E85">IFERROR(INDEX(FinishedData!$C:$C,MATCH(E82,FinishedData!$A:$A,0)),"")</f>
        <v>690</v>
      </c>
      <c r="F85" s="45">
        <f t="array" ref="F85">IFERROR(INDEX(FinishedData!$C:$C,MATCH(F82,FinishedData!$A:$A,0)),"")</f>
        <v>920</v>
      </c>
      <c r="G85" s="45">
        <f t="array" ref="G85">IFERROR(INDEX(FinishedData!$C:$C,MATCH(G82,FinishedData!$A:$A,0)),"")</f>
        <v>925</v>
      </c>
      <c r="H85" s="2"/>
      <c r="I85" s="46" t="str">
        <f>IF(A82="","","CHANGE")</f>
        <v>CHANGE</v>
      </c>
      <c r="J85" s="47">
        <f>IFERROR(IF(A82="","",(J84-I84)/I84),"")</f>
        <v>0.04851157663</v>
      </c>
      <c r="K85" s="2"/>
      <c r="L85" s="2"/>
      <c r="M85" s="2"/>
      <c r="N85" s="2"/>
      <c r="O85" s="2"/>
      <c r="P85" s="2"/>
      <c r="Q85" s="2"/>
      <c r="R85" s="2"/>
      <c r="S85" s="2"/>
      <c r="T85" s="2"/>
      <c r="U85" s="2"/>
      <c r="V85" s="2"/>
      <c r="W85" s="2"/>
      <c r="X85" s="2"/>
      <c r="Y85" s="2"/>
      <c r="Z85" s="2"/>
    </row>
    <row r="86" ht="22.5" customHeight="1">
      <c r="A86" s="49">
        <f>IF(G82&gt;=$D$3,"",G82+1)</f>
        <v>44675</v>
      </c>
      <c r="B86" s="49">
        <f t="shared" ref="B86:G86" si="21">IF(A86&gt;=$D$3,"",A86+1)</f>
        <v>44676</v>
      </c>
      <c r="C86" s="49">
        <f t="shared" si="21"/>
        <v>44677</v>
      </c>
      <c r="D86" s="49">
        <f t="shared" si="21"/>
        <v>44678</v>
      </c>
      <c r="E86" s="49">
        <f t="shared" si="21"/>
        <v>44679</v>
      </c>
      <c r="F86" s="49">
        <f t="shared" si="21"/>
        <v>44680</v>
      </c>
      <c r="G86" s="49">
        <f t="shared" si="21"/>
        <v>44681</v>
      </c>
      <c r="H86" s="2"/>
      <c r="I86" s="7"/>
      <c r="J86" s="7"/>
      <c r="K86" s="2"/>
      <c r="L86" s="2"/>
      <c r="M86" s="2"/>
      <c r="N86" s="2"/>
      <c r="O86" s="2"/>
      <c r="P86" s="2"/>
      <c r="Q86" s="2"/>
      <c r="R86" s="2"/>
      <c r="S86" s="2"/>
      <c r="T86" s="2"/>
      <c r="U86" s="2"/>
      <c r="V86" s="2"/>
      <c r="W86" s="2"/>
      <c r="X86" s="2"/>
      <c r="Y86" s="2"/>
      <c r="Z86" s="2"/>
    </row>
    <row r="87" ht="22.5" customHeight="1">
      <c r="A87" s="42" t="str">
        <f t="array" ref="A87">IFERROR(INDEX(Lists!$B:$B,MATCH(A88,Lists!$A:$A,0)),"")</f>
        <v/>
      </c>
      <c r="B87" s="42" t="str">
        <f t="array" ref="B87">IFERROR(INDEX(Lists!$B:$B,MATCH(B88,Lists!$A:$A,0)),"")</f>
        <v/>
      </c>
      <c r="C87" s="42" t="str">
        <f t="array" ref="C87">IFERROR(INDEX(Lists!$B:$B,MATCH(C88,Lists!$A:$A,0)),"")</f>
        <v/>
      </c>
      <c r="D87" s="42" t="str">
        <f t="array" ref="D87">IFERROR(INDEX(Lists!$B:$B,MATCH(D88,Lists!$A:$A,0)),"")</f>
        <v/>
      </c>
      <c r="E87" s="42" t="str">
        <f t="array" ref="E87">IFERROR(INDEX(Lists!$B:$B,MATCH(E88,Lists!$A:$A,0)),"")</f>
        <v/>
      </c>
      <c r="F87" s="42" t="str">
        <f t="array" ref="F87">IFERROR(INDEX(Lists!$B:$B,MATCH(F88,Lists!$A:$A,0)),"")</f>
        <v/>
      </c>
      <c r="G87" s="42" t="str">
        <f t="array" ref="G87">IFERROR(INDEX(Lists!$B:$B,MATCH(G88,Lists!$A:$A,0)),"")</f>
        <v/>
      </c>
      <c r="H87" s="2"/>
      <c r="I87" s="43" t="str">
        <f>IF(A86="","","Week of "&amp;TEXT(A86-7,"MM/DD"))</f>
        <v>Week of 04/17</v>
      </c>
      <c r="J87" s="43" t="str">
        <f>IF(A86="","","Week of "&amp;TEXT(A86,"MM/DD"))</f>
        <v>Week of 04/24</v>
      </c>
      <c r="K87" s="2"/>
      <c r="L87" s="2"/>
      <c r="M87" s="2"/>
      <c r="N87" s="2"/>
      <c r="O87" s="2"/>
      <c r="P87" s="2"/>
      <c r="Q87" s="2"/>
      <c r="R87" s="2"/>
      <c r="S87" s="2"/>
      <c r="T87" s="2"/>
      <c r="U87" s="2"/>
      <c r="V87" s="2"/>
      <c r="W87" s="2"/>
      <c r="X87" s="2"/>
      <c r="Y87" s="2"/>
      <c r="Z87" s="2"/>
    </row>
    <row r="88" ht="22.5" customHeight="1">
      <c r="A88" s="42" t="str">
        <f t="array" ref="A88">IFERROR(INDEX(FinishedData!$B:$B,MATCH(A86,FinishedData!$A:$A,0)),"")</f>
        <v>Practice</v>
      </c>
      <c r="B88" s="42" t="str">
        <f t="array" ref="B88">IFERROR(INDEX(FinishedData!$B:$B,MATCH(B86,FinishedData!$A:$A,0)),"")</f>
        <v>Practice</v>
      </c>
      <c r="C88" s="42" t="str">
        <f t="array" ref="C88">IFERROR(INDEX(FinishedData!$B:$B,MATCH(C86,FinishedData!$A:$A,0)),"")</f>
        <v>Game</v>
      </c>
      <c r="D88" s="42" t="str">
        <f t="array" ref="D88">IFERROR(INDEX(FinishedData!$B:$B,MATCH(D86,FinishedData!$A:$A,0)),"")</f>
        <v>Practice</v>
      </c>
      <c r="E88" s="42" t="str">
        <f t="array" ref="E88">IFERROR(INDEX(FinishedData!$B:$B,MATCH(E86,FinishedData!$A:$A,0)),"")</f>
        <v>Game</v>
      </c>
      <c r="F88" s="42" t="str">
        <f t="array" ref="F88">IFERROR(INDEX(FinishedData!$B:$B,MATCH(F86,FinishedData!$A:$A,0)),"")</f>
        <v>Off</v>
      </c>
      <c r="G88" s="42" t="str">
        <f t="array" ref="G88">IFERROR(INDEX(FinishedData!$B:$B,MATCH(G86,FinishedData!$A:$A,0)),"")</f>
        <v>Practice</v>
      </c>
      <c r="H88" s="2"/>
      <c r="I88" s="13">
        <f>IFERROR(IF(A86="","",IF(G86="",SUMIFS(FinishedData!$C:$C,FinishedData!$A:$A,"&gt;="&amp;MIN($A86:$G86)-7,FinishedData!$A:$A,"&lt;="&amp;MAX($A86:$G86)+(7-COUNT($A86:$G86)-7)),
SUMIFS(FinishedData!$C:$C,FinishedData!$A:$A,"&gt;="&amp;MIN($A86:$G86)-7,FinishedData!$A:$A,"&lt;="&amp;MAX($A86:$G86)-7))),"")</f>
        <v>4755</v>
      </c>
      <c r="J88" s="13">
        <f>IFERROR(IF(A86="","",SUMIFS(FinishedData!$C:$C,FinishedData!$A:$A,"&gt;="&amp;MIN($A86:$G86),FinishedData!$A:$A,"&lt;="&amp;MAX($A86:$G86))),"")</f>
        <v>4880</v>
      </c>
      <c r="K88" s="2"/>
      <c r="L88" s="2"/>
      <c r="M88" s="2"/>
      <c r="N88" s="2"/>
      <c r="O88" s="2"/>
      <c r="P88" s="2"/>
      <c r="Q88" s="2"/>
      <c r="R88" s="2"/>
      <c r="S88" s="2"/>
      <c r="T88" s="2"/>
      <c r="U88" s="2"/>
      <c r="V88" s="2"/>
      <c r="W88" s="2"/>
      <c r="X88" s="2"/>
      <c r="Y88" s="2"/>
      <c r="Z88" s="2"/>
    </row>
    <row r="89" ht="22.5" customHeight="1">
      <c r="A89" s="45">
        <f t="array" ref="A89">IFERROR(INDEX(FinishedData!$C:$C,MATCH(A86,FinishedData!$A:$A,0)),"")</f>
        <v>915</v>
      </c>
      <c r="B89" s="45">
        <f t="array" ref="B89">IFERROR(INDEX(FinishedData!$C:$C,MATCH(B86,FinishedData!$A:$A,0)),"")</f>
        <v>650</v>
      </c>
      <c r="C89" s="45">
        <f t="array" ref="C89">IFERROR(INDEX(FinishedData!$C:$C,MATCH(C86,FinishedData!$A:$A,0)),"")</f>
        <v>905</v>
      </c>
      <c r="D89" s="45">
        <f t="array" ref="D89">IFERROR(INDEX(FinishedData!$C:$C,MATCH(D86,FinishedData!$A:$A,0)),"")</f>
        <v>940</v>
      </c>
      <c r="E89" s="45">
        <f t="array" ref="E89">IFERROR(INDEX(FinishedData!$C:$C,MATCH(E86,FinishedData!$A:$A,0)),"")</f>
        <v>770</v>
      </c>
      <c r="F89" s="45" t="str">
        <f t="array" ref="F89">IFERROR(INDEX(FinishedData!$C:$C,MATCH(F86,FinishedData!$A:$A,0)),"")</f>
        <v/>
      </c>
      <c r="G89" s="45">
        <f t="array" ref="G89">IFERROR(INDEX(FinishedData!$C:$C,MATCH(G86,FinishedData!$A:$A,0)),"")</f>
        <v>700</v>
      </c>
      <c r="H89" s="2"/>
      <c r="I89" s="46" t="str">
        <f>IF(A86="","","CHANGE")</f>
        <v>CHANGE</v>
      </c>
      <c r="J89" s="47">
        <f>IFERROR(IF(A86="","",(J88-I88)/I88),"")</f>
        <v>0.02628811777</v>
      </c>
      <c r="K89" s="2"/>
      <c r="L89" s="2"/>
      <c r="M89" s="2"/>
      <c r="N89" s="2"/>
      <c r="O89" s="2"/>
      <c r="P89" s="2"/>
      <c r="Q89" s="2"/>
      <c r="R89" s="2"/>
      <c r="S89" s="2"/>
      <c r="T89" s="2"/>
      <c r="U89" s="2"/>
      <c r="V89" s="2"/>
      <c r="W89" s="2"/>
      <c r="X89" s="2"/>
      <c r="Y89" s="2"/>
      <c r="Z89" s="2"/>
    </row>
    <row r="90" ht="22.5" customHeight="1">
      <c r="A90" s="49">
        <f>IF(G86&gt;=$D$3,"",G86+1)</f>
        <v>44682</v>
      </c>
      <c r="B90" s="49">
        <f t="shared" ref="B90:G90" si="22">IF(A90&gt;=$D$3,"",A90+1)</f>
        <v>44683</v>
      </c>
      <c r="C90" s="49">
        <f t="shared" si="22"/>
        <v>44684</v>
      </c>
      <c r="D90" s="49">
        <f t="shared" si="22"/>
        <v>44685</v>
      </c>
      <c r="E90" s="49">
        <f t="shared" si="22"/>
        <v>44686</v>
      </c>
      <c r="F90" s="49">
        <f t="shared" si="22"/>
        <v>44687</v>
      </c>
      <c r="G90" s="49">
        <f t="shared" si="22"/>
        <v>44688</v>
      </c>
      <c r="H90" s="2"/>
      <c r="I90" s="7"/>
      <c r="J90" s="7"/>
      <c r="K90" s="2"/>
      <c r="L90" s="2"/>
      <c r="M90" s="2"/>
      <c r="N90" s="2"/>
      <c r="O90" s="2"/>
      <c r="P90" s="2"/>
      <c r="Q90" s="2"/>
      <c r="R90" s="2"/>
      <c r="S90" s="2"/>
      <c r="T90" s="2"/>
      <c r="U90" s="2"/>
      <c r="V90" s="2"/>
      <c r="W90" s="2"/>
      <c r="X90" s="2"/>
      <c r="Y90" s="2"/>
      <c r="Z90" s="2"/>
    </row>
    <row r="91" ht="22.5" customHeight="1">
      <c r="A91" s="42" t="str">
        <f t="array" ref="A91">IFERROR(INDEX(Lists!$B:$B,MATCH(A92,Lists!$A:$A,0)),"")</f>
        <v/>
      </c>
      <c r="B91" s="42" t="str">
        <f t="array" ref="B91">IFERROR(INDEX(Lists!$B:$B,MATCH(B92,Lists!$A:$A,0)),"")</f>
        <v/>
      </c>
      <c r="C91" s="42" t="str">
        <f t="array" ref="C91">IFERROR(INDEX(Lists!$B:$B,MATCH(C92,Lists!$A:$A,0)),"")</f>
        <v/>
      </c>
      <c r="D91" s="42" t="str">
        <f t="array" ref="D91">IFERROR(INDEX(Lists!$B:$B,MATCH(D92,Lists!$A:$A,0)),"")</f>
        <v/>
      </c>
      <c r="E91" s="42" t="str">
        <f t="array" ref="E91">IFERROR(INDEX(Lists!$B:$B,MATCH(E92,Lists!$A:$A,0)),"")</f>
        <v/>
      </c>
      <c r="F91" s="42" t="str">
        <f t="array" ref="F91">IFERROR(INDEX(Lists!$B:$B,MATCH(F92,Lists!$A:$A,0)),"")</f>
        <v/>
      </c>
      <c r="G91" s="42" t="str">
        <f t="array" ref="G91">IFERROR(INDEX(Lists!$B:$B,MATCH(G92,Lists!$A:$A,0)),"")</f>
        <v/>
      </c>
      <c r="H91" s="2"/>
      <c r="I91" s="43" t="str">
        <f>IF(A90="","","Week of "&amp;TEXT(A90-7,"MM/DD"))</f>
        <v>Week of 04/24</v>
      </c>
      <c r="J91" s="43" t="str">
        <f>IF(A90="","","Week of "&amp;TEXT(A90,"MM/DD"))</f>
        <v>Week of 05/01</v>
      </c>
      <c r="K91" s="2"/>
      <c r="L91" s="2"/>
      <c r="M91" s="2"/>
      <c r="N91" s="2"/>
      <c r="O91" s="2"/>
      <c r="P91" s="2"/>
      <c r="Q91" s="2"/>
      <c r="R91" s="2"/>
      <c r="S91" s="2"/>
      <c r="T91" s="2"/>
      <c r="U91" s="2"/>
      <c r="V91" s="2"/>
      <c r="W91" s="2"/>
      <c r="X91" s="2"/>
      <c r="Y91" s="2"/>
      <c r="Z91" s="2"/>
    </row>
    <row r="92" ht="22.5" customHeight="1">
      <c r="A92" s="42" t="str">
        <f t="array" ref="A92">IFERROR(INDEX(FinishedData!$B:$B,MATCH(A90,FinishedData!$A:$A,0)),"")</f>
        <v>Gym</v>
      </c>
      <c r="B92" s="42" t="str">
        <f t="array" ref="B92">IFERROR(INDEX(FinishedData!$B:$B,MATCH(B90,FinishedData!$A:$A,0)),"")</f>
        <v>Practice</v>
      </c>
      <c r="C92" s="42" t="str">
        <f t="array" ref="C92">IFERROR(INDEX(FinishedData!$B:$B,MATCH(C90,FinishedData!$A:$A,0)),"")</f>
        <v>Practice</v>
      </c>
      <c r="D92" s="42" t="str">
        <f t="array" ref="D92">IFERROR(INDEX(FinishedData!$B:$B,MATCH(D90,FinishedData!$A:$A,0)),"")</f>
        <v>Practice</v>
      </c>
      <c r="E92" s="42" t="str">
        <f t="array" ref="E92">IFERROR(INDEX(FinishedData!$B:$B,MATCH(E90,FinishedData!$A:$A,0)),"")</f>
        <v>Game</v>
      </c>
      <c r="F92" s="42" t="str">
        <f t="array" ref="F92">IFERROR(INDEX(FinishedData!$B:$B,MATCH(F90,FinishedData!$A:$A,0)),"")</f>
        <v>Off</v>
      </c>
      <c r="G92" s="42" t="str">
        <f t="array" ref="G92">IFERROR(INDEX(FinishedData!$B:$B,MATCH(G90,FinishedData!$A:$A,0)),"")</f>
        <v>Practice</v>
      </c>
      <c r="H92" s="2"/>
      <c r="I92" s="13">
        <f>IFERROR(IF(A90="","",IF(G90="",SUMIFS(FinishedData!$C:$C,FinishedData!$A:$A,"&gt;="&amp;MIN($A90:$G90)-7,FinishedData!$A:$A,"&lt;="&amp;MAX($A90:$G90)+(7-COUNT($A90:$G90)-7)),
SUMIFS(FinishedData!$C:$C,FinishedData!$A:$A,"&gt;="&amp;MIN($A90:$G90)-7,FinishedData!$A:$A,"&lt;="&amp;MAX($A90:$G90)-7))),"")</f>
        <v>4880</v>
      </c>
      <c r="J92" s="13">
        <f>IFERROR(IF(A90="","",SUMIFS(FinishedData!$C:$C,FinishedData!$A:$A,"&gt;="&amp;MIN($A90:$G90),FinishedData!$A:$A,"&lt;="&amp;MAX($A90:$G90))),"")</f>
        <v>3940</v>
      </c>
      <c r="K92" s="2"/>
      <c r="L92" s="2"/>
      <c r="M92" s="2"/>
      <c r="N92" s="2"/>
      <c r="O92" s="2"/>
      <c r="P92" s="2"/>
      <c r="Q92" s="2"/>
      <c r="R92" s="2"/>
      <c r="S92" s="2"/>
      <c r="T92" s="2"/>
      <c r="U92" s="2"/>
      <c r="V92" s="2"/>
      <c r="W92" s="2"/>
      <c r="X92" s="2"/>
      <c r="Y92" s="2"/>
      <c r="Z92" s="2"/>
    </row>
    <row r="93" ht="22.5" customHeight="1">
      <c r="A93" s="45">
        <f t="array" ref="A93">IFERROR(INDEX(FinishedData!$C:$C,MATCH(A90,FinishedData!$A:$A,0)),"")</f>
        <v>615</v>
      </c>
      <c r="B93" s="45">
        <f t="array" ref="B93">IFERROR(INDEX(FinishedData!$C:$C,MATCH(B90,FinishedData!$A:$A,0)),"")</f>
        <v>810</v>
      </c>
      <c r="C93" s="45">
        <f t="array" ref="C93">IFERROR(INDEX(FinishedData!$C:$C,MATCH(C90,FinishedData!$A:$A,0)),"")</f>
        <v>765</v>
      </c>
      <c r="D93" s="45">
        <f t="array" ref="D93">IFERROR(INDEX(FinishedData!$C:$C,MATCH(D90,FinishedData!$A:$A,0)),"")</f>
        <v>550</v>
      </c>
      <c r="E93" s="45">
        <f t="array" ref="E93">IFERROR(INDEX(FinishedData!$C:$C,MATCH(E90,FinishedData!$A:$A,0)),"")</f>
        <v>585</v>
      </c>
      <c r="F93" s="45" t="str">
        <f t="array" ref="F93">IFERROR(INDEX(FinishedData!$C:$C,MATCH(F90,FinishedData!$A:$A,0)),"")</f>
        <v/>
      </c>
      <c r="G93" s="45">
        <f t="array" ref="G93">IFERROR(INDEX(FinishedData!$C:$C,MATCH(G90,FinishedData!$A:$A,0)),"")</f>
        <v>615</v>
      </c>
      <c r="H93" s="2"/>
      <c r="I93" s="46" t="str">
        <f>IF(A90="","","CHANGE")</f>
        <v>CHANGE</v>
      </c>
      <c r="J93" s="47">
        <f>IFERROR(IF(A90="","",(J92-I92)/I92),"")</f>
        <v>-0.1926229508</v>
      </c>
      <c r="K93" s="2"/>
      <c r="L93" s="2"/>
      <c r="M93" s="2"/>
      <c r="N93" s="2"/>
      <c r="O93" s="2"/>
      <c r="P93" s="2"/>
      <c r="Q93" s="2"/>
      <c r="R93" s="2"/>
      <c r="S93" s="2"/>
      <c r="T93" s="2"/>
      <c r="U93" s="2"/>
      <c r="V93" s="2"/>
      <c r="W93" s="2"/>
      <c r="X93" s="2"/>
      <c r="Y93" s="2"/>
      <c r="Z93" s="2"/>
    </row>
    <row r="94" ht="22.5" customHeight="1">
      <c r="A94" s="49">
        <f>IF(G90&gt;=$D$3,"",G90+1)</f>
        <v>44689</v>
      </c>
      <c r="B94" s="49">
        <f t="shared" ref="B94:G94" si="23">IF(A94&gt;=$D$3,"",A94+1)</f>
        <v>44690</v>
      </c>
      <c r="C94" s="49">
        <f t="shared" si="23"/>
        <v>44691</v>
      </c>
      <c r="D94" s="49">
        <f t="shared" si="23"/>
        <v>44692</v>
      </c>
      <c r="E94" s="49">
        <f t="shared" si="23"/>
        <v>44693</v>
      </c>
      <c r="F94" s="49">
        <f t="shared" si="23"/>
        <v>44694</v>
      </c>
      <c r="G94" s="49">
        <f t="shared" si="23"/>
        <v>44695</v>
      </c>
      <c r="H94" s="2"/>
      <c r="I94" s="7"/>
      <c r="J94" s="7"/>
      <c r="K94" s="2"/>
      <c r="L94" s="2"/>
      <c r="M94" s="2"/>
      <c r="N94" s="2"/>
      <c r="O94" s="2"/>
      <c r="P94" s="2"/>
      <c r="Q94" s="2"/>
      <c r="R94" s="2"/>
      <c r="S94" s="2"/>
      <c r="T94" s="2"/>
      <c r="U94" s="2"/>
      <c r="V94" s="2"/>
      <c r="W94" s="2"/>
      <c r="X94" s="2"/>
      <c r="Y94" s="2"/>
      <c r="Z94" s="2"/>
    </row>
    <row r="95" ht="22.5" customHeight="1">
      <c r="A95" s="42" t="str">
        <f t="array" ref="A95">IFERROR(INDEX(Lists!$B:$B,MATCH(A96,Lists!$A:$A,0)),"")</f>
        <v/>
      </c>
      <c r="B95" s="42" t="str">
        <f t="array" ref="B95">IFERROR(INDEX(Lists!$B:$B,MATCH(B96,Lists!$A:$A,0)),"")</f>
        <v/>
      </c>
      <c r="C95" s="42" t="str">
        <f t="array" ref="C95">IFERROR(INDEX(Lists!$B:$B,MATCH(C96,Lists!$A:$A,0)),"")</f>
        <v/>
      </c>
      <c r="D95" s="42" t="str">
        <f t="array" ref="D95">IFERROR(INDEX(Lists!$B:$B,MATCH(D96,Lists!$A:$A,0)),"")</f>
        <v/>
      </c>
      <c r="E95" s="42" t="str">
        <f t="array" ref="E95">IFERROR(INDEX(Lists!$B:$B,MATCH(E96,Lists!$A:$A,0)),"")</f>
        <v/>
      </c>
      <c r="F95" s="42" t="str">
        <f t="array" ref="F95">IFERROR(INDEX(Lists!$B:$B,MATCH(F96,Lists!$A:$A,0)),"")</f>
        <v/>
      </c>
      <c r="G95" s="42" t="str">
        <f t="array" ref="G95">IFERROR(INDEX(Lists!$B:$B,MATCH(G96,Lists!$A:$A,0)),"")</f>
        <v/>
      </c>
      <c r="H95" s="2"/>
      <c r="I95" s="43" t="str">
        <f>IF(A94="","","Week of "&amp;TEXT(A94-7,"MM/DD"))</f>
        <v>Week of 05/01</v>
      </c>
      <c r="J95" s="43" t="str">
        <f>IF(A94="","","Week of "&amp;TEXT(A94,"MM/DD"))</f>
        <v>Week of 05/08</v>
      </c>
      <c r="K95" s="2"/>
      <c r="L95" s="2"/>
      <c r="M95" s="2"/>
      <c r="N95" s="2"/>
      <c r="O95" s="2"/>
      <c r="P95" s="2"/>
      <c r="Q95" s="2"/>
      <c r="R95" s="2"/>
      <c r="S95" s="2"/>
      <c r="T95" s="2"/>
      <c r="U95" s="2"/>
      <c r="V95" s="2"/>
      <c r="W95" s="2"/>
      <c r="X95" s="2"/>
      <c r="Y95" s="2"/>
      <c r="Z95" s="2"/>
    </row>
    <row r="96" ht="22.5" customHeight="1">
      <c r="A96" s="42" t="str">
        <f t="array" ref="A96">IFERROR(INDEX(FinishedData!$B:$B,MATCH(A94,FinishedData!$A:$A,0)),"")</f>
        <v>Game</v>
      </c>
      <c r="B96" s="42" t="str">
        <f t="array" ref="B96">IFERROR(INDEX(FinishedData!$B:$B,MATCH(B94,FinishedData!$A:$A,0)),"")</f>
        <v>Practice</v>
      </c>
      <c r="C96" s="42" t="str">
        <f t="array" ref="C96">IFERROR(INDEX(FinishedData!$B:$B,MATCH(C94,FinishedData!$A:$A,0)),"")</f>
        <v>Practice</v>
      </c>
      <c r="D96" s="42" t="str">
        <f t="array" ref="D96">IFERROR(INDEX(FinishedData!$B:$B,MATCH(D94,FinishedData!$A:$A,0)),"")</f>
        <v>Game</v>
      </c>
      <c r="E96" s="42" t="str">
        <f t="array" ref="E96">IFERROR(INDEX(FinishedData!$B:$B,MATCH(E94,FinishedData!$A:$A,0)),"")</f>
        <v>Practice</v>
      </c>
      <c r="F96" s="42" t="str">
        <f t="array" ref="F96">IFERROR(INDEX(FinishedData!$B:$B,MATCH(F94,FinishedData!$A:$A,0)),"")</f>
        <v>Gym</v>
      </c>
      <c r="G96" s="42" t="str">
        <f t="array" ref="G96">IFERROR(INDEX(FinishedData!$B:$B,MATCH(G94,FinishedData!$A:$A,0)),"")</f>
        <v>Off</v>
      </c>
      <c r="H96" s="2"/>
      <c r="I96" s="13">
        <f>IFERROR(IF(A94="","",IF(G94="",SUMIFS(FinishedData!$C:$C,FinishedData!$A:$A,"&gt;="&amp;MIN($A94:$G94)-7,FinishedData!$A:$A,"&lt;="&amp;MAX($A94:$G94)+(7-COUNT($A94:$G94)-7)),
SUMIFS(FinishedData!$C:$C,FinishedData!$A:$A,"&gt;="&amp;MIN($A94:$G94)-7,FinishedData!$A:$A,"&lt;="&amp;MAX($A94:$G94)-7))),"")</f>
        <v>3940</v>
      </c>
      <c r="J96" s="13">
        <f>IFERROR(IF(A94="","",SUMIFS(FinishedData!$C:$C,FinishedData!$A:$A,"&gt;="&amp;MIN($A94:$G94),FinishedData!$A:$A,"&lt;="&amp;MAX($A94:$G94))),"")</f>
        <v>4400</v>
      </c>
      <c r="K96" s="2"/>
      <c r="L96" s="2"/>
      <c r="M96" s="2"/>
      <c r="N96" s="2"/>
      <c r="O96" s="2"/>
      <c r="P96" s="2"/>
      <c r="Q96" s="2"/>
      <c r="R96" s="2"/>
      <c r="S96" s="2"/>
      <c r="T96" s="2"/>
      <c r="U96" s="2"/>
      <c r="V96" s="2"/>
      <c r="W96" s="2"/>
      <c r="X96" s="2"/>
      <c r="Y96" s="2"/>
      <c r="Z96" s="2"/>
    </row>
    <row r="97" ht="22.5" customHeight="1">
      <c r="A97" s="45">
        <f t="array" ref="A97">IFERROR(INDEX(FinishedData!$C:$C,MATCH(A94,FinishedData!$A:$A,0)),"")</f>
        <v>595</v>
      </c>
      <c r="B97" s="45">
        <f t="array" ref="B97">IFERROR(INDEX(FinishedData!$C:$C,MATCH(B94,FinishedData!$A:$A,0)),"")</f>
        <v>965</v>
      </c>
      <c r="C97" s="45">
        <f t="array" ref="C97">IFERROR(INDEX(FinishedData!$C:$C,MATCH(C94,FinishedData!$A:$A,0)),"")</f>
        <v>700</v>
      </c>
      <c r="D97" s="45">
        <f t="array" ref="D97">IFERROR(INDEX(FinishedData!$C:$C,MATCH(D94,FinishedData!$A:$A,0)),"")</f>
        <v>870</v>
      </c>
      <c r="E97" s="45">
        <f t="array" ref="E97">IFERROR(INDEX(FinishedData!$C:$C,MATCH(E94,FinishedData!$A:$A,0)),"")</f>
        <v>730</v>
      </c>
      <c r="F97" s="45">
        <f t="array" ref="F97">IFERROR(INDEX(FinishedData!$C:$C,MATCH(F94,FinishedData!$A:$A,0)),"")</f>
        <v>540</v>
      </c>
      <c r="G97" s="45" t="str">
        <f t="array" ref="G97">IFERROR(INDEX(FinishedData!$C:$C,MATCH(G94,FinishedData!$A:$A,0)),"")</f>
        <v/>
      </c>
      <c r="H97" s="2"/>
      <c r="I97" s="46" t="str">
        <f>IF(A94="","","CHANGE")</f>
        <v>CHANGE</v>
      </c>
      <c r="J97" s="47">
        <f>IFERROR(IF(A94="","",(J96-I96)/I96),"")</f>
        <v>0.116751269</v>
      </c>
      <c r="K97" s="2"/>
      <c r="L97" s="2"/>
      <c r="M97" s="2"/>
      <c r="N97" s="2"/>
      <c r="O97" s="2"/>
      <c r="P97" s="2"/>
      <c r="Q97" s="2"/>
      <c r="R97" s="2"/>
      <c r="S97" s="2"/>
      <c r="T97" s="2"/>
      <c r="U97" s="2"/>
      <c r="V97" s="2"/>
      <c r="W97" s="2"/>
      <c r="X97" s="2"/>
      <c r="Y97" s="2"/>
      <c r="Z97" s="2"/>
    </row>
    <row r="98" ht="22.5" customHeight="1">
      <c r="A98" s="49">
        <f>IF(G94&gt;=$D$3,"",G94+1)</f>
        <v>44696</v>
      </c>
      <c r="B98" s="49">
        <f t="shared" ref="B98:G98" si="24">IF(A98&gt;=$D$3,"",A98+1)</f>
        <v>44697</v>
      </c>
      <c r="C98" s="49">
        <f t="shared" si="24"/>
        <v>44698</v>
      </c>
      <c r="D98" s="49">
        <f t="shared" si="24"/>
        <v>44699</v>
      </c>
      <c r="E98" s="49">
        <f t="shared" si="24"/>
        <v>44700</v>
      </c>
      <c r="F98" s="49">
        <f t="shared" si="24"/>
        <v>44701</v>
      </c>
      <c r="G98" s="49">
        <f t="shared" si="24"/>
        <v>44702</v>
      </c>
      <c r="H98" s="2"/>
      <c r="I98" s="7"/>
      <c r="J98" s="7"/>
      <c r="K98" s="2"/>
      <c r="L98" s="2"/>
      <c r="M98" s="2"/>
      <c r="N98" s="2"/>
      <c r="O98" s="2"/>
      <c r="P98" s="2"/>
      <c r="Q98" s="2"/>
      <c r="R98" s="2"/>
      <c r="S98" s="2"/>
      <c r="T98" s="2"/>
      <c r="U98" s="2"/>
      <c r="V98" s="2"/>
      <c r="W98" s="2"/>
      <c r="X98" s="2"/>
      <c r="Y98" s="2"/>
      <c r="Z98" s="2"/>
    </row>
    <row r="99" ht="22.5" customHeight="1">
      <c r="A99" s="42" t="str">
        <f t="array" ref="A99">IFERROR(INDEX(Lists!$B:$B,MATCH(A100,Lists!$A:$A,0)),"")</f>
        <v/>
      </c>
      <c r="B99" s="42" t="str">
        <f t="array" ref="B99">IFERROR(INDEX(Lists!$B:$B,MATCH(B100,Lists!$A:$A,0)),"")</f>
        <v/>
      </c>
      <c r="C99" s="42" t="str">
        <f t="array" ref="C99">IFERROR(INDEX(Lists!$B:$B,MATCH(C100,Lists!$A:$A,0)),"")</f>
        <v/>
      </c>
      <c r="D99" s="42" t="str">
        <f t="array" ref="D99">IFERROR(INDEX(Lists!$B:$B,MATCH(D100,Lists!$A:$A,0)),"")</f>
        <v/>
      </c>
      <c r="E99" s="42" t="str">
        <f t="array" ref="E99">IFERROR(INDEX(Lists!$B:$B,MATCH(E100,Lists!$A:$A,0)),"")</f>
        <v/>
      </c>
      <c r="F99" s="42" t="str">
        <f t="array" ref="F99">IFERROR(INDEX(Lists!$B:$B,MATCH(F100,Lists!$A:$A,0)),"")</f>
        <v/>
      </c>
      <c r="G99" s="42" t="str">
        <f t="array" ref="G99">IFERROR(INDEX(Lists!$B:$B,MATCH(G100,Lists!$A:$A,0)),"")</f>
        <v/>
      </c>
      <c r="H99" s="2"/>
      <c r="I99" s="43" t="str">
        <f>IF(A98="","","Week of "&amp;TEXT(A98-7,"MM/DD"))</f>
        <v>Week of 05/08</v>
      </c>
      <c r="J99" s="43" t="str">
        <f>IF(A98="","","Week of "&amp;TEXT(A98,"MM/DD"))</f>
        <v>Week of 05/15</v>
      </c>
      <c r="K99" s="2"/>
      <c r="L99" s="2"/>
      <c r="M99" s="2"/>
      <c r="N99" s="2"/>
      <c r="O99" s="2"/>
      <c r="P99" s="2"/>
      <c r="Q99" s="2"/>
      <c r="R99" s="2"/>
      <c r="S99" s="2"/>
      <c r="T99" s="2"/>
      <c r="U99" s="2"/>
      <c r="V99" s="2"/>
      <c r="W99" s="2"/>
      <c r="X99" s="2"/>
      <c r="Y99" s="2"/>
      <c r="Z99" s="2"/>
    </row>
    <row r="100" ht="22.5" customHeight="1">
      <c r="A100" s="42" t="str">
        <f t="array" ref="A100">IFERROR(INDEX(FinishedData!$B:$B,MATCH(A98,FinishedData!$A:$A,0)),"")</f>
        <v>Practice</v>
      </c>
      <c r="B100" s="42" t="str">
        <f t="array" ref="B100">IFERROR(INDEX(FinishedData!$B:$B,MATCH(B98,FinishedData!$A:$A,0)),"")</f>
        <v>Practice</v>
      </c>
      <c r="C100" s="42" t="str">
        <f t="array" ref="C100">IFERROR(INDEX(FinishedData!$B:$B,MATCH(C98,FinishedData!$A:$A,0)),"")</f>
        <v>Game</v>
      </c>
      <c r="D100" s="42" t="str">
        <f t="array" ref="D100">IFERROR(INDEX(FinishedData!$B:$B,MATCH(D98,FinishedData!$A:$A,0)),"")</f>
        <v>Game</v>
      </c>
      <c r="E100" s="42" t="str">
        <f t="array" ref="E100">IFERROR(INDEX(FinishedData!$B:$B,MATCH(E98,FinishedData!$A:$A,0)),"")</f>
        <v>Off</v>
      </c>
      <c r="F100" s="42" t="str">
        <f t="array" ref="F100">IFERROR(INDEX(FinishedData!$B:$B,MATCH(F98,FinishedData!$A:$A,0)),"")</f>
        <v>Practice</v>
      </c>
      <c r="G100" s="42" t="str">
        <f t="array" ref="G100">IFERROR(INDEX(FinishedData!$B:$B,MATCH(G98,FinishedData!$A:$A,0)),"")</f>
        <v>Gym</v>
      </c>
      <c r="H100" s="2"/>
      <c r="I100" s="13">
        <f>IFERROR(IF(A98="","",IF(G98="",SUMIFS(FinishedData!$C:$C,FinishedData!$A:$A,"&gt;="&amp;MIN($A98:$G98)-7,FinishedData!$A:$A,"&lt;="&amp;MAX($A98:$G98)+(7-COUNT($A98:$G98)-7)),
SUMIFS(FinishedData!$C:$C,FinishedData!$A:$A,"&gt;="&amp;MIN($A98:$G98)-7,FinishedData!$A:$A,"&lt;="&amp;MAX($A98:$G98)-7))),"")</f>
        <v>4400</v>
      </c>
      <c r="J100" s="13">
        <f>IFERROR(IF(A98="","",SUMIFS(FinishedData!$C:$C,FinishedData!$A:$A,"&gt;="&amp;MIN($A98:$G98),FinishedData!$A:$A,"&lt;="&amp;MAX($A98:$G98))),"")</f>
        <v>5240</v>
      </c>
      <c r="K100" s="2"/>
      <c r="L100" s="2"/>
      <c r="M100" s="2"/>
      <c r="N100" s="2"/>
      <c r="O100" s="2"/>
      <c r="P100" s="2"/>
      <c r="Q100" s="2"/>
      <c r="R100" s="2"/>
      <c r="S100" s="2"/>
      <c r="T100" s="2"/>
      <c r="U100" s="2"/>
      <c r="V100" s="2"/>
      <c r="W100" s="2"/>
      <c r="X100" s="2"/>
      <c r="Y100" s="2"/>
      <c r="Z100" s="2"/>
    </row>
    <row r="101" ht="22.5" customHeight="1">
      <c r="A101" s="45">
        <f t="array" ref="A101">IFERROR(INDEX(FinishedData!$C:$C,MATCH(A98,FinishedData!$A:$A,0)),"")</f>
        <v>735</v>
      </c>
      <c r="B101" s="45">
        <f t="array" ref="B101">IFERROR(INDEX(FinishedData!$C:$C,MATCH(B98,FinishedData!$A:$A,0)),"")</f>
        <v>895</v>
      </c>
      <c r="C101" s="45">
        <f t="array" ref="C101">IFERROR(INDEX(FinishedData!$C:$C,MATCH(C98,FinishedData!$A:$A,0)),"")</f>
        <v>835</v>
      </c>
      <c r="D101" s="45">
        <f t="array" ref="D101">IFERROR(INDEX(FinishedData!$C:$C,MATCH(D98,FinishedData!$A:$A,0)),"")</f>
        <v>815</v>
      </c>
      <c r="E101" s="45" t="str">
        <f t="array" ref="E101">IFERROR(INDEX(FinishedData!$C:$C,MATCH(E98,FinishedData!$A:$A,0)),"")</f>
        <v/>
      </c>
      <c r="F101" s="45">
        <f t="array" ref="F101">IFERROR(INDEX(FinishedData!$C:$C,MATCH(F98,FinishedData!$A:$A,0)),"")</f>
        <v>990</v>
      </c>
      <c r="G101" s="45">
        <f t="array" ref="G101">IFERROR(INDEX(FinishedData!$C:$C,MATCH(G98,FinishedData!$A:$A,0)),"")</f>
        <v>970</v>
      </c>
      <c r="H101" s="2"/>
      <c r="I101" s="46" t="str">
        <f>IF(A98="","","CHANGE")</f>
        <v>CHANGE</v>
      </c>
      <c r="J101" s="47">
        <f>IFERROR(IF(A98="","",(J100-I100)/I100),"")</f>
        <v>0.1909090909</v>
      </c>
      <c r="K101" s="2"/>
      <c r="L101" s="2"/>
      <c r="M101" s="2"/>
      <c r="N101" s="2"/>
      <c r="O101" s="2"/>
      <c r="P101" s="2"/>
      <c r="Q101" s="2"/>
      <c r="R101" s="2"/>
      <c r="S101" s="2"/>
      <c r="T101" s="2"/>
      <c r="U101" s="2"/>
      <c r="V101" s="2"/>
      <c r="W101" s="2"/>
      <c r="X101" s="2"/>
      <c r="Y101" s="2"/>
      <c r="Z101" s="2"/>
    </row>
    <row r="102" ht="22.5" customHeight="1">
      <c r="A102" s="49">
        <f>IF(G98&gt;=$D$3,"",G98+1)</f>
        <v>44703</v>
      </c>
      <c r="B102" s="49">
        <f t="shared" ref="B102:G102" si="25">IF(A102&gt;=$D$3,"",A102+1)</f>
        <v>44704</v>
      </c>
      <c r="C102" s="49">
        <f t="shared" si="25"/>
        <v>44705</v>
      </c>
      <c r="D102" s="49">
        <f t="shared" si="25"/>
        <v>44706</v>
      </c>
      <c r="E102" s="49">
        <f t="shared" si="25"/>
        <v>44707</v>
      </c>
      <c r="F102" s="49">
        <f t="shared" si="25"/>
        <v>44708</v>
      </c>
      <c r="G102" s="49">
        <f t="shared" si="25"/>
        <v>44709</v>
      </c>
      <c r="H102" s="2"/>
      <c r="I102" s="2"/>
      <c r="J102" s="2"/>
      <c r="K102" s="2"/>
      <c r="L102" s="2"/>
      <c r="M102" s="2"/>
      <c r="N102" s="2"/>
      <c r="O102" s="2"/>
      <c r="P102" s="2"/>
      <c r="Q102" s="2"/>
      <c r="R102" s="2"/>
      <c r="S102" s="2"/>
      <c r="T102" s="2"/>
      <c r="U102" s="2"/>
      <c r="V102" s="2"/>
      <c r="W102" s="2"/>
      <c r="X102" s="2"/>
      <c r="Y102" s="2"/>
      <c r="Z102" s="2"/>
    </row>
    <row r="103" ht="22.5" customHeight="1">
      <c r="A103" s="42" t="str">
        <f t="array" ref="A103">IFERROR(INDEX(Lists!$B:$B,MATCH(A104,Lists!$A:$A,0)),"")</f>
        <v/>
      </c>
      <c r="B103" s="42" t="str">
        <f t="array" ref="B103">IFERROR(INDEX(Lists!$B:$B,MATCH(B104,Lists!$A:$A,0)),"")</f>
        <v/>
      </c>
      <c r="C103" s="42" t="str">
        <f t="array" ref="C103">IFERROR(INDEX(Lists!$B:$B,MATCH(C104,Lists!$A:$A,0)),"")</f>
        <v/>
      </c>
      <c r="D103" s="42" t="str">
        <f t="array" ref="D103">IFERROR(INDEX(Lists!$B:$B,MATCH(D104,Lists!$A:$A,0)),"")</f>
        <v/>
      </c>
      <c r="E103" s="42" t="str">
        <f t="array" ref="E103">IFERROR(INDEX(Lists!$B:$B,MATCH(E104,Lists!$A:$A,0)),"")</f>
        <v/>
      </c>
      <c r="F103" s="42" t="str">
        <f t="array" ref="F103">IFERROR(INDEX(Lists!$B:$B,MATCH(F104,Lists!$A:$A,0)),"")</f>
        <v/>
      </c>
      <c r="G103" s="42" t="str">
        <f t="array" ref="G103">IFERROR(INDEX(Lists!$B:$B,MATCH(G104,Lists!$A:$A,0)),"")</f>
        <v/>
      </c>
      <c r="H103" s="2"/>
      <c r="I103" s="43" t="str">
        <f>IF(A102="","","Week of "&amp;TEXT(A102-7,"MM/DD"))</f>
        <v>Week of 05/15</v>
      </c>
      <c r="J103" s="43" t="str">
        <f>IF(A102="","","Week of "&amp;TEXT(A102,"MM/DD"))</f>
        <v>Week of 05/22</v>
      </c>
      <c r="K103" s="2"/>
      <c r="L103" s="2"/>
      <c r="M103" s="2"/>
      <c r="N103" s="2"/>
      <c r="O103" s="2"/>
      <c r="P103" s="2"/>
      <c r="Q103" s="2"/>
      <c r="R103" s="2"/>
      <c r="S103" s="2"/>
      <c r="T103" s="2"/>
      <c r="U103" s="2"/>
      <c r="V103" s="2"/>
      <c r="W103" s="2"/>
      <c r="X103" s="2"/>
      <c r="Y103" s="2"/>
      <c r="Z103" s="2"/>
    </row>
    <row r="104" ht="22.5" customHeight="1">
      <c r="A104" s="42" t="str">
        <f t="array" ref="A104">IFERROR(INDEX(FinishedData!$B:$B,MATCH(A102,FinishedData!$A:$A,0)),"")</f>
        <v>Practice</v>
      </c>
      <c r="B104" s="42" t="str">
        <f t="array" ref="B104">IFERROR(INDEX(FinishedData!$B:$B,MATCH(B102,FinishedData!$A:$A,0)),"")</f>
        <v>Practice</v>
      </c>
      <c r="C104" s="42" t="str">
        <f t="array" ref="C104">IFERROR(INDEX(FinishedData!$B:$B,MATCH(C102,FinishedData!$A:$A,0)),"")</f>
        <v>Game</v>
      </c>
      <c r="D104" s="42" t="str">
        <f t="array" ref="D104">IFERROR(INDEX(FinishedData!$B:$B,MATCH(D102,FinishedData!$A:$A,0)),"")</f>
        <v>Practice</v>
      </c>
      <c r="E104" s="42" t="str">
        <f t="array" ref="E104">IFERROR(INDEX(FinishedData!$B:$B,MATCH(E102,FinishedData!$A:$A,0)),"")</f>
        <v>Game</v>
      </c>
      <c r="F104" s="42" t="str">
        <f t="array" ref="F104">IFERROR(INDEX(FinishedData!$B:$B,MATCH(F102,FinishedData!$A:$A,0)),"")</f>
        <v>Off</v>
      </c>
      <c r="G104" s="42" t="str">
        <f t="array" ref="G104">IFERROR(INDEX(FinishedData!$B:$B,MATCH(G102,FinishedData!$A:$A,0)),"")</f>
        <v>Gym</v>
      </c>
      <c r="H104" s="2"/>
      <c r="I104" s="13">
        <f>IFERROR(IF(A102="","",IF(G102="",SUMIFS(FinishedData!$C:$C,FinishedData!$A:$A,"&gt;="&amp;MIN($A102:$G102)-7,FinishedData!$A:$A,"&lt;="&amp;MAX($A102:$G102)+(7-COUNT($A102:$G102)-7)),
SUMIFS(FinishedData!$C:$C,FinishedData!$A:$A,"&gt;="&amp;MIN($A102:$G102)-7,FinishedData!$A:$A,"&lt;="&amp;MAX($A102:$G102)-7))),"")</f>
        <v>5240</v>
      </c>
      <c r="J104" s="13">
        <f>IFERROR(IF(A102="","",SUMIFS(FinishedData!$C:$C,FinishedData!$A:$A,"&gt;="&amp;MIN($A102:$G102),FinishedData!$A:$A,"&lt;="&amp;MAX($A102:$G102))),"")</f>
        <v>4615</v>
      </c>
      <c r="K104" s="2"/>
      <c r="L104" s="2"/>
      <c r="M104" s="2"/>
      <c r="N104" s="2"/>
      <c r="O104" s="2"/>
      <c r="P104" s="2"/>
      <c r="Q104" s="2"/>
      <c r="R104" s="2"/>
      <c r="S104" s="2"/>
      <c r="T104" s="2"/>
      <c r="U104" s="2"/>
      <c r="V104" s="2"/>
      <c r="W104" s="2"/>
      <c r="X104" s="2"/>
      <c r="Y104" s="2"/>
      <c r="Z104" s="2"/>
    </row>
    <row r="105" ht="22.5" customHeight="1">
      <c r="A105" s="45">
        <f t="array" ref="A105">IFERROR(INDEX(FinishedData!$C:$C,MATCH(A102,FinishedData!$A:$A,0)),"")</f>
        <v>730</v>
      </c>
      <c r="B105" s="45">
        <f t="array" ref="B105">IFERROR(INDEX(FinishedData!$C:$C,MATCH(B102,FinishedData!$A:$A,0)),"")</f>
        <v>830</v>
      </c>
      <c r="C105" s="45">
        <f t="array" ref="C105">IFERROR(INDEX(FinishedData!$C:$C,MATCH(C102,FinishedData!$A:$A,0)),"")</f>
        <v>755</v>
      </c>
      <c r="D105" s="45">
        <f t="array" ref="D105">IFERROR(INDEX(FinishedData!$C:$C,MATCH(D102,FinishedData!$A:$A,0)),"")</f>
        <v>835</v>
      </c>
      <c r="E105" s="45">
        <f t="array" ref="E105">IFERROR(INDEX(FinishedData!$C:$C,MATCH(E102,FinishedData!$A:$A,0)),"")</f>
        <v>910</v>
      </c>
      <c r="F105" s="45" t="str">
        <f t="array" ref="F105">IFERROR(INDEX(FinishedData!$C:$C,MATCH(F102,FinishedData!$A:$A,0)),"")</f>
        <v/>
      </c>
      <c r="G105" s="45">
        <f t="array" ref="G105">IFERROR(INDEX(FinishedData!$C:$C,MATCH(G102,FinishedData!$A:$A,0)),"")</f>
        <v>555</v>
      </c>
      <c r="H105" s="2"/>
      <c r="I105" s="46" t="str">
        <f>IF(A102="","","CHANGE")</f>
        <v>CHANGE</v>
      </c>
      <c r="J105" s="47">
        <f>IFERROR(IF(A102="","",(J104-I104)/I104),"")</f>
        <v>-0.1192748092</v>
      </c>
      <c r="K105" s="2"/>
      <c r="L105" s="2"/>
      <c r="M105" s="2"/>
      <c r="N105" s="2"/>
      <c r="O105" s="2"/>
      <c r="P105" s="2"/>
      <c r="Q105" s="2"/>
      <c r="R105" s="2"/>
      <c r="S105" s="2"/>
      <c r="T105" s="2"/>
      <c r="U105" s="2"/>
      <c r="V105" s="2"/>
      <c r="W105" s="2"/>
      <c r="X105" s="2"/>
      <c r="Y105" s="2"/>
      <c r="Z105" s="2"/>
    </row>
    <row r="106" ht="22.5" customHeight="1">
      <c r="A106" s="49">
        <f>IF(G102&gt;=$D$3,"",G102+1)</f>
        <v>44710</v>
      </c>
      <c r="B106" s="49">
        <f t="shared" ref="B106:G106" si="26">IF(A106&gt;=$D$3,"",A106+1)</f>
        <v>44711</v>
      </c>
      <c r="C106" s="49">
        <f t="shared" si="26"/>
        <v>44712</v>
      </c>
      <c r="D106" s="49">
        <f t="shared" si="26"/>
        <v>44713</v>
      </c>
      <c r="E106" s="49">
        <f t="shared" si="26"/>
        <v>44714</v>
      </c>
      <c r="F106" s="49">
        <f t="shared" si="26"/>
        <v>44715</v>
      </c>
      <c r="G106" s="49">
        <f t="shared" si="26"/>
        <v>44716</v>
      </c>
      <c r="H106" s="2"/>
      <c r="I106" s="7"/>
      <c r="J106" s="7"/>
      <c r="K106" s="2"/>
      <c r="L106" s="2"/>
      <c r="M106" s="2"/>
      <c r="N106" s="2"/>
      <c r="O106" s="2"/>
      <c r="P106" s="2"/>
      <c r="Q106" s="2"/>
      <c r="R106" s="2"/>
      <c r="S106" s="2"/>
      <c r="T106" s="2"/>
      <c r="U106" s="2"/>
      <c r="V106" s="2"/>
      <c r="W106" s="2"/>
      <c r="X106" s="2"/>
      <c r="Y106" s="2"/>
      <c r="Z106" s="2"/>
    </row>
    <row r="107" ht="22.5" customHeight="1">
      <c r="A107" s="42" t="str">
        <f t="array" ref="A107">IFERROR(INDEX(Lists!$B:$B,MATCH(A108,Lists!$A:$A,0)),"")</f>
        <v/>
      </c>
      <c r="B107" s="42" t="str">
        <f t="array" ref="B107">IFERROR(INDEX(Lists!$B:$B,MATCH(B108,Lists!$A:$A,0)),"")</f>
        <v/>
      </c>
      <c r="C107" s="42" t="str">
        <f t="array" ref="C107">IFERROR(INDEX(Lists!$B:$B,MATCH(C108,Lists!$A:$A,0)),"")</f>
        <v/>
      </c>
      <c r="D107" s="42" t="str">
        <f t="array" ref="D107">IFERROR(INDEX(Lists!$B:$B,MATCH(D108,Lists!$A:$A,0)),"")</f>
        <v/>
      </c>
      <c r="E107" s="42" t="str">
        <f t="array" ref="E107">IFERROR(INDEX(Lists!$B:$B,MATCH(E108,Lists!$A:$A,0)),"")</f>
        <v/>
      </c>
      <c r="F107" s="42" t="str">
        <f t="array" ref="F107">IFERROR(INDEX(Lists!$B:$B,MATCH(F108,Lists!$A:$A,0)),"")</f>
        <v/>
      </c>
      <c r="G107" s="42" t="str">
        <f t="array" ref="G107">IFERROR(INDEX(Lists!$B:$B,MATCH(G108,Lists!$A:$A,0)),"")</f>
        <v/>
      </c>
      <c r="H107" s="2"/>
      <c r="I107" s="43" t="str">
        <f>IF(A106="","","Week of "&amp;TEXT(A106-7,"MM/DD"))</f>
        <v>Week of 05/22</v>
      </c>
      <c r="J107" s="43" t="str">
        <f>IF(A106="","","Week of "&amp;TEXT(A106,"MM/DD"))</f>
        <v>Week of 05/29</v>
      </c>
      <c r="K107" s="2"/>
      <c r="L107" s="2"/>
      <c r="M107" s="2"/>
      <c r="N107" s="2"/>
      <c r="O107" s="2"/>
      <c r="P107" s="2"/>
      <c r="Q107" s="2"/>
      <c r="R107" s="2"/>
      <c r="S107" s="2"/>
      <c r="T107" s="2"/>
      <c r="U107" s="2"/>
      <c r="V107" s="2"/>
      <c r="W107" s="2"/>
      <c r="X107" s="2"/>
      <c r="Y107" s="2"/>
      <c r="Z107" s="2"/>
    </row>
    <row r="108" ht="22.5" customHeight="1">
      <c r="A108" s="42" t="str">
        <f t="array" ref="A108">IFERROR(INDEX(FinishedData!$B:$B,MATCH(A106,FinishedData!$A:$A,0)),"")</f>
        <v>Practice</v>
      </c>
      <c r="B108" s="42" t="str">
        <f t="array" ref="B108">IFERROR(INDEX(FinishedData!$B:$B,MATCH(B106,FinishedData!$A:$A,0)),"")</f>
        <v>Practice</v>
      </c>
      <c r="C108" s="42" t="str">
        <f t="array" ref="C108">IFERROR(INDEX(FinishedData!$B:$B,MATCH(C106,FinishedData!$A:$A,0)),"")</f>
        <v>Practice</v>
      </c>
      <c r="D108" s="42" t="str">
        <f t="array" ref="D108">IFERROR(INDEX(FinishedData!$B:$B,MATCH(D106,FinishedData!$A:$A,0)),"")</f>
        <v>Game</v>
      </c>
      <c r="E108" s="42" t="str">
        <f t="array" ref="E108">IFERROR(INDEX(FinishedData!$B:$B,MATCH(E106,FinishedData!$A:$A,0)),"")</f>
        <v>Game</v>
      </c>
      <c r="F108" s="42" t="str">
        <f t="array" ref="F108">IFERROR(INDEX(FinishedData!$B:$B,MATCH(F106,FinishedData!$A:$A,0)),"")</f>
        <v>Off</v>
      </c>
      <c r="G108" s="42" t="str">
        <f t="array" ref="G108">IFERROR(INDEX(FinishedData!$B:$B,MATCH(G106,FinishedData!$A:$A,0)),"")</f>
        <v>Practice</v>
      </c>
      <c r="H108" s="2"/>
      <c r="I108" s="13">
        <f>IFERROR(IF(A106="","",IF(G106="",SUMIFS(FinishedData!$C:$C,FinishedData!$A:$A,"&gt;="&amp;MIN($A106:$G106)-7,FinishedData!$A:$A,"&lt;="&amp;MAX($A106:$G106)+(7-COUNT($A106:$G106)-7)),
SUMIFS(FinishedData!$C:$C,FinishedData!$A:$A,"&gt;="&amp;MIN($A106:$G106)-7,FinishedData!$A:$A,"&lt;="&amp;MAX($A106:$G106)-7))),"")</f>
        <v>4615</v>
      </c>
      <c r="J108" s="13">
        <f>IFERROR(IF(A106="","",SUMIFS(FinishedData!$C:$C,FinishedData!$A:$A,"&gt;="&amp;MIN($A106:$G106),FinishedData!$A:$A,"&lt;="&amp;MAX($A106:$G106))),"")</f>
        <v>4495</v>
      </c>
      <c r="K108" s="2"/>
      <c r="L108" s="2"/>
      <c r="M108" s="2"/>
      <c r="N108" s="2"/>
      <c r="O108" s="2"/>
      <c r="P108" s="2"/>
      <c r="Q108" s="2"/>
      <c r="R108" s="2"/>
      <c r="S108" s="2"/>
      <c r="T108" s="2"/>
      <c r="U108" s="2"/>
      <c r="V108" s="2"/>
      <c r="W108" s="2"/>
      <c r="X108" s="2"/>
      <c r="Y108" s="2"/>
      <c r="Z108" s="2"/>
    </row>
    <row r="109" ht="22.5" customHeight="1">
      <c r="A109" s="45">
        <f t="array" ref="A109">IFERROR(INDEX(FinishedData!$C:$C,MATCH(A106,FinishedData!$A:$A,0)),"")</f>
        <v>900</v>
      </c>
      <c r="B109" s="45">
        <f t="array" ref="B109">IFERROR(INDEX(FinishedData!$C:$C,MATCH(B106,FinishedData!$A:$A,0)),"")</f>
        <v>545</v>
      </c>
      <c r="C109" s="45">
        <f t="array" ref="C109">IFERROR(INDEX(FinishedData!$C:$C,MATCH(C106,FinishedData!$A:$A,0)),"")</f>
        <v>550</v>
      </c>
      <c r="D109" s="45">
        <f t="array" ref="D109">IFERROR(INDEX(FinishedData!$C:$C,MATCH(D106,FinishedData!$A:$A,0)),"")</f>
        <v>805</v>
      </c>
      <c r="E109" s="45">
        <f t="array" ref="E109">IFERROR(INDEX(FinishedData!$C:$C,MATCH(E106,FinishedData!$A:$A,0)),"")</f>
        <v>725</v>
      </c>
      <c r="F109" s="45" t="str">
        <f t="array" ref="F109">IFERROR(INDEX(FinishedData!$C:$C,MATCH(F106,FinishedData!$A:$A,0)),"")</f>
        <v/>
      </c>
      <c r="G109" s="45">
        <f t="array" ref="G109">IFERROR(INDEX(FinishedData!$C:$C,MATCH(G106,FinishedData!$A:$A,0)),"")</f>
        <v>970</v>
      </c>
      <c r="H109" s="2"/>
      <c r="I109" s="46" t="str">
        <f>IF(A106="","","CHANGE")</f>
        <v>CHANGE</v>
      </c>
      <c r="J109" s="47">
        <f>IFERROR(IF(A106="","",(J108-I108)/I108),"")</f>
        <v>-0.02600216685</v>
      </c>
      <c r="K109" s="2"/>
      <c r="L109" s="2"/>
      <c r="M109" s="2"/>
      <c r="N109" s="2"/>
      <c r="O109" s="2"/>
      <c r="P109" s="2"/>
      <c r="Q109" s="2"/>
      <c r="R109" s="2"/>
      <c r="S109" s="2"/>
      <c r="T109" s="2"/>
      <c r="U109" s="2"/>
      <c r="V109" s="2"/>
      <c r="W109" s="2"/>
      <c r="X109" s="2"/>
      <c r="Y109" s="2"/>
      <c r="Z109" s="2"/>
    </row>
    <row r="110" ht="22.5" customHeight="1">
      <c r="A110" s="49">
        <f>IF(G106&gt;=$D$3,"",G106+1)</f>
        <v>44717</v>
      </c>
      <c r="B110" s="49">
        <f t="shared" ref="B110:G110" si="27">IF(A110&gt;=$D$3,"",A110+1)</f>
        <v>44718</v>
      </c>
      <c r="C110" s="49">
        <f t="shared" si="27"/>
        <v>44719</v>
      </c>
      <c r="D110" s="49">
        <f t="shared" si="27"/>
        <v>44720</v>
      </c>
      <c r="E110" s="49">
        <f t="shared" si="27"/>
        <v>44721</v>
      </c>
      <c r="F110" s="49">
        <f t="shared" si="27"/>
        <v>44722</v>
      </c>
      <c r="G110" s="49">
        <f t="shared" si="27"/>
        <v>44723</v>
      </c>
      <c r="H110" s="2"/>
      <c r="I110" s="7"/>
      <c r="J110" s="7"/>
      <c r="K110" s="2"/>
      <c r="L110" s="2"/>
      <c r="M110" s="2"/>
      <c r="N110" s="2"/>
      <c r="O110" s="2"/>
      <c r="P110" s="2"/>
      <c r="Q110" s="2"/>
      <c r="R110" s="2"/>
      <c r="S110" s="2"/>
      <c r="T110" s="2"/>
      <c r="U110" s="2"/>
      <c r="V110" s="2"/>
      <c r="W110" s="2"/>
      <c r="X110" s="2"/>
      <c r="Y110" s="2"/>
      <c r="Z110" s="2"/>
    </row>
    <row r="111" ht="22.5" customHeight="1">
      <c r="A111" s="42" t="str">
        <f t="array" ref="A111">IFERROR(INDEX(Lists!$B:$B,MATCH(A112,Lists!$A:$A,0)),"")</f>
        <v/>
      </c>
      <c r="B111" s="42" t="str">
        <f t="array" ref="B111">IFERROR(INDEX(Lists!$B:$B,MATCH(B112,Lists!$A:$A,0)),"")</f>
        <v/>
      </c>
      <c r="C111" s="42" t="str">
        <f t="array" ref="C111">IFERROR(INDEX(Lists!$B:$B,MATCH(C112,Lists!$A:$A,0)),"")</f>
        <v/>
      </c>
      <c r="D111" s="42" t="str">
        <f t="array" ref="D111">IFERROR(INDEX(Lists!$B:$B,MATCH(D112,Lists!$A:$A,0)),"")</f>
        <v/>
      </c>
      <c r="E111" s="42" t="str">
        <f t="array" ref="E111">IFERROR(INDEX(Lists!$B:$B,MATCH(E112,Lists!$A:$A,0)),"")</f>
        <v/>
      </c>
      <c r="F111" s="42" t="str">
        <f t="array" ref="F111">IFERROR(INDEX(Lists!$B:$B,MATCH(F112,Lists!$A:$A,0)),"")</f>
        <v/>
      </c>
      <c r="G111" s="42" t="str">
        <f t="array" ref="G111">IFERROR(INDEX(Lists!$B:$B,MATCH(G112,Lists!$A:$A,0)),"")</f>
        <v/>
      </c>
      <c r="H111" s="2"/>
      <c r="I111" s="43" t="str">
        <f>IF(A110="","","Week of "&amp;TEXT(A110-7,"MM/DD"))</f>
        <v>Week of 05/29</v>
      </c>
      <c r="J111" s="43" t="str">
        <f>IF(A110="","","Week of "&amp;TEXT(A110,"MM/DD"))</f>
        <v>Week of 06/05</v>
      </c>
      <c r="K111" s="2"/>
      <c r="L111" s="2"/>
      <c r="M111" s="2"/>
      <c r="N111" s="2"/>
      <c r="O111" s="2"/>
      <c r="P111" s="2"/>
      <c r="Q111" s="2"/>
      <c r="R111" s="2"/>
      <c r="S111" s="2"/>
      <c r="T111" s="2"/>
      <c r="U111" s="2"/>
      <c r="V111" s="2"/>
      <c r="W111" s="2"/>
      <c r="X111" s="2"/>
      <c r="Y111" s="2"/>
      <c r="Z111" s="2"/>
    </row>
    <row r="112" ht="22.5" customHeight="1">
      <c r="A112" s="42" t="str">
        <f t="array" ref="A112">IFERROR(INDEX(FinishedData!$B:$B,MATCH(A110,FinishedData!$A:$A,0)),"")</f>
        <v>Game</v>
      </c>
      <c r="B112" s="42" t="str">
        <f t="array" ref="B112">IFERROR(INDEX(FinishedData!$B:$B,MATCH(B110,FinishedData!$A:$A,0)),"")</f>
        <v>Practice</v>
      </c>
      <c r="C112" s="42" t="str">
        <f t="array" ref="C112">IFERROR(INDEX(FinishedData!$B:$B,MATCH(C110,FinishedData!$A:$A,0)),"")</f>
        <v>Practice</v>
      </c>
      <c r="D112" s="42" t="str">
        <f t="array" ref="D112">IFERROR(INDEX(FinishedData!$B:$B,MATCH(D110,FinishedData!$A:$A,0)),"")</f>
        <v>Practice</v>
      </c>
      <c r="E112" s="42" t="str">
        <f t="array" ref="E112">IFERROR(INDEX(FinishedData!$B:$B,MATCH(E110,FinishedData!$A:$A,0)),"")</f>
        <v>Game</v>
      </c>
      <c r="F112" s="42" t="str">
        <f t="array" ref="F112">IFERROR(INDEX(FinishedData!$B:$B,MATCH(F110,FinishedData!$A:$A,0)),"")</f>
        <v>Practice</v>
      </c>
      <c r="G112" s="42" t="str">
        <f t="array" ref="G112">IFERROR(INDEX(FinishedData!$B:$B,MATCH(G110,FinishedData!$A:$A,0)),"")</f>
        <v>Practice</v>
      </c>
      <c r="H112" s="2"/>
      <c r="I112" s="13">
        <f>IFERROR(IF(A110="","",IF(G110="",SUMIFS(FinishedData!$C:$C,FinishedData!$A:$A,"&gt;="&amp;MIN($A110:$G110)-7,FinishedData!$A:$A,"&lt;="&amp;MAX($A110:$G110)+(7-COUNT($A110:$G110)-7)),
SUMIFS(FinishedData!$C:$C,FinishedData!$A:$A,"&gt;="&amp;MIN($A110:$G110)-7,FinishedData!$A:$A,"&lt;="&amp;MAX($A110:$G110)-7))),"")</f>
        <v>4495</v>
      </c>
      <c r="J112" s="13">
        <f>IFERROR(IF(A110="","",SUMIFS(FinishedData!$C:$C,FinishedData!$A:$A,"&gt;="&amp;MIN($A110:$G110),FinishedData!$A:$A,"&lt;="&amp;MAX($A110:$G110))),"")</f>
        <v>5740</v>
      </c>
      <c r="K112" s="2"/>
      <c r="L112" s="2"/>
      <c r="M112" s="2"/>
      <c r="N112" s="2"/>
      <c r="O112" s="2"/>
      <c r="P112" s="2"/>
      <c r="Q112" s="2"/>
      <c r="R112" s="2"/>
      <c r="S112" s="2"/>
      <c r="T112" s="2"/>
      <c r="U112" s="2"/>
      <c r="V112" s="2"/>
      <c r="W112" s="2"/>
      <c r="X112" s="2"/>
      <c r="Y112" s="2"/>
      <c r="Z112" s="2"/>
    </row>
    <row r="113" ht="22.5" customHeight="1">
      <c r="A113" s="45">
        <f t="array" ref="A113">IFERROR(INDEX(FinishedData!$C:$C,MATCH(A110,FinishedData!$A:$A,0)),"")</f>
        <v>875</v>
      </c>
      <c r="B113" s="45">
        <f t="array" ref="B113">IFERROR(INDEX(FinishedData!$C:$C,MATCH(B110,FinishedData!$A:$A,0)),"")</f>
        <v>825</v>
      </c>
      <c r="C113" s="45">
        <f t="array" ref="C113">IFERROR(INDEX(FinishedData!$C:$C,MATCH(C110,FinishedData!$A:$A,0)),"")</f>
        <v>555</v>
      </c>
      <c r="D113" s="45">
        <f t="array" ref="D113">IFERROR(INDEX(FinishedData!$C:$C,MATCH(D110,FinishedData!$A:$A,0)),"")</f>
        <v>970</v>
      </c>
      <c r="E113" s="45">
        <f t="array" ref="E113">IFERROR(INDEX(FinishedData!$C:$C,MATCH(E110,FinishedData!$A:$A,0)),"")</f>
        <v>995</v>
      </c>
      <c r="F113" s="45">
        <f t="array" ref="F113">IFERROR(INDEX(FinishedData!$C:$C,MATCH(F110,FinishedData!$A:$A,0)),"")</f>
        <v>595</v>
      </c>
      <c r="G113" s="45">
        <f t="array" ref="G113">IFERROR(INDEX(FinishedData!$C:$C,MATCH(G110,FinishedData!$A:$A,0)),"")</f>
        <v>925</v>
      </c>
      <c r="H113" s="2"/>
      <c r="I113" s="46" t="str">
        <f>IF(A110="","","CHANGE")</f>
        <v>CHANGE</v>
      </c>
      <c r="J113" s="47">
        <f>IFERROR(IF(A110="","",(J112-I112)/I112),"")</f>
        <v>0.276974416</v>
      </c>
      <c r="K113" s="2"/>
      <c r="L113" s="2"/>
      <c r="M113" s="2"/>
      <c r="N113" s="2"/>
      <c r="O113" s="2"/>
      <c r="P113" s="2"/>
      <c r="Q113" s="2"/>
      <c r="R113" s="2"/>
      <c r="S113" s="2"/>
      <c r="T113" s="2"/>
      <c r="U113" s="2"/>
      <c r="V113" s="2"/>
      <c r="W113" s="2"/>
      <c r="X113" s="2"/>
      <c r="Y113" s="2"/>
      <c r="Z113" s="2"/>
    </row>
    <row r="114" ht="22.5" customHeight="1">
      <c r="A114" s="49">
        <f>IF(G110&gt;=$D$3,"",G110+1)</f>
        <v>44724</v>
      </c>
      <c r="B114" s="49">
        <f t="shared" ref="B114:G114" si="28">IF(A114&gt;=$D$3,"",A114+1)</f>
        <v>44725</v>
      </c>
      <c r="C114" s="49">
        <f t="shared" si="28"/>
        <v>44726</v>
      </c>
      <c r="D114" s="49">
        <f t="shared" si="28"/>
        <v>44727</v>
      </c>
      <c r="E114" s="49">
        <f t="shared" si="28"/>
        <v>44728</v>
      </c>
      <c r="F114" s="49">
        <f t="shared" si="28"/>
        <v>44729</v>
      </c>
      <c r="G114" s="49">
        <f t="shared" si="28"/>
        <v>44730</v>
      </c>
      <c r="H114" s="2"/>
      <c r="I114" s="7"/>
      <c r="J114" s="7"/>
      <c r="K114" s="2"/>
      <c r="L114" s="2"/>
      <c r="M114" s="2"/>
      <c r="N114" s="2"/>
      <c r="O114" s="2"/>
      <c r="P114" s="2"/>
      <c r="Q114" s="2"/>
      <c r="R114" s="2"/>
      <c r="S114" s="2"/>
      <c r="T114" s="2"/>
      <c r="U114" s="2"/>
      <c r="V114" s="2"/>
      <c r="W114" s="2"/>
      <c r="X114" s="2"/>
      <c r="Y114" s="2"/>
      <c r="Z114" s="2"/>
    </row>
    <row r="115" ht="22.5" customHeight="1">
      <c r="A115" s="42" t="str">
        <f t="array" ref="A115">IFERROR(INDEX(Lists!$B:$B,MATCH(A116,Lists!$A:$A,0)),"")</f>
        <v/>
      </c>
      <c r="B115" s="42" t="str">
        <f t="array" ref="B115">IFERROR(INDEX(Lists!$B:$B,MATCH(B116,Lists!$A:$A,0)),"")</f>
        <v/>
      </c>
      <c r="C115" s="42" t="str">
        <f t="array" ref="C115">IFERROR(INDEX(Lists!$B:$B,MATCH(C116,Lists!$A:$A,0)),"")</f>
        <v/>
      </c>
      <c r="D115" s="42" t="str">
        <f t="array" ref="D115">IFERROR(INDEX(Lists!$B:$B,MATCH(D116,Lists!$A:$A,0)),"")</f>
        <v/>
      </c>
      <c r="E115" s="42" t="str">
        <f t="array" ref="E115">IFERROR(INDEX(Lists!$B:$B,MATCH(E116,Lists!$A:$A,0)),"")</f>
        <v/>
      </c>
      <c r="F115" s="42" t="str">
        <f t="array" ref="F115">IFERROR(INDEX(Lists!$B:$B,MATCH(F116,Lists!$A:$A,0)),"")</f>
        <v/>
      </c>
      <c r="G115" s="42" t="str">
        <f t="array" ref="G115">IFERROR(INDEX(Lists!$B:$B,MATCH(G116,Lists!$A:$A,0)),"")</f>
        <v/>
      </c>
      <c r="H115" s="2"/>
      <c r="I115" s="43" t="str">
        <f>IF(A114="","","Week of "&amp;TEXT(A114-7,"MM/DD"))</f>
        <v>Week of 06/05</v>
      </c>
      <c r="J115" s="43" t="str">
        <f>IF(A114="","","Week of "&amp;TEXT(A114,"MM/DD"))</f>
        <v>Week of 06/12</v>
      </c>
      <c r="K115" s="2"/>
      <c r="L115" s="2"/>
      <c r="M115" s="2"/>
      <c r="N115" s="2"/>
      <c r="O115" s="2"/>
      <c r="P115" s="2"/>
      <c r="Q115" s="2"/>
      <c r="R115" s="2"/>
      <c r="S115" s="2"/>
      <c r="T115" s="2"/>
      <c r="U115" s="2"/>
      <c r="V115" s="2"/>
      <c r="W115" s="2"/>
      <c r="X115" s="2"/>
      <c r="Y115" s="2"/>
      <c r="Z115" s="2"/>
    </row>
    <row r="116" ht="22.5" customHeight="1">
      <c r="A116" s="42" t="str">
        <f t="array" ref="A116">IFERROR(INDEX(FinishedData!$B:$B,MATCH(A114,FinishedData!$A:$A,0)),"")</f>
        <v>Game</v>
      </c>
      <c r="B116" s="42" t="str">
        <f t="array" ref="B116">IFERROR(INDEX(FinishedData!$B:$B,MATCH(B114,FinishedData!$A:$A,0)),"")</f>
        <v>Off</v>
      </c>
      <c r="C116" s="42" t="str">
        <f t="array" ref="C116">IFERROR(INDEX(FinishedData!$B:$B,MATCH(C114,FinishedData!$A:$A,0)),"")</f>
        <v>Practice</v>
      </c>
      <c r="D116" s="42" t="str">
        <f t="array" ref="D116">IFERROR(INDEX(FinishedData!$B:$B,MATCH(D114,FinishedData!$A:$A,0)),"")</f>
        <v>Gym</v>
      </c>
      <c r="E116" s="42" t="str">
        <f t="array" ref="E116">IFERROR(INDEX(FinishedData!$B:$B,MATCH(E114,FinishedData!$A:$A,0)),"")</f>
        <v>Practice</v>
      </c>
      <c r="F116" s="42" t="str">
        <f t="array" ref="F116">IFERROR(INDEX(FinishedData!$B:$B,MATCH(F114,FinishedData!$A:$A,0)),"")</f>
        <v>Practice</v>
      </c>
      <c r="G116" s="42" t="str">
        <f t="array" ref="G116">IFERROR(INDEX(FinishedData!$B:$B,MATCH(G114,FinishedData!$A:$A,0)),"")</f>
        <v>Practice</v>
      </c>
      <c r="H116" s="2"/>
      <c r="I116" s="13">
        <f>IFERROR(IF(A114="","",IF(G114="",SUMIFS(FinishedData!$C:$C,FinishedData!$A:$A,"&gt;="&amp;MIN($A114:$G114)-7,FinishedData!$A:$A,"&lt;="&amp;MAX($A114:$G114)+(7-COUNT($A114:$G114)-7)),
SUMIFS(FinishedData!$C:$C,FinishedData!$A:$A,"&gt;="&amp;MIN($A114:$G114)-7,FinishedData!$A:$A,"&lt;="&amp;MAX($A114:$G114)-7))),"")</f>
        <v>5740</v>
      </c>
      <c r="J116" s="13">
        <f>IFERROR(IF(A114="","",SUMIFS(FinishedData!$C:$C,FinishedData!$A:$A,"&gt;="&amp;MIN($A114:$G114),FinishedData!$A:$A,"&lt;="&amp;MAX($A114:$G114))),"")</f>
        <v>4795</v>
      </c>
      <c r="K116" s="2"/>
      <c r="L116" s="2"/>
      <c r="M116" s="2"/>
      <c r="N116" s="2"/>
      <c r="O116" s="2"/>
      <c r="P116" s="2"/>
      <c r="Q116" s="2"/>
      <c r="R116" s="2"/>
      <c r="S116" s="2"/>
      <c r="T116" s="2"/>
      <c r="U116" s="2"/>
      <c r="V116" s="2"/>
      <c r="W116" s="2"/>
      <c r="X116" s="2"/>
      <c r="Y116" s="2"/>
      <c r="Z116" s="2"/>
    </row>
    <row r="117" ht="22.5" customHeight="1">
      <c r="A117" s="45">
        <f t="array" ref="A117">IFERROR(INDEX(FinishedData!$C:$C,MATCH(A114,FinishedData!$A:$A,0)),"")</f>
        <v>640</v>
      </c>
      <c r="B117" s="45" t="str">
        <f t="array" ref="B117">IFERROR(INDEX(FinishedData!$C:$C,MATCH(B114,FinishedData!$A:$A,0)),"")</f>
        <v/>
      </c>
      <c r="C117" s="45">
        <f t="array" ref="C117">IFERROR(INDEX(FinishedData!$C:$C,MATCH(C114,FinishedData!$A:$A,0)),"")</f>
        <v>640</v>
      </c>
      <c r="D117" s="45">
        <f t="array" ref="D117">IFERROR(INDEX(FinishedData!$C:$C,MATCH(D114,FinishedData!$A:$A,0)),"")</f>
        <v>800</v>
      </c>
      <c r="E117" s="45">
        <f t="array" ref="E117">IFERROR(INDEX(FinishedData!$C:$C,MATCH(E114,FinishedData!$A:$A,0)),"")</f>
        <v>955</v>
      </c>
      <c r="F117" s="45">
        <f t="array" ref="F117">IFERROR(INDEX(FinishedData!$C:$C,MATCH(F114,FinishedData!$A:$A,0)),"")</f>
        <v>895</v>
      </c>
      <c r="G117" s="45">
        <f t="array" ref="G117">IFERROR(INDEX(FinishedData!$C:$C,MATCH(G114,FinishedData!$A:$A,0)),"")</f>
        <v>865</v>
      </c>
      <c r="H117" s="2"/>
      <c r="I117" s="46" t="str">
        <f>IF(A114="","","CHANGE")</f>
        <v>CHANGE</v>
      </c>
      <c r="J117" s="47">
        <f>IFERROR(IF(A114="","",(J116-I116)/I116),"")</f>
        <v>-0.1646341463</v>
      </c>
      <c r="K117" s="2"/>
      <c r="L117" s="2"/>
      <c r="M117" s="2"/>
      <c r="N117" s="2"/>
      <c r="O117" s="2"/>
      <c r="P117" s="2"/>
      <c r="Q117" s="2"/>
      <c r="R117" s="2"/>
      <c r="S117" s="2"/>
      <c r="T117" s="2"/>
      <c r="U117" s="2"/>
      <c r="V117" s="2"/>
      <c r="W117" s="2"/>
      <c r="X117" s="2"/>
      <c r="Y117" s="2"/>
      <c r="Z117" s="2"/>
    </row>
    <row r="118" ht="22.5" customHeight="1">
      <c r="A118" s="49">
        <f>IF(G114&gt;=$D$3,"",G114+1)</f>
        <v>44731</v>
      </c>
      <c r="B118" s="49">
        <f t="shared" ref="B118:G118" si="29">IF(A118&gt;=$D$3,"",A118+1)</f>
        <v>44732</v>
      </c>
      <c r="C118" s="49">
        <f t="shared" si="29"/>
        <v>44733</v>
      </c>
      <c r="D118" s="49">
        <f t="shared" si="29"/>
        <v>44734</v>
      </c>
      <c r="E118" s="49">
        <f t="shared" si="29"/>
        <v>44735</v>
      </c>
      <c r="F118" s="49">
        <f t="shared" si="29"/>
        <v>44736</v>
      </c>
      <c r="G118" s="49">
        <f t="shared" si="29"/>
        <v>44737</v>
      </c>
      <c r="H118" s="2"/>
      <c r="I118" s="7"/>
      <c r="J118" s="7"/>
      <c r="K118" s="2"/>
      <c r="L118" s="2"/>
      <c r="M118" s="2"/>
      <c r="N118" s="2"/>
      <c r="O118" s="2"/>
      <c r="P118" s="2"/>
      <c r="Q118" s="2"/>
      <c r="R118" s="2"/>
      <c r="S118" s="2"/>
      <c r="T118" s="2"/>
      <c r="U118" s="2"/>
      <c r="V118" s="2"/>
      <c r="W118" s="2"/>
      <c r="X118" s="2"/>
      <c r="Y118" s="2"/>
      <c r="Z118" s="2"/>
    </row>
    <row r="119" ht="22.5" customHeight="1">
      <c r="A119" s="42" t="str">
        <f t="array" ref="A119">IFERROR(INDEX(Lists!$B:$B,MATCH(A120,Lists!$A:$A,0)),"")</f>
        <v/>
      </c>
      <c r="B119" s="42" t="str">
        <f t="array" ref="B119">IFERROR(INDEX(Lists!$B:$B,MATCH(B120,Lists!$A:$A,0)),"")</f>
        <v/>
      </c>
      <c r="C119" s="42" t="str">
        <f t="array" ref="C119">IFERROR(INDEX(Lists!$B:$B,MATCH(C120,Lists!$A:$A,0)),"")</f>
        <v/>
      </c>
      <c r="D119" s="42" t="str">
        <f t="array" ref="D119">IFERROR(INDEX(Lists!$B:$B,MATCH(D120,Lists!$A:$A,0)),"")</f>
        <v/>
      </c>
      <c r="E119" s="42" t="str">
        <f t="array" ref="E119">IFERROR(INDEX(Lists!$B:$B,MATCH(E120,Lists!$A:$A,0)),"")</f>
        <v/>
      </c>
      <c r="F119" s="42" t="str">
        <f t="array" ref="F119">IFERROR(INDEX(Lists!$B:$B,MATCH(F120,Lists!$A:$A,0)),"")</f>
        <v/>
      </c>
      <c r="G119" s="42" t="str">
        <f t="array" ref="G119">IFERROR(INDEX(Lists!$B:$B,MATCH(G120,Lists!$A:$A,0)),"")</f>
        <v/>
      </c>
      <c r="H119" s="2"/>
      <c r="I119" s="43" t="str">
        <f>IF(A118="","","Week of "&amp;TEXT(A118-7,"MM/DD"))</f>
        <v>Week of 06/12</v>
      </c>
      <c r="J119" s="43" t="str">
        <f>IF(A118="","","Week of "&amp;TEXT(A118,"MM/DD"))</f>
        <v>Week of 06/19</v>
      </c>
      <c r="K119" s="2"/>
      <c r="L119" s="2"/>
      <c r="M119" s="2"/>
      <c r="N119" s="2"/>
      <c r="O119" s="2"/>
      <c r="P119" s="2"/>
      <c r="Q119" s="2"/>
      <c r="R119" s="2"/>
      <c r="S119" s="2"/>
      <c r="T119" s="2"/>
      <c r="U119" s="2"/>
      <c r="V119" s="2"/>
      <c r="W119" s="2"/>
      <c r="X119" s="2"/>
      <c r="Y119" s="2"/>
      <c r="Z119" s="2"/>
    </row>
    <row r="120" ht="22.5" customHeight="1">
      <c r="A120" s="42" t="str">
        <f t="array" ref="A120">IFERROR(INDEX(FinishedData!$B:$B,MATCH(A118,FinishedData!$A:$A,0)),"")</f>
        <v>Game</v>
      </c>
      <c r="B120" s="42" t="str">
        <f t="array" ref="B120">IFERROR(INDEX(FinishedData!$B:$B,MATCH(B118,FinishedData!$A:$A,0)),"")</f>
        <v>Off</v>
      </c>
      <c r="C120" s="42" t="str">
        <f t="array" ref="C120">IFERROR(INDEX(FinishedData!$B:$B,MATCH(C118,FinishedData!$A:$A,0)),"")</f>
        <v>Gym</v>
      </c>
      <c r="D120" s="42" t="str">
        <f t="array" ref="D120">IFERROR(INDEX(FinishedData!$B:$B,MATCH(D118,FinishedData!$A:$A,0)),"")</f>
        <v>Practice</v>
      </c>
      <c r="E120" s="42" t="str">
        <f t="array" ref="E120">IFERROR(INDEX(FinishedData!$B:$B,MATCH(E118,FinishedData!$A:$A,0)),"")</f>
        <v>Practice</v>
      </c>
      <c r="F120" s="42" t="str">
        <f t="array" ref="F120">IFERROR(INDEX(FinishedData!$B:$B,MATCH(F118,FinishedData!$A:$A,0)),"")</f>
        <v>Game</v>
      </c>
      <c r="G120" s="42" t="str">
        <f t="array" ref="G120">IFERROR(INDEX(FinishedData!$B:$B,MATCH(G118,FinishedData!$A:$A,0)),"")</f>
        <v>Game</v>
      </c>
      <c r="H120" s="2"/>
      <c r="I120" s="13">
        <f>IFERROR(IF(A118="","",IF(G118="",SUMIFS(FinishedData!$C:$C,FinishedData!$A:$A,"&gt;="&amp;MIN($A118:$G118)-7,FinishedData!$A:$A,"&lt;="&amp;MAX($A118:$G118)+(7-COUNT($A118:$G118)-7)),
SUMIFS(FinishedData!$C:$C,FinishedData!$A:$A,"&gt;="&amp;MIN($A118:$G118)-7,FinishedData!$A:$A,"&lt;="&amp;MAX($A118:$G118)-7))),"")</f>
        <v>4795</v>
      </c>
      <c r="J120" s="13">
        <f>IFERROR(IF(A118="","",SUMIFS(FinishedData!$C:$C,FinishedData!$A:$A,"&gt;="&amp;MIN($A118:$G118),FinishedData!$A:$A,"&lt;="&amp;MAX($A118:$G118))),"")</f>
        <v>4540</v>
      </c>
      <c r="K120" s="2"/>
      <c r="L120" s="2"/>
      <c r="M120" s="2"/>
      <c r="N120" s="2"/>
      <c r="O120" s="2"/>
      <c r="P120" s="2"/>
      <c r="Q120" s="2"/>
      <c r="R120" s="2"/>
      <c r="S120" s="2"/>
      <c r="T120" s="2"/>
      <c r="U120" s="2"/>
      <c r="V120" s="2"/>
      <c r="W120" s="2"/>
      <c r="X120" s="2"/>
      <c r="Y120" s="2"/>
      <c r="Z120" s="2"/>
    </row>
    <row r="121" ht="22.5" customHeight="1">
      <c r="A121" s="45">
        <f t="array" ref="A121">IFERROR(INDEX(FinishedData!$C:$C,MATCH(A118,FinishedData!$A:$A,0)),"")</f>
        <v>545</v>
      </c>
      <c r="B121" s="45" t="str">
        <f t="array" ref="B121">IFERROR(INDEX(FinishedData!$C:$C,MATCH(B118,FinishedData!$A:$A,0)),"")</f>
        <v/>
      </c>
      <c r="C121" s="45">
        <f t="array" ref="C121">IFERROR(INDEX(FinishedData!$C:$C,MATCH(C118,FinishedData!$A:$A,0)),"")</f>
        <v>930</v>
      </c>
      <c r="D121" s="45">
        <f t="array" ref="D121">IFERROR(INDEX(FinishedData!$C:$C,MATCH(D118,FinishedData!$A:$A,0)),"")</f>
        <v>960</v>
      </c>
      <c r="E121" s="45">
        <f t="array" ref="E121">IFERROR(INDEX(FinishedData!$C:$C,MATCH(E118,FinishedData!$A:$A,0)),"")</f>
        <v>655</v>
      </c>
      <c r="F121" s="45">
        <f t="array" ref="F121">IFERROR(INDEX(FinishedData!$C:$C,MATCH(F118,FinishedData!$A:$A,0)),"")</f>
        <v>760</v>
      </c>
      <c r="G121" s="45">
        <f t="array" ref="G121">IFERROR(INDEX(FinishedData!$C:$C,MATCH(G118,FinishedData!$A:$A,0)),"")</f>
        <v>690</v>
      </c>
      <c r="H121" s="2"/>
      <c r="I121" s="46" t="str">
        <f>IF(A118="","","CHANGE")</f>
        <v>CHANGE</v>
      </c>
      <c r="J121" s="47">
        <f>IFERROR(IF(A118="","",(J120-I120)/I120),"")</f>
        <v>-0.05318039625</v>
      </c>
      <c r="K121" s="2"/>
      <c r="L121" s="2"/>
      <c r="M121" s="2"/>
      <c r="N121" s="2"/>
      <c r="O121" s="2"/>
      <c r="P121" s="2"/>
      <c r="Q121" s="2"/>
      <c r="R121" s="2"/>
      <c r="S121" s="2"/>
      <c r="T121" s="2"/>
      <c r="U121" s="2"/>
      <c r="V121" s="2"/>
      <c r="W121" s="2"/>
      <c r="X121" s="2"/>
      <c r="Y121" s="2"/>
      <c r="Z121" s="2"/>
    </row>
    <row r="122" ht="22.5" customHeight="1">
      <c r="A122" s="49">
        <f>IF(G118&gt;=$D$3,"",G118+1)</f>
        <v>44738</v>
      </c>
      <c r="B122" s="49">
        <f t="shared" ref="B122:G122" si="30">IF(A122&gt;=$D$3,"",A122+1)</f>
        <v>44739</v>
      </c>
      <c r="C122" s="49">
        <f t="shared" si="30"/>
        <v>44740</v>
      </c>
      <c r="D122" s="49">
        <f t="shared" si="30"/>
        <v>44741</v>
      </c>
      <c r="E122" s="49">
        <f t="shared" si="30"/>
        <v>44742</v>
      </c>
      <c r="F122" s="49">
        <f t="shared" si="30"/>
        <v>44743</v>
      </c>
      <c r="G122" s="49">
        <f t="shared" si="30"/>
        <v>44744</v>
      </c>
      <c r="H122" s="2"/>
      <c r="I122" s="7"/>
      <c r="J122" s="7"/>
      <c r="K122" s="2"/>
      <c r="L122" s="2"/>
      <c r="M122" s="2"/>
      <c r="N122" s="2"/>
      <c r="O122" s="2"/>
      <c r="P122" s="2"/>
      <c r="Q122" s="2"/>
      <c r="R122" s="2"/>
      <c r="S122" s="2"/>
      <c r="T122" s="2"/>
      <c r="U122" s="2"/>
      <c r="V122" s="2"/>
      <c r="W122" s="2"/>
      <c r="X122" s="2"/>
      <c r="Y122" s="2"/>
      <c r="Z122" s="2"/>
    </row>
    <row r="123" ht="22.5" customHeight="1">
      <c r="A123" s="42" t="str">
        <f t="array" ref="A123">IFERROR(INDEX(Lists!$B:$B,MATCH(A124,Lists!$A:$A,0)),"")</f>
        <v/>
      </c>
      <c r="B123" s="42" t="str">
        <f t="array" ref="B123">IFERROR(INDEX(Lists!$B:$B,MATCH(B124,Lists!$A:$A,0)),"")</f>
        <v/>
      </c>
      <c r="C123" s="42" t="str">
        <f t="array" ref="C123">IFERROR(INDEX(Lists!$B:$B,MATCH(C124,Lists!$A:$A,0)),"")</f>
        <v/>
      </c>
      <c r="D123" s="42" t="str">
        <f t="array" ref="D123">IFERROR(INDEX(Lists!$B:$B,MATCH(D124,Lists!$A:$A,0)),"")</f>
        <v/>
      </c>
      <c r="E123" s="42" t="str">
        <f t="array" ref="E123">IFERROR(INDEX(Lists!$B:$B,MATCH(E124,Lists!$A:$A,0)),"")</f>
        <v/>
      </c>
      <c r="F123" s="42" t="str">
        <f t="array" ref="F123">IFERROR(INDEX(Lists!$B:$B,MATCH(F124,Lists!$A:$A,0)),"")</f>
        <v/>
      </c>
      <c r="G123" s="42" t="str">
        <f t="array" ref="G123">IFERROR(INDEX(Lists!$B:$B,MATCH(G124,Lists!$A:$A,0)),"")</f>
        <v/>
      </c>
      <c r="H123" s="2"/>
      <c r="I123" s="43" t="str">
        <f>IF(A122="","","Week of "&amp;TEXT(A122-7,"MM/DD"))</f>
        <v>Week of 06/19</v>
      </c>
      <c r="J123" s="43" t="str">
        <f>IF(A122="","","Week of "&amp;TEXT(A122,"MM/DD"))</f>
        <v>Week of 06/26</v>
      </c>
      <c r="K123" s="2"/>
      <c r="L123" s="2"/>
      <c r="M123" s="2"/>
      <c r="N123" s="2"/>
      <c r="O123" s="2"/>
      <c r="P123" s="2"/>
      <c r="Q123" s="2"/>
      <c r="R123" s="2"/>
      <c r="S123" s="2"/>
      <c r="T123" s="2"/>
      <c r="U123" s="2"/>
      <c r="V123" s="2"/>
      <c r="W123" s="2"/>
      <c r="X123" s="2"/>
      <c r="Y123" s="2"/>
      <c r="Z123" s="2"/>
    </row>
    <row r="124" ht="22.5" customHeight="1">
      <c r="A124" s="42" t="str">
        <f t="array" ref="A124">IFERROR(INDEX(FinishedData!$B:$B,MATCH(A122,FinishedData!$A:$A,0)),"")</f>
        <v>Off</v>
      </c>
      <c r="B124" s="42" t="str">
        <f t="array" ref="B124">IFERROR(INDEX(FinishedData!$B:$B,MATCH(B122,FinishedData!$A:$A,0)),"")</f>
        <v>Practice</v>
      </c>
      <c r="C124" s="42" t="str">
        <f t="array" ref="C124">IFERROR(INDEX(FinishedData!$B:$B,MATCH(C122,FinishedData!$A:$A,0)),"")</f>
        <v>Practice</v>
      </c>
      <c r="D124" s="42" t="str">
        <f t="array" ref="D124">IFERROR(INDEX(FinishedData!$B:$B,MATCH(D122,FinishedData!$A:$A,0)),"")</f>
        <v>Gym</v>
      </c>
      <c r="E124" s="42" t="str">
        <f t="array" ref="E124">IFERROR(INDEX(FinishedData!$B:$B,MATCH(E122,FinishedData!$A:$A,0)),"")</f>
        <v>Practice</v>
      </c>
      <c r="F124" s="42" t="str">
        <f t="array" ref="F124">IFERROR(INDEX(FinishedData!$B:$B,MATCH(F122,FinishedData!$A:$A,0)),"")</f>
        <v>Practice</v>
      </c>
      <c r="G124" s="42" t="str">
        <f t="array" ref="G124">IFERROR(INDEX(FinishedData!$B:$B,MATCH(G122,FinishedData!$A:$A,0)),"")</f>
        <v>Game</v>
      </c>
      <c r="H124" s="2"/>
      <c r="I124" s="13">
        <f>IFERROR(IF(A122="","",IF(G122="",SUMIFS(FinishedData!$C:$C,FinishedData!$A:$A,"&gt;="&amp;MIN($A122:$G122)-7,FinishedData!$A:$A,"&lt;="&amp;MAX($A122:$G122)+(7-COUNT($A122:$G122)-7)),
SUMIFS(FinishedData!$C:$C,FinishedData!$A:$A,"&gt;="&amp;MIN($A122:$G122)-7,FinishedData!$A:$A,"&lt;="&amp;MAX($A122:$G122)-7))),"")</f>
        <v>4540</v>
      </c>
      <c r="J124" s="13">
        <f>IFERROR(IF(A122="","",SUMIFS(FinishedData!$C:$C,FinishedData!$A:$A,"&gt;="&amp;MIN($A122:$G122),FinishedData!$A:$A,"&lt;="&amp;MAX($A122:$G122))),"")</f>
        <v>4280</v>
      </c>
      <c r="K124" s="2"/>
      <c r="L124" s="2"/>
      <c r="M124" s="2"/>
      <c r="N124" s="2"/>
      <c r="O124" s="2"/>
      <c r="P124" s="2"/>
      <c r="Q124" s="2"/>
      <c r="R124" s="2"/>
      <c r="S124" s="2"/>
      <c r="T124" s="2"/>
      <c r="U124" s="2"/>
      <c r="V124" s="2"/>
      <c r="W124" s="2"/>
      <c r="X124" s="2"/>
      <c r="Y124" s="2"/>
      <c r="Z124" s="2"/>
    </row>
    <row r="125" ht="22.5" customHeight="1">
      <c r="A125" s="45" t="str">
        <f t="array" ref="A125">IFERROR(INDEX(FinishedData!$C:$C,MATCH(A122,FinishedData!$A:$A,0)),"")</f>
        <v/>
      </c>
      <c r="B125" s="45">
        <f t="array" ref="B125">IFERROR(INDEX(FinishedData!$C:$C,MATCH(B122,FinishedData!$A:$A,0)),"")</f>
        <v>755</v>
      </c>
      <c r="C125" s="45">
        <f t="array" ref="C125">IFERROR(INDEX(FinishedData!$C:$C,MATCH(C122,FinishedData!$A:$A,0)),"")</f>
        <v>930</v>
      </c>
      <c r="D125" s="45">
        <f t="array" ref="D125">IFERROR(INDEX(FinishedData!$C:$C,MATCH(D122,FinishedData!$A:$A,0)),"")</f>
        <v>670</v>
      </c>
      <c r="E125" s="45">
        <f t="array" ref="E125">IFERROR(INDEX(FinishedData!$C:$C,MATCH(E122,FinishedData!$A:$A,0)),"")</f>
        <v>830</v>
      </c>
      <c r="F125" s="45">
        <f t="array" ref="F125">IFERROR(INDEX(FinishedData!$C:$C,MATCH(F122,FinishedData!$A:$A,0)),"")</f>
        <v>505</v>
      </c>
      <c r="G125" s="45">
        <f t="array" ref="G125">IFERROR(INDEX(FinishedData!$C:$C,MATCH(G122,FinishedData!$A:$A,0)),"")</f>
        <v>590</v>
      </c>
      <c r="H125" s="2"/>
      <c r="I125" s="46" t="str">
        <f>IF(A122="","","CHANGE")</f>
        <v>CHANGE</v>
      </c>
      <c r="J125" s="47">
        <f>IFERROR(IF(A122="","",(J124-I124)/I124),"")</f>
        <v>-0.05726872247</v>
      </c>
      <c r="K125" s="2"/>
      <c r="L125" s="2"/>
      <c r="M125" s="2"/>
      <c r="N125" s="2"/>
      <c r="O125" s="2"/>
      <c r="P125" s="2"/>
      <c r="Q125" s="2"/>
      <c r="R125" s="2"/>
      <c r="S125" s="2"/>
      <c r="T125" s="2"/>
      <c r="U125" s="2"/>
      <c r="V125" s="2"/>
      <c r="W125" s="2"/>
      <c r="X125" s="2"/>
      <c r="Y125" s="2"/>
      <c r="Z125" s="2"/>
    </row>
    <row r="126" ht="22.5" customHeight="1">
      <c r="A126" s="49">
        <f>IF(G122&gt;=$D$3,"",G122+1)</f>
        <v>44745</v>
      </c>
      <c r="B126" s="49">
        <f t="shared" ref="B126:G126" si="31">IF(A126&gt;=$D$3,"",A126+1)</f>
        <v>44746</v>
      </c>
      <c r="C126" s="49">
        <f t="shared" si="31"/>
        <v>44747</v>
      </c>
      <c r="D126" s="49">
        <f t="shared" si="31"/>
        <v>44748</v>
      </c>
      <c r="E126" s="49">
        <f t="shared" si="31"/>
        <v>44749</v>
      </c>
      <c r="F126" s="49">
        <f t="shared" si="31"/>
        <v>44750</v>
      </c>
      <c r="G126" s="49">
        <f t="shared" si="31"/>
        <v>44751</v>
      </c>
      <c r="H126" s="2"/>
      <c r="I126" s="2"/>
      <c r="J126" s="2"/>
      <c r="K126" s="2"/>
      <c r="L126" s="2"/>
      <c r="M126" s="2"/>
      <c r="N126" s="2"/>
      <c r="O126" s="2"/>
      <c r="P126" s="2"/>
      <c r="Q126" s="2"/>
      <c r="R126" s="2"/>
      <c r="S126" s="2"/>
      <c r="T126" s="2"/>
      <c r="U126" s="2"/>
      <c r="V126" s="2"/>
      <c r="W126" s="2"/>
      <c r="X126" s="2"/>
      <c r="Y126" s="2"/>
      <c r="Z126" s="2"/>
    </row>
    <row r="127" ht="22.5" customHeight="1">
      <c r="A127" s="42" t="str">
        <f t="array" ref="A127">IFERROR(INDEX(Lists!$B:$B,MATCH(A128,Lists!$A:$A,0)),"")</f>
        <v/>
      </c>
      <c r="B127" s="42" t="str">
        <f t="array" ref="B127">IFERROR(INDEX(Lists!$B:$B,MATCH(B128,Lists!$A:$A,0)),"")</f>
        <v/>
      </c>
      <c r="C127" s="42" t="str">
        <f t="array" ref="C127">IFERROR(INDEX(Lists!$B:$B,MATCH(C128,Lists!$A:$A,0)),"")</f>
        <v/>
      </c>
      <c r="D127" s="42" t="str">
        <f t="array" ref="D127">IFERROR(INDEX(Lists!$B:$B,MATCH(D128,Lists!$A:$A,0)),"")</f>
        <v/>
      </c>
      <c r="E127" s="42" t="str">
        <f t="array" ref="E127">IFERROR(INDEX(Lists!$B:$B,MATCH(E128,Lists!$A:$A,0)),"")</f>
        <v/>
      </c>
      <c r="F127" s="42" t="str">
        <f t="array" ref="F127">IFERROR(INDEX(Lists!$B:$B,MATCH(F128,Lists!$A:$A,0)),"")</f>
        <v/>
      </c>
      <c r="G127" s="42" t="str">
        <f t="array" ref="G127">IFERROR(INDEX(Lists!$B:$B,MATCH(G128,Lists!$A:$A,0)),"")</f>
        <v/>
      </c>
      <c r="H127" s="2"/>
      <c r="I127" s="43" t="str">
        <f>IF(A126="","","Week of "&amp;TEXT(A126-7,"MM/DD"))</f>
        <v>Week of 06/26</v>
      </c>
      <c r="J127" s="43" t="str">
        <f>IF(A126="","","Week of "&amp;TEXT(A126,"MM/DD"))</f>
        <v>Week of 07/03</v>
      </c>
      <c r="K127" s="2"/>
      <c r="L127" s="2"/>
      <c r="M127" s="2"/>
      <c r="N127" s="2"/>
      <c r="O127" s="2"/>
      <c r="P127" s="2"/>
      <c r="Q127" s="2"/>
      <c r="R127" s="2"/>
      <c r="S127" s="2"/>
      <c r="T127" s="2"/>
      <c r="U127" s="2"/>
      <c r="V127" s="2"/>
      <c r="W127" s="2"/>
      <c r="X127" s="2"/>
      <c r="Y127" s="2"/>
      <c r="Z127" s="2"/>
    </row>
    <row r="128" ht="22.5" customHeight="1">
      <c r="A128" s="42" t="str">
        <f t="array" ref="A128">IFERROR(INDEX(FinishedData!$B:$B,MATCH(A126,FinishedData!$A:$A,0)),"")</f>
        <v>Practice</v>
      </c>
      <c r="B128" s="42" t="str">
        <f t="array" ref="B128">IFERROR(INDEX(FinishedData!$B:$B,MATCH(B126,FinishedData!$A:$A,0)),"")</f>
        <v>Game</v>
      </c>
      <c r="C128" s="42" t="str">
        <f t="array" ref="C128">IFERROR(INDEX(FinishedData!$B:$B,MATCH(C126,FinishedData!$A:$A,0)),"")</f>
        <v>Off</v>
      </c>
      <c r="D128" s="42" t="str">
        <f t="array" ref="D128">IFERROR(INDEX(FinishedData!$B:$B,MATCH(D126,FinishedData!$A:$A,0)),"")</f>
        <v>Practice</v>
      </c>
      <c r="E128" s="42" t="str">
        <f t="array" ref="E128">IFERROR(INDEX(FinishedData!$B:$B,MATCH(E126,FinishedData!$A:$A,0)),"")</f>
        <v>Gym</v>
      </c>
      <c r="F128" s="42" t="str">
        <f t="array" ref="F128">IFERROR(INDEX(FinishedData!$B:$B,MATCH(F126,FinishedData!$A:$A,0)),"")</f>
        <v>Practice</v>
      </c>
      <c r="G128" s="42" t="str">
        <f t="array" ref="G128">IFERROR(INDEX(FinishedData!$B:$B,MATCH(G126,FinishedData!$A:$A,0)),"")</f>
        <v>Practice</v>
      </c>
      <c r="H128" s="2"/>
      <c r="I128" s="13">
        <f>IFERROR(IF(A126="","",IF(G126="",SUMIFS(FinishedData!$C:$C,FinishedData!$A:$A,"&gt;="&amp;MIN($A126:$G126)-7,FinishedData!$A:$A,"&lt;="&amp;MAX($A126:$G126)+(7-COUNT($A126:$G126)-7)),
SUMIFS(FinishedData!$C:$C,FinishedData!$A:$A,"&gt;="&amp;MIN($A126:$G126)-7,FinishedData!$A:$A,"&lt;="&amp;MAX($A126:$G126)-7))),"")</f>
        <v>4280</v>
      </c>
      <c r="J128" s="13">
        <f>IFERROR(IF(A126="","",SUMIFS(FinishedData!$C:$C,FinishedData!$A:$A,"&gt;="&amp;MIN($A126:$G126),FinishedData!$A:$A,"&lt;="&amp;MAX($A126:$G126))),"")</f>
        <v>4710</v>
      </c>
      <c r="K128" s="2"/>
      <c r="L128" s="2"/>
      <c r="M128" s="2"/>
      <c r="N128" s="2"/>
      <c r="O128" s="2"/>
      <c r="P128" s="2"/>
      <c r="Q128" s="2"/>
      <c r="R128" s="2"/>
      <c r="S128" s="2"/>
      <c r="T128" s="2"/>
      <c r="U128" s="2"/>
      <c r="V128" s="2"/>
      <c r="W128" s="2"/>
      <c r="X128" s="2"/>
      <c r="Y128" s="2"/>
      <c r="Z128" s="2"/>
    </row>
    <row r="129" ht="22.5" customHeight="1">
      <c r="A129" s="45">
        <f t="array" ref="A129">IFERROR(INDEX(FinishedData!$C:$C,MATCH(A126,FinishedData!$A:$A,0)),"")</f>
        <v>835</v>
      </c>
      <c r="B129" s="45">
        <f t="array" ref="B129">IFERROR(INDEX(FinishedData!$C:$C,MATCH(B126,FinishedData!$A:$A,0)),"")</f>
        <v>880</v>
      </c>
      <c r="C129" s="45" t="str">
        <f t="array" ref="C129">IFERROR(INDEX(FinishedData!$C:$C,MATCH(C126,FinishedData!$A:$A,0)),"")</f>
        <v/>
      </c>
      <c r="D129" s="45">
        <f t="array" ref="D129">IFERROR(INDEX(FinishedData!$C:$C,MATCH(D126,FinishedData!$A:$A,0)),"")</f>
        <v>760</v>
      </c>
      <c r="E129" s="45">
        <f t="array" ref="E129">IFERROR(INDEX(FinishedData!$C:$C,MATCH(E126,FinishedData!$A:$A,0)),"")</f>
        <v>705</v>
      </c>
      <c r="F129" s="45">
        <f t="array" ref="F129">IFERROR(INDEX(FinishedData!$C:$C,MATCH(F126,FinishedData!$A:$A,0)),"")</f>
        <v>790</v>
      </c>
      <c r="G129" s="45">
        <f t="array" ref="G129">IFERROR(INDEX(FinishedData!$C:$C,MATCH(G126,FinishedData!$A:$A,0)),"")</f>
        <v>740</v>
      </c>
      <c r="H129" s="2"/>
      <c r="I129" s="46" t="str">
        <f>IF(A126="","","CHANGE")</f>
        <v>CHANGE</v>
      </c>
      <c r="J129" s="47">
        <f>IFERROR(IF(A126="","",(J128-I128)/I128),"")</f>
        <v>0.1004672897</v>
      </c>
      <c r="K129" s="2"/>
      <c r="L129" s="2"/>
      <c r="M129" s="2"/>
      <c r="N129" s="2"/>
      <c r="O129" s="2"/>
      <c r="P129" s="2"/>
      <c r="Q129" s="2"/>
      <c r="R129" s="2"/>
      <c r="S129" s="2"/>
      <c r="T129" s="2"/>
      <c r="U129" s="2"/>
      <c r="V129" s="2"/>
      <c r="W129" s="2"/>
      <c r="X129" s="2"/>
      <c r="Y129" s="2"/>
      <c r="Z129" s="2"/>
    </row>
    <row r="130" ht="22.5" customHeight="1">
      <c r="A130" s="49">
        <f>IF(G126&gt;=$D$3,"",G126+1)</f>
        <v>44752</v>
      </c>
      <c r="B130" s="49">
        <f t="shared" ref="B130:G130" si="32">IF(A130&gt;=$D$3,"",A130+1)</f>
        <v>44753</v>
      </c>
      <c r="C130" s="49">
        <f t="shared" si="32"/>
        <v>44754</v>
      </c>
      <c r="D130" s="49">
        <f t="shared" si="32"/>
        <v>44755</v>
      </c>
      <c r="E130" s="49">
        <f t="shared" si="32"/>
        <v>44756</v>
      </c>
      <c r="F130" s="49">
        <f t="shared" si="32"/>
        <v>44757</v>
      </c>
      <c r="G130" s="49">
        <f t="shared" si="32"/>
        <v>44758</v>
      </c>
      <c r="H130" s="2"/>
      <c r="I130" s="7"/>
      <c r="J130" s="7"/>
      <c r="K130" s="2"/>
      <c r="L130" s="2"/>
      <c r="M130" s="2"/>
      <c r="N130" s="2"/>
      <c r="O130" s="2"/>
      <c r="P130" s="2"/>
      <c r="Q130" s="2"/>
      <c r="R130" s="2"/>
      <c r="S130" s="2"/>
      <c r="T130" s="2"/>
      <c r="U130" s="2"/>
      <c r="V130" s="2"/>
      <c r="W130" s="2"/>
      <c r="X130" s="2"/>
      <c r="Y130" s="2"/>
      <c r="Z130" s="2"/>
    </row>
    <row r="131" ht="22.5" customHeight="1">
      <c r="A131" s="42" t="str">
        <f t="array" ref="A131">IFERROR(INDEX(Lists!$B:$B,MATCH(A132,Lists!$A:$A,0)),"")</f>
        <v/>
      </c>
      <c r="B131" s="42" t="str">
        <f t="array" ref="B131">IFERROR(INDEX(Lists!$B:$B,MATCH(B132,Lists!$A:$A,0)),"")</f>
        <v/>
      </c>
      <c r="C131" s="42" t="str">
        <f t="array" ref="C131">IFERROR(INDEX(Lists!$B:$B,MATCH(C132,Lists!$A:$A,0)),"")</f>
        <v/>
      </c>
      <c r="D131" s="42" t="str">
        <f t="array" ref="D131">IFERROR(INDEX(Lists!$B:$B,MATCH(D132,Lists!$A:$A,0)),"")</f>
        <v/>
      </c>
      <c r="E131" s="42" t="str">
        <f t="array" ref="E131">IFERROR(INDEX(Lists!$B:$B,MATCH(E132,Lists!$A:$A,0)),"")</f>
        <v/>
      </c>
      <c r="F131" s="42" t="str">
        <f t="array" ref="F131">IFERROR(INDEX(Lists!$B:$B,MATCH(F132,Lists!$A:$A,0)),"")</f>
        <v/>
      </c>
      <c r="G131" s="42" t="str">
        <f t="array" ref="G131">IFERROR(INDEX(Lists!$B:$B,MATCH(G132,Lists!$A:$A,0)),"")</f>
        <v/>
      </c>
      <c r="H131" s="2"/>
      <c r="I131" s="43" t="str">
        <f>IF(A130="","","Week of "&amp;TEXT(A130-7,"MM/DD"))</f>
        <v>Week of 07/03</v>
      </c>
      <c r="J131" s="43" t="str">
        <f>IF(A130="","","Week of "&amp;TEXT(A130,"MM/DD"))</f>
        <v>Week of 07/10</v>
      </c>
      <c r="K131" s="2"/>
      <c r="L131" s="2"/>
      <c r="M131" s="2"/>
      <c r="N131" s="2"/>
      <c r="O131" s="2"/>
      <c r="P131" s="2"/>
      <c r="Q131" s="2"/>
      <c r="R131" s="2"/>
      <c r="S131" s="2"/>
      <c r="T131" s="2"/>
      <c r="U131" s="2"/>
      <c r="V131" s="2"/>
      <c r="W131" s="2"/>
      <c r="X131" s="2"/>
      <c r="Y131" s="2"/>
      <c r="Z131" s="2"/>
    </row>
    <row r="132" ht="22.5" customHeight="1">
      <c r="A132" s="42" t="str">
        <f t="array" ref="A132">IFERROR(INDEX(FinishedData!$B:$B,MATCH(A130,FinishedData!$A:$A,0)),"")</f>
        <v>Practice</v>
      </c>
      <c r="B132" s="42" t="str">
        <f t="array" ref="B132">IFERROR(INDEX(FinishedData!$B:$B,MATCH(B130,FinishedData!$A:$A,0)),"")</f>
        <v>Game</v>
      </c>
      <c r="C132" s="42" t="str">
        <f t="array" ref="C132">IFERROR(INDEX(FinishedData!$B:$B,MATCH(C130,FinishedData!$A:$A,0)),"")</f>
        <v>Off</v>
      </c>
      <c r="D132" s="42" t="str">
        <f t="array" ref="D132">IFERROR(INDEX(FinishedData!$B:$B,MATCH(D130,FinishedData!$A:$A,0)),"")</f>
        <v>Practice</v>
      </c>
      <c r="E132" s="42" t="str">
        <f t="array" ref="E132">IFERROR(INDEX(FinishedData!$B:$B,MATCH(E130,FinishedData!$A:$A,0)),"")</f>
        <v>Game</v>
      </c>
      <c r="F132" s="42" t="str">
        <f t="array" ref="F132">IFERROR(INDEX(FinishedData!$B:$B,MATCH(F130,FinishedData!$A:$A,0)),"")</f>
        <v>Practice</v>
      </c>
      <c r="G132" s="42" t="str">
        <f t="array" ref="G132">IFERROR(INDEX(FinishedData!$B:$B,MATCH(G130,FinishedData!$A:$A,0)),"")</f>
        <v>Practice</v>
      </c>
      <c r="H132" s="2"/>
      <c r="I132" s="13">
        <f>IFERROR(IF(A130="","",IF(G130="",SUMIFS(FinishedData!$C:$C,FinishedData!$A:$A,"&gt;="&amp;MIN($A130:$G130)-7,FinishedData!$A:$A,"&lt;="&amp;MAX($A130:$G130)+(7-COUNT($A130:$G130)-7)),
SUMIFS(FinishedData!$C:$C,FinishedData!$A:$A,"&gt;="&amp;MIN($A130:$G130)-7,FinishedData!$A:$A,"&lt;="&amp;MAX($A130:$G130)-7))),"")</f>
        <v>4710</v>
      </c>
      <c r="J132" s="13">
        <f>IFERROR(IF(A130="","",SUMIFS(FinishedData!$C:$C,FinishedData!$A:$A,"&gt;="&amp;MIN($A130:$G130),FinishedData!$A:$A,"&lt;="&amp;MAX($A130:$G130))),"")</f>
        <v>4825</v>
      </c>
      <c r="K132" s="2"/>
      <c r="L132" s="2"/>
      <c r="M132" s="2"/>
      <c r="N132" s="2"/>
      <c r="O132" s="2"/>
      <c r="P132" s="2"/>
      <c r="Q132" s="2"/>
      <c r="R132" s="2"/>
      <c r="S132" s="2"/>
      <c r="T132" s="2"/>
      <c r="U132" s="2"/>
      <c r="V132" s="2"/>
      <c r="W132" s="2"/>
      <c r="X132" s="2"/>
      <c r="Y132" s="2"/>
      <c r="Z132" s="2"/>
    </row>
    <row r="133" ht="22.5" customHeight="1">
      <c r="A133" s="45">
        <f t="array" ref="A133">IFERROR(INDEX(FinishedData!$C:$C,MATCH(A130,FinishedData!$A:$A,0)),"")</f>
        <v>510</v>
      </c>
      <c r="B133" s="45">
        <f t="array" ref="B133">IFERROR(INDEX(FinishedData!$C:$C,MATCH(B130,FinishedData!$A:$A,0)),"")</f>
        <v>890</v>
      </c>
      <c r="C133" s="45" t="str">
        <f t="array" ref="C133">IFERROR(INDEX(FinishedData!$C:$C,MATCH(C130,FinishedData!$A:$A,0)),"")</f>
        <v/>
      </c>
      <c r="D133" s="45">
        <f t="array" ref="D133">IFERROR(INDEX(FinishedData!$C:$C,MATCH(D130,FinishedData!$A:$A,0)),"")</f>
        <v>970</v>
      </c>
      <c r="E133" s="45">
        <f t="array" ref="E133">IFERROR(INDEX(FinishedData!$C:$C,MATCH(E130,FinishedData!$A:$A,0)),"")</f>
        <v>745</v>
      </c>
      <c r="F133" s="45">
        <f t="array" ref="F133">IFERROR(INDEX(FinishedData!$C:$C,MATCH(F130,FinishedData!$A:$A,0)),"")</f>
        <v>850</v>
      </c>
      <c r="G133" s="45">
        <f t="array" ref="G133">IFERROR(INDEX(FinishedData!$C:$C,MATCH(G130,FinishedData!$A:$A,0)),"")</f>
        <v>860</v>
      </c>
      <c r="H133" s="2"/>
      <c r="I133" s="46" t="str">
        <f>IF(A130="","","CHANGE")</f>
        <v>CHANGE</v>
      </c>
      <c r="J133" s="47">
        <f>IFERROR(IF(A130="","",(J132-I132)/I132),"")</f>
        <v>0.02441613588</v>
      </c>
      <c r="K133" s="2"/>
      <c r="L133" s="2"/>
      <c r="M133" s="2"/>
      <c r="N133" s="2"/>
      <c r="O133" s="2"/>
      <c r="P133" s="2"/>
      <c r="Q133" s="2"/>
      <c r="R133" s="2"/>
      <c r="S133" s="2"/>
      <c r="T133" s="2"/>
      <c r="U133" s="2"/>
      <c r="V133" s="2"/>
      <c r="W133" s="2"/>
      <c r="X133" s="2"/>
      <c r="Y133" s="2"/>
      <c r="Z133" s="2"/>
    </row>
    <row r="134" ht="22.5" customHeight="1">
      <c r="A134" s="49">
        <f>IF(G130&gt;=$D$3,"",G130+1)</f>
        <v>44759</v>
      </c>
      <c r="B134" s="49">
        <f t="shared" ref="B134:G134" si="33">IF(A134&gt;=$D$3,"",A134+1)</f>
        <v>44760</v>
      </c>
      <c r="C134" s="49">
        <f t="shared" si="33"/>
        <v>44761</v>
      </c>
      <c r="D134" s="49">
        <f t="shared" si="33"/>
        <v>44762</v>
      </c>
      <c r="E134" s="49">
        <f t="shared" si="33"/>
        <v>44763</v>
      </c>
      <c r="F134" s="49">
        <f t="shared" si="33"/>
        <v>44764</v>
      </c>
      <c r="G134" s="49">
        <f t="shared" si="33"/>
        <v>44765</v>
      </c>
      <c r="H134" s="2"/>
      <c r="I134" s="7"/>
      <c r="J134" s="7"/>
      <c r="K134" s="2"/>
      <c r="L134" s="2"/>
      <c r="M134" s="2"/>
      <c r="N134" s="2"/>
      <c r="O134" s="2"/>
      <c r="P134" s="2"/>
      <c r="Q134" s="2"/>
      <c r="R134" s="2"/>
      <c r="S134" s="2"/>
      <c r="T134" s="2"/>
      <c r="U134" s="2"/>
      <c r="V134" s="2"/>
      <c r="W134" s="2"/>
      <c r="X134" s="2"/>
      <c r="Y134" s="2"/>
      <c r="Z134" s="2"/>
    </row>
    <row r="135" ht="22.5" customHeight="1">
      <c r="A135" s="42" t="str">
        <f t="array" ref="A135">IFERROR(INDEX(Lists!$B:$B,MATCH(A136,Lists!$A:$A,0)),"")</f>
        <v/>
      </c>
      <c r="B135" s="42" t="str">
        <f t="array" ref="B135">IFERROR(INDEX(Lists!$B:$B,MATCH(B136,Lists!$A:$A,0)),"")</f>
        <v/>
      </c>
      <c r="C135" s="42" t="str">
        <f t="array" ref="C135">IFERROR(INDEX(Lists!$B:$B,MATCH(C136,Lists!$A:$A,0)),"")</f>
        <v/>
      </c>
      <c r="D135" s="42" t="str">
        <f t="array" ref="D135">IFERROR(INDEX(Lists!$B:$B,MATCH(D136,Lists!$A:$A,0)),"")</f>
        <v/>
      </c>
      <c r="E135" s="42" t="str">
        <f t="array" ref="E135">IFERROR(INDEX(Lists!$B:$B,MATCH(E136,Lists!$A:$A,0)),"")</f>
        <v/>
      </c>
      <c r="F135" s="42" t="str">
        <f t="array" ref="F135">IFERROR(INDEX(Lists!$B:$B,MATCH(F136,Lists!$A:$A,0)),"")</f>
        <v/>
      </c>
      <c r="G135" s="42" t="str">
        <f t="array" ref="G135">IFERROR(INDEX(Lists!$B:$B,MATCH(G136,Lists!$A:$A,0)),"")</f>
        <v/>
      </c>
      <c r="H135" s="2"/>
      <c r="I135" s="43" t="str">
        <f>IF(A134="","","Week of "&amp;TEXT(A134-7,"MM/DD"))</f>
        <v>Week of 07/10</v>
      </c>
      <c r="J135" s="43" t="str">
        <f>IF(A134="","","Week of "&amp;TEXT(A134,"MM/DD"))</f>
        <v>Week of 07/17</v>
      </c>
      <c r="K135" s="2"/>
      <c r="L135" s="2"/>
      <c r="M135" s="2"/>
      <c r="N135" s="2"/>
      <c r="O135" s="2"/>
      <c r="P135" s="2"/>
      <c r="Q135" s="2"/>
      <c r="R135" s="2"/>
      <c r="S135" s="2"/>
      <c r="T135" s="2"/>
      <c r="U135" s="2"/>
      <c r="V135" s="2"/>
      <c r="W135" s="2"/>
      <c r="X135" s="2"/>
      <c r="Y135" s="2"/>
      <c r="Z135" s="2"/>
    </row>
    <row r="136" ht="22.5" customHeight="1">
      <c r="A136" s="42" t="str">
        <f t="array" ref="A136">IFERROR(INDEX(FinishedData!$B:$B,MATCH(A134,FinishedData!$A:$A,0)),"")</f>
        <v>Game</v>
      </c>
      <c r="B136" s="42" t="str">
        <f t="array" ref="B136">IFERROR(INDEX(FinishedData!$B:$B,MATCH(B134,FinishedData!$A:$A,0)),"")</f>
        <v>Practice</v>
      </c>
      <c r="C136" s="42" t="str">
        <f t="array" ref="C136">IFERROR(INDEX(FinishedData!$B:$B,MATCH(C134,FinishedData!$A:$A,0)),"")</f>
        <v>Gym</v>
      </c>
      <c r="D136" s="42" t="str">
        <f t="array" ref="D136">IFERROR(INDEX(FinishedData!$B:$B,MATCH(D134,FinishedData!$A:$A,0)),"")</f>
        <v>Off</v>
      </c>
      <c r="E136" s="42" t="str">
        <f t="array" ref="E136">IFERROR(INDEX(FinishedData!$B:$B,MATCH(E134,FinishedData!$A:$A,0)),"")</f>
        <v>Practice</v>
      </c>
      <c r="F136" s="42" t="str">
        <f t="array" ref="F136">IFERROR(INDEX(FinishedData!$B:$B,MATCH(F134,FinishedData!$A:$A,0)),"")</f>
        <v>Practice</v>
      </c>
      <c r="G136" s="42" t="str">
        <f t="array" ref="G136">IFERROR(INDEX(FinishedData!$B:$B,MATCH(G134,FinishedData!$A:$A,0)),"")</f>
        <v>Game</v>
      </c>
      <c r="H136" s="2"/>
      <c r="I136" s="13">
        <f>IFERROR(IF(A134="","",IF(G134="",SUMIFS(FinishedData!$C:$C,FinishedData!$A:$A,"&gt;="&amp;MIN($A134:$G134)-7,FinishedData!$A:$A,"&lt;="&amp;MAX($A134:$G134)+(7-COUNT($A134:$G134)-7)),
SUMIFS(FinishedData!$C:$C,FinishedData!$A:$A,"&gt;="&amp;MIN($A134:$G134)-7,FinishedData!$A:$A,"&lt;="&amp;MAX($A134:$G134)-7))),"")</f>
        <v>4825</v>
      </c>
      <c r="J136" s="13">
        <f>IFERROR(IF(A134="","",SUMIFS(FinishedData!$C:$C,FinishedData!$A:$A,"&gt;="&amp;MIN($A134:$G134),FinishedData!$A:$A,"&lt;="&amp;MAX($A134:$G134))),"")</f>
        <v>4015</v>
      </c>
      <c r="K136" s="2"/>
      <c r="L136" s="2"/>
      <c r="M136" s="2"/>
      <c r="N136" s="2"/>
      <c r="O136" s="2"/>
      <c r="P136" s="2"/>
      <c r="Q136" s="2"/>
      <c r="R136" s="2"/>
      <c r="S136" s="2"/>
      <c r="T136" s="2"/>
      <c r="U136" s="2"/>
      <c r="V136" s="2"/>
      <c r="W136" s="2"/>
      <c r="X136" s="2"/>
      <c r="Y136" s="2"/>
      <c r="Z136" s="2"/>
    </row>
    <row r="137" ht="22.5" customHeight="1">
      <c r="A137" s="45">
        <f t="array" ref="A137">IFERROR(INDEX(FinishedData!$C:$C,MATCH(A134,FinishedData!$A:$A,0)),"")</f>
        <v>710</v>
      </c>
      <c r="B137" s="45">
        <f t="array" ref="B137">IFERROR(INDEX(FinishedData!$C:$C,MATCH(B134,FinishedData!$A:$A,0)),"")</f>
        <v>805</v>
      </c>
      <c r="C137" s="45">
        <f t="array" ref="C137">IFERROR(INDEX(FinishedData!$C:$C,MATCH(C134,FinishedData!$A:$A,0)),"")</f>
        <v>680</v>
      </c>
      <c r="D137" s="45" t="str">
        <f t="array" ref="D137">IFERROR(INDEX(FinishedData!$C:$C,MATCH(D134,FinishedData!$A:$A,0)),"")</f>
        <v/>
      </c>
      <c r="E137" s="45">
        <f t="array" ref="E137">IFERROR(INDEX(FinishedData!$C:$C,MATCH(E134,FinishedData!$A:$A,0)),"")</f>
        <v>660</v>
      </c>
      <c r="F137" s="45">
        <f t="array" ref="F137">IFERROR(INDEX(FinishedData!$C:$C,MATCH(F134,FinishedData!$A:$A,0)),"")</f>
        <v>535</v>
      </c>
      <c r="G137" s="45">
        <f t="array" ref="G137">IFERROR(INDEX(FinishedData!$C:$C,MATCH(G134,FinishedData!$A:$A,0)),"")</f>
        <v>625</v>
      </c>
      <c r="H137" s="2"/>
      <c r="I137" s="46" t="str">
        <f>IF(A134="","","CHANGE")</f>
        <v>CHANGE</v>
      </c>
      <c r="J137" s="47">
        <f>IFERROR(IF(A134="","",(J136-I136)/I136),"")</f>
        <v>-0.1678756477</v>
      </c>
      <c r="K137" s="2"/>
      <c r="L137" s="2"/>
      <c r="M137" s="2"/>
      <c r="N137" s="2"/>
      <c r="O137" s="2"/>
      <c r="P137" s="2"/>
      <c r="Q137" s="2"/>
      <c r="R137" s="2"/>
      <c r="S137" s="2"/>
      <c r="T137" s="2"/>
      <c r="U137" s="2"/>
      <c r="V137" s="2"/>
      <c r="W137" s="2"/>
      <c r="X137" s="2"/>
      <c r="Y137" s="2"/>
      <c r="Z137" s="2"/>
    </row>
    <row r="138" ht="22.5" customHeight="1">
      <c r="A138" s="49">
        <f>IF(G134&gt;=$D$3,"",G134+1)</f>
        <v>44766</v>
      </c>
      <c r="B138" s="49">
        <f t="shared" ref="B138:G138" si="34">IF(A138&gt;=$D$3,"",A138+1)</f>
        <v>44767</v>
      </c>
      <c r="C138" s="49">
        <f t="shared" si="34"/>
        <v>44768</v>
      </c>
      <c r="D138" s="49">
        <f t="shared" si="34"/>
        <v>44769</v>
      </c>
      <c r="E138" s="49">
        <f t="shared" si="34"/>
        <v>44770</v>
      </c>
      <c r="F138" s="49">
        <f t="shared" si="34"/>
        <v>44771</v>
      </c>
      <c r="G138" s="49">
        <f t="shared" si="34"/>
        <v>44772</v>
      </c>
      <c r="H138" s="2"/>
      <c r="I138" s="7"/>
      <c r="J138" s="7"/>
      <c r="K138" s="2"/>
      <c r="L138" s="2"/>
      <c r="M138" s="2"/>
      <c r="N138" s="2"/>
      <c r="O138" s="2"/>
      <c r="P138" s="2"/>
      <c r="Q138" s="2"/>
      <c r="R138" s="2"/>
      <c r="S138" s="2"/>
      <c r="T138" s="2"/>
      <c r="U138" s="2"/>
      <c r="V138" s="2"/>
      <c r="W138" s="2"/>
      <c r="X138" s="2"/>
      <c r="Y138" s="2"/>
      <c r="Z138" s="2"/>
    </row>
    <row r="139" ht="22.5" customHeight="1">
      <c r="A139" s="42" t="str">
        <f t="array" ref="A139">IFERROR(INDEX(Lists!$B:$B,MATCH(A140,Lists!$A:$A,0)),"")</f>
        <v/>
      </c>
      <c r="B139" s="42" t="str">
        <f t="array" ref="B139">IFERROR(INDEX(Lists!$B:$B,MATCH(B140,Lists!$A:$A,0)),"")</f>
        <v/>
      </c>
      <c r="C139" s="42" t="str">
        <f t="array" ref="C139">IFERROR(INDEX(Lists!$B:$B,MATCH(C140,Lists!$A:$A,0)),"")</f>
        <v/>
      </c>
      <c r="D139" s="42" t="str">
        <f t="array" ref="D139">IFERROR(INDEX(Lists!$B:$B,MATCH(D140,Lists!$A:$A,0)),"")</f>
        <v/>
      </c>
      <c r="E139" s="42" t="str">
        <f t="array" ref="E139">IFERROR(INDEX(Lists!$B:$B,MATCH(E140,Lists!$A:$A,0)),"")</f>
        <v/>
      </c>
      <c r="F139" s="42" t="str">
        <f t="array" ref="F139">IFERROR(INDEX(Lists!$B:$B,MATCH(F140,Lists!$A:$A,0)),"")</f>
        <v/>
      </c>
      <c r="G139" s="42" t="str">
        <f t="array" ref="G139">IFERROR(INDEX(Lists!$B:$B,MATCH(G140,Lists!$A:$A,0)),"")</f>
        <v/>
      </c>
      <c r="H139" s="2"/>
      <c r="I139" s="43" t="str">
        <f>IF(A138="","","Week of "&amp;TEXT(A138-7,"MM/DD"))</f>
        <v>Week of 07/17</v>
      </c>
      <c r="J139" s="43" t="str">
        <f>IF(A138="","","Week of "&amp;TEXT(A138,"MM/DD"))</f>
        <v>Week of 07/24</v>
      </c>
      <c r="K139" s="2"/>
      <c r="L139" s="2"/>
      <c r="M139" s="2"/>
      <c r="N139" s="2"/>
      <c r="O139" s="2"/>
      <c r="P139" s="2"/>
      <c r="Q139" s="2"/>
      <c r="R139" s="2"/>
      <c r="S139" s="2"/>
      <c r="T139" s="2"/>
      <c r="U139" s="2"/>
      <c r="V139" s="2"/>
      <c r="W139" s="2"/>
      <c r="X139" s="2"/>
      <c r="Y139" s="2"/>
      <c r="Z139" s="2"/>
    </row>
    <row r="140" ht="22.5" customHeight="1">
      <c r="A140" s="42" t="str">
        <f t="array" ref="A140">IFERROR(INDEX(FinishedData!$B:$B,MATCH(A138,FinishedData!$A:$A,0)),"")</f>
        <v>Game</v>
      </c>
      <c r="B140" s="42" t="str">
        <f t="array" ref="B140">IFERROR(INDEX(FinishedData!$B:$B,MATCH(B138,FinishedData!$A:$A,0)),"")</f>
        <v>Off</v>
      </c>
      <c r="C140" s="42" t="str">
        <f t="array" ref="C140">IFERROR(INDEX(FinishedData!$B:$B,MATCH(C138,FinishedData!$A:$A,0)),"")</f>
        <v>Practice</v>
      </c>
      <c r="D140" s="42" t="str">
        <f t="array" ref="D140">IFERROR(INDEX(FinishedData!$B:$B,MATCH(D138,FinishedData!$A:$A,0)),"")</f>
        <v>Gym</v>
      </c>
      <c r="E140" s="42" t="str">
        <f t="array" ref="E140">IFERROR(INDEX(FinishedData!$B:$B,MATCH(E138,FinishedData!$A:$A,0)),"")</f>
        <v>Practice</v>
      </c>
      <c r="F140" s="42" t="str">
        <f t="array" ref="F140">IFERROR(INDEX(FinishedData!$B:$B,MATCH(F138,FinishedData!$A:$A,0)),"")</f>
        <v>Practice</v>
      </c>
      <c r="G140" s="42" t="str">
        <f t="array" ref="G140">IFERROR(INDEX(FinishedData!$B:$B,MATCH(G138,FinishedData!$A:$A,0)),"")</f>
        <v>Game</v>
      </c>
      <c r="H140" s="2"/>
      <c r="I140" s="13">
        <f>IFERROR(IF(A138="","",IF(G138="",SUMIFS(FinishedData!$C:$C,FinishedData!$A:$A,"&gt;="&amp;MIN($A138:$G138)-7,FinishedData!$A:$A,"&lt;="&amp;MAX($A138:$G138)+(7-COUNT($A138:$G138)-7)),
SUMIFS(FinishedData!$C:$C,FinishedData!$A:$A,"&gt;="&amp;MIN($A138:$G138)-7,FinishedData!$A:$A,"&lt;="&amp;MAX($A138:$G138)-7))),"")</f>
        <v>4015</v>
      </c>
      <c r="J140" s="13">
        <f>IFERROR(IF(A138="","",SUMIFS(FinishedData!$C:$C,FinishedData!$A:$A,"&gt;="&amp;MIN($A138:$G138),FinishedData!$A:$A,"&lt;="&amp;MAX($A138:$G138))),"")</f>
        <v>4530</v>
      </c>
      <c r="K140" s="2"/>
      <c r="L140" s="2"/>
      <c r="M140" s="2"/>
      <c r="N140" s="2"/>
      <c r="O140" s="2"/>
      <c r="P140" s="2"/>
      <c r="Q140" s="2"/>
      <c r="R140" s="2"/>
      <c r="S140" s="2"/>
      <c r="T140" s="2"/>
      <c r="U140" s="2"/>
      <c r="V140" s="2"/>
      <c r="W140" s="2"/>
      <c r="X140" s="2"/>
      <c r="Y140" s="2"/>
      <c r="Z140" s="2"/>
    </row>
    <row r="141" ht="22.5" customHeight="1">
      <c r="A141" s="45">
        <f t="array" ref="A141">IFERROR(INDEX(FinishedData!$C:$C,MATCH(A138,FinishedData!$A:$A,0)),"")</f>
        <v>760</v>
      </c>
      <c r="B141" s="45" t="str">
        <f t="array" ref="B141">IFERROR(INDEX(FinishedData!$C:$C,MATCH(B138,FinishedData!$A:$A,0)),"")</f>
        <v/>
      </c>
      <c r="C141" s="45">
        <f t="array" ref="C141">IFERROR(INDEX(FinishedData!$C:$C,MATCH(C138,FinishedData!$A:$A,0)),"")</f>
        <v>840</v>
      </c>
      <c r="D141" s="45">
        <f t="array" ref="D141">IFERROR(INDEX(FinishedData!$C:$C,MATCH(D138,FinishedData!$A:$A,0)),"")</f>
        <v>620</v>
      </c>
      <c r="E141" s="45">
        <f t="array" ref="E141">IFERROR(INDEX(FinishedData!$C:$C,MATCH(E138,FinishedData!$A:$A,0)),"")</f>
        <v>935</v>
      </c>
      <c r="F141" s="45">
        <f t="array" ref="F141">IFERROR(INDEX(FinishedData!$C:$C,MATCH(F138,FinishedData!$A:$A,0)),"")</f>
        <v>825</v>
      </c>
      <c r="G141" s="45">
        <f t="array" ref="G141">IFERROR(INDEX(FinishedData!$C:$C,MATCH(G138,FinishedData!$A:$A,0)),"")</f>
        <v>550</v>
      </c>
      <c r="H141" s="2"/>
      <c r="I141" s="46" t="str">
        <f>IF(A138="","","CHANGE")</f>
        <v>CHANGE</v>
      </c>
      <c r="J141" s="47">
        <f>IFERROR(IF(A138="","",(J140-I140)/I140),"")</f>
        <v>0.1282689913</v>
      </c>
      <c r="K141" s="2"/>
      <c r="L141" s="2"/>
      <c r="M141" s="2"/>
      <c r="N141" s="2"/>
      <c r="O141" s="2"/>
      <c r="P141" s="2"/>
      <c r="Q141" s="2"/>
      <c r="R141" s="2"/>
      <c r="S141" s="2"/>
      <c r="T141" s="2"/>
      <c r="U141" s="2"/>
      <c r="V141" s="2"/>
      <c r="W141" s="2"/>
      <c r="X141" s="2"/>
      <c r="Y141" s="2"/>
      <c r="Z141" s="2"/>
    </row>
    <row r="142" ht="22.5" customHeight="1">
      <c r="A142" s="49">
        <f>IF(G138&gt;=$D$3,"",G138+1)</f>
        <v>44773</v>
      </c>
      <c r="B142" s="49">
        <f t="shared" ref="B142:G142" si="35">IF(A142&gt;=$D$3,"",A142+1)</f>
        <v>44774</v>
      </c>
      <c r="C142" s="49">
        <f t="shared" si="35"/>
        <v>44775</v>
      </c>
      <c r="D142" s="49">
        <f t="shared" si="35"/>
        <v>44776</v>
      </c>
      <c r="E142" s="49">
        <f t="shared" si="35"/>
        <v>44777</v>
      </c>
      <c r="F142" s="49">
        <f t="shared" si="35"/>
        <v>44778</v>
      </c>
      <c r="G142" s="49">
        <f t="shared" si="35"/>
        <v>44779</v>
      </c>
      <c r="H142" s="2"/>
      <c r="I142" s="7"/>
      <c r="J142" s="7"/>
      <c r="K142" s="2"/>
      <c r="L142" s="2"/>
      <c r="M142" s="2"/>
      <c r="N142" s="2"/>
      <c r="O142" s="2"/>
      <c r="P142" s="2"/>
      <c r="Q142" s="2"/>
      <c r="R142" s="2"/>
      <c r="S142" s="2"/>
      <c r="T142" s="2"/>
      <c r="U142" s="2"/>
      <c r="V142" s="2"/>
      <c r="W142" s="2"/>
      <c r="X142" s="2"/>
      <c r="Y142" s="2"/>
      <c r="Z142" s="2"/>
    </row>
    <row r="143" ht="22.5" customHeight="1">
      <c r="A143" s="42" t="str">
        <f t="array" ref="A143">IFERROR(INDEX(Lists!$B:$B,MATCH(A144,Lists!$A:$A,0)),"")</f>
        <v/>
      </c>
      <c r="B143" s="42" t="str">
        <f t="array" ref="B143">IFERROR(INDEX(Lists!$B:$B,MATCH(B144,Lists!$A:$A,0)),"")</f>
        <v/>
      </c>
      <c r="C143" s="42" t="str">
        <f t="array" ref="C143">IFERROR(INDEX(Lists!$B:$B,MATCH(C144,Lists!$A:$A,0)),"")</f>
        <v/>
      </c>
      <c r="D143" s="42" t="str">
        <f t="array" ref="D143">IFERROR(INDEX(Lists!$B:$B,MATCH(D144,Lists!$A:$A,0)),"")</f>
        <v/>
      </c>
      <c r="E143" s="42" t="str">
        <f t="array" ref="E143">IFERROR(INDEX(Lists!$B:$B,MATCH(E144,Lists!$A:$A,0)),"")</f>
        <v/>
      </c>
      <c r="F143" s="42" t="str">
        <f t="array" ref="F143">IFERROR(INDEX(Lists!$B:$B,MATCH(F144,Lists!$A:$A,0)),"")</f>
        <v/>
      </c>
      <c r="G143" s="42" t="str">
        <f t="array" ref="G143">IFERROR(INDEX(Lists!$B:$B,MATCH(G144,Lists!$A:$A,0)),"")</f>
        <v/>
      </c>
      <c r="H143" s="2"/>
      <c r="I143" s="43" t="str">
        <f>IF(A142="","","Week of "&amp;TEXT(A142-7,"MM/DD"))</f>
        <v>Week of 07/24</v>
      </c>
      <c r="J143" s="43" t="str">
        <f>IF(A142="","","Week of "&amp;TEXT(A142,"MM/DD"))</f>
        <v>Week of 07/31</v>
      </c>
      <c r="K143" s="2"/>
      <c r="L143" s="2"/>
      <c r="M143" s="2"/>
      <c r="N143" s="2"/>
      <c r="O143" s="2"/>
      <c r="P143" s="2"/>
      <c r="Q143" s="2"/>
      <c r="R143" s="2"/>
      <c r="S143" s="2"/>
      <c r="T143" s="2"/>
      <c r="U143" s="2"/>
      <c r="V143" s="2"/>
      <c r="W143" s="2"/>
      <c r="X143" s="2"/>
      <c r="Y143" s="2"/>
      <c r="Z143" s="2"/>
    </row>
    <row r="144" ht="22.5" customHeight="1">
      <c r="A144" s="42" t="str">
        <f t="array" ref="A144">IFERROR(INDEX(FinishedData!$B:$B,MATCH(A142,FinishedData!$A:$A,0)),"")</f>
        <v>Practice</v>
      </c>
      <c r="B144" s="42" t="str">
        <f t="array" ref="B144">IFERROR(INDEX(FinishedData!$B:$B,MATCH(B142,FinishedData!$A:$A,0)),"")</f>
        <v>Game</v>
      </c>
      <c r="C144" s="42" t="str">
        <f t="array" ref="C144">IFERROR(INDEX(FinishedData!$B:$B,MATCH(C142,FinishedData!$A:$A,0)),"")</f>
        <v>Off</v>
      </c>
      <c r="D144" s="42" t="str">
        <f t="array" ref="D144">IFERROR(INDEX(FinishedData!$B:$B,MATCH(D142,FinishedData!$A:$A,0)),"")</f>
        <v>Gym</v>
      </c>
      <c r="E144" s="42" t="str">
        <f t="array" ref="E144">IFERROR(INDEX(FinishedData!$B:$B,MATCH(E142,FinishedData!$A:$A,0)),"")</f>
        <v>Practice</v>
      </c>
      <c r="F144" s="42" t="str">
        <f t="array" ref="F144">IFERROR(INDEX(FinishedData!$B:$B,MATCH(F142,FinishedData!$A:$A,0)),"")</f>
        <v>Practice</v>
      </c>
      <c r="G144" s="42" t="str">
        <f t="array" ref="G144">IFERROR(INDEX(FinishedData!$B:$B,MATCH(G142,FinishedData!$A:$A,0)),"")</f>
        <v>Practice</v>
      </c>
      <c r="H144" s="2"/>
      <c r="I144" s="13">
        <f>IFERROR(IF(A142="","",IF(G142="",SUMIFS(FinishedData!$C:$C,FinishedData!$A:$A,"&gt;="&amp;MIN($A142:$G142)-7,FinishedData!$A:$A,"&lt;="&amp;MAX($A142:$G142)+(7-COUNT($A142:$G142)-7)),
SUMIFS(FinishedData!$C:$C,FinishedData!$A:$A,"&gt;="&amp;MIN($A142:$G142)-7,FinishedData!$A:$A,"&lt;="&amp;MAX($A142:$G142)-7))),"")</f>
        <v>4530</v>
      </c>
      <c r="J144" s="13">
        <f>IFERROR(IF(A142="","",SUMIFS(FinishedData!$C:$C,FinishedData!$A:$A,"&gt;="&amp;MIN($A142:$G142),FinishedData!$A:$A,"&lt;="&amp;MAX($A142:$G142))),"")</f>
        <v>4030</v>
      </c>
      <c r="K144" s="2"/>
      <c r="L144" s="2"/>
      <c r="M144" s="2"/>
      <c r="N144" s="2"/>
      <c r="O144" s="2"/>
      <c r="P144" s="2"/>
      <c r="Q144" s="2"/>
      <c r="R144" s="2"/>
      <c r="S144" s="2"/>
      <c r="T144" s="2"/>
      <c r="U144" s="2"/>
      <c r="V144" s="2"/>
      <c r="W144" s="2"/>
      <c r="X144" s="2"/>
      <c r="Y144" s="2"/>
      <c r="Z144" s="2"/>
    </row>
    <row r="145" ht="22.5" customHeight="1">
      <c r="A145" s="45">
        <f t="array" ref="A145">IFERROR(INDEX(FinishedData!$C:$C,MATCH(A142,FinishedData!$A:$A,0)),"")</f>
        <v>780</v>
      </c>
      <c r="B145" s="45">
        <f t="array" ref="B145">IFERROR(INDEX(FinishedData!$C:$C,MATCH(B142,FinishedData!$A:$A,0)),"")</f>
        <v>675</v>
      </c>
      <c r="C145" s="45" t="str">
        <f t="array" ref="C145">IFERROR(INDEX(FinishedData!$C:$C,MATCH(C142,FinishedData!$A:$A,0)),"")</f>
        <v/>
      </c>
      <c r="D145" s="45">
        <f t="array" ref="D145">IFERROR(INDEX(FinishedData!$C:$C,MATCH(D142,FinishedData!$A:$A,0)),"")</f>
        <v>790</v>
      </c>
      <c r="E145" s="45">
        <f t="array" ref="E145">IFERROR(INDEX(FinishedData!$C:$C,MATCH(E142,FinishedData!$A:$A,0)),"")</f>
        <v>555</v>
      </c>
      <c r="F145" s="45">
        <f t="array" ref="F145">IFERROR(INDEX(FinishedData!$C:$C,MATCH(F142,FinishedData!$A:$A,0)),"")</f>
        <v>540</v>
      </c>
      <c r="G145" s="45">
        <f t="array" ref="G145">IFERROR(INDEX(FinishedData!$C:$C,MATCH(G142,FinishedData!$A:$A,0)),"")</f>
        <v>690</v>
      </c>
      <c r="H145" s="2"/>
      <c r="I145" s="46" t="str">
        <f>IF(A142="","","CHANGE")</f>
        <v>CHANGE</v>
      </c>
      <c r="J145" s="47">
        <f>IFERROR(IF(A142="","",(J144-I144)/I144),"")</f>
        <v>-0.1103752759</v>
      </c>
      <c r="K145" s="2"/>
      <c r="L145" s="2"/>
      <c r="M145" s="2"/>
      <c r="N145" s="2"/>
      <c r="O145" s="2"/>
      <c r="P145" s="2"/>
      <c r="Q145" s="2"/>
      <c r="R145" s="2"/>
      <c r="S145" s="2"/>
      <c r="T145" s="2"/>
      <c r="U145" s="2"/>
      <c r="V145" s="2"/>
      <c r="W145" s="2"/>
      <c r="X145" s="2"/>
      <c r="Y145" s="2"/>
      <c r="Z145" s="2"/>
    </row>
    <row r="146" ht="22.5" customHeight="1">
      <c r="A146" s="49">
        <f>IF(G142&gt;=$D$3,"",G142+1)</f>
        <v>44780</v>
      </c>
      <c r="B146" s="49">
        <f t="shared" ref="B146:G146" si="36">IF(A146&gt;=$D$3,"",A146+1)</f>
        <v>44781</v>
      </c>
      <c r="C146" s="49">
        <f t="shared" si="36"/>
        <v>44782</v>
      </c>
      <c r="D146" s="49">
        <f t="shared" si="36"/>
        <v>44783</v>
      </c>
      <c r="E146" s="49">
        <f t="shared" si="36"/>
        <v>44784</v>
      </c>
      <c r="F146" s="49">
        <f t="shared" si="36"/>
        <v>44785</v>
      </c>
      <c r="G146" s="49">
        <f t="shared" si="36"/>
        <v>44786</v>
      </c>
      <c r="H146" s="2"/>
      <c r="I146" s="7"/>
      <c r="J146" s="7"/>
      <c r="K146" s="2"/>
      <c r="L146" s="2"/>
      <c r="M146" s="2"/>
      <c r="N146" s="2"/>
      <c r="O146" s="2"/>
      <c r="P146" s="2"/>
      <c r="Q146" s="2"/>
      <c r="R146" s="2"/>
      <c r="S146" s="2"/>
      <c r="T146" s="2"/>
      <c r="U146" s="2"/>
      <c r="V146" s="2"/>
      <c r="W146" s="2"/>
      <c r="X146" s="2"/>
      <c r="Y146" s="2"/>
      <c r="Z146" s="2"/>
    </row>
    <row r="147" ht="22.5" customHeight="1">
      <c r="A147" s="42" t="str">
        <f t="array" ref="A147">IFERROR(INDEX(Lists!$B:$B,MATCH(A148,Lists!$A:$A,0)),"")</f>
        <v/>
      </c>
      <c r="B147" s="42" t="str">
        <f t="array" ref="B147">IFERROR(INDEX(Lists!$B:$B,MATCH(B148,Lists!$A:$A,0)),"")</f>
        <v/>
      </c>
      <c r="C147" s="42" t="str">
        <f t="array" ref="C147">IFERROR(INDEX(Lists!$B:$B,MATCH(C148,Lists!$A:$A,0)),"")</f>
        <v/>
      </c>
      <c r="D147" s="42" t="str">
        <f t="array" ref="D147">IFERROR(INDEX(Lists!$B:$B,MATCH(D148,Lists!$A:$A,0)),"")</f>
        <v/>
      </c>
      <c r="E147" s="42" t="str">
        <f t="array" ref="E147">IFERROR(INDEX(Lists!$B:$B,MATCH(E148,Lists!$A:$A,0)),"")</f>
        <v/>
      </c>
      <c r="F147" s="42" t="str">
        <f t="array" ref="F147">IFERROR(INDEX(Lists!$B:$B,MATCH(F148,Lists!$A:$A,0)),"")</f>
        <v/>
      </c>
      <c r="G147" s="42" t="str">
        <f t="array" ref="G147">IFERROR(INDEX(Lists!$B:$B,MATCH(G148,Lists!$A:$A,0)),"")</f>
        <v/>
      </c>
      <c r="H147" s="2"/>
      <c r="I147" s="43" t="str">
        <f>IF(A146="","","Week of "&amp;TEXT(A146-7,"MM/DD"))</f>
        <v>Week of 07/31</v>
      </c>
      <c r="J147" s="43" t="str">
        <f>IF(A146="","","Week of "&amp;TEXT(A146,"MM/DD"))</f>
        <v>Week of 08/07</v>
      </c>
      <c r="K147" s="2"/>
      <c r="L147" s="2"/>
      <c r="M147" s="2"/>
      <c r="N147" s="2"/>
      <c r="O147" s="2"/>
      <c r="P147" s="2"/>
      <c r="Q147" s="2"/>
      <c r="R147" s="2"/>
      <c r="S147" s="2"/>
      <c r="T147" s="2"/>
      <c r="U147" s="2"/>
      <c r="V147" s="2"/>
      <c r="W147" s="2"/>
      <c r="X147" s="2"/>
      <c r="Y147" s="2"/>
      <c r="Z147" s="2"/>
    </row>
    <row r="148" ht="22.5" customHeight="1">
      <c r="A148" s="42" t="str">
        <f t="array" ref="A148">IFERROR(INDEX(FinishedData!$B:$B,MATCH(A146,FinishedData!$A:$A,0)),"")</f>
        <v>Game</v>
      </c>
      <c r="B148" s="42" t="str">
        <f t="array" ref="B148">IFERROR(INDEX(FinishedData!$B:$B,MATCH(B146,FinishedData!$A:$A,0)),"")</f>
        <v>Game</v>
      </c>
      <c r="C148" s="42" t="str">
        <f t="array" ref="C148">IFERROR(INDEX(FinishedData!$B:$B,MATCH(C146,FinishedData!$A:$A,0)),"")</f>
        <v>Off</v>
      </c>
      <c r="D148" s="42" t="str">
        <f t="array" ref="D148">IFERROR(INDEX(FinishedData!$B:$B,MATCH(D146,FinishedData!$A:$A,0)),"")</f>
        <v>Practice</v>
      </c>
      <c r="E148" s="42" t="str">
        <f t="array" ref="E148">IFERROR(INDEX(FinishedData!$B:$B,MATCH(E146,FinishedData!$A:$A,0)),"")</f>
        <v>Game</v>
      </c>
      <c r="F148" s="42" t="str">
        <f t="array" ref="F148">IFERROR(INDEX(FinishedData!$B:$B,MATCH(F146,FinishedData!$A:$A,0)),"")</f>
        <v>Practice</v>
      </c>
      <c r="G148" s="42" t="str">
        <f t="array" ref="G148">IFERROR(INDEX(FinishedData!$B:$B,MATCH(G146,FinishedData!$A:$A,0)),"")</f>
        <v>Practice</v>
      </c>
      <c r="H148" s="2"/>
      <c r="I148" s="13">
        <f>IFERROR(IF(A146="","",IF(G146="",SUMIFS(FinishedData!$C:$C,FinishedData!$A:$A,"&gt;="&amp;MIN($A146:$G146)-7,FinishedData!$A:$A,"&lt;="&amp;MAX($A146:$G146)+(7-COUNT($A146:$G146)-7)),
SUMIFS(FinishedData!$C:$C,FinishedData!$A:$A,"&gt;="&amp;MIN($A146:$G146)-7,FinishedData!$A:$A,"&lt;="&amp;MAX($A146:$G146)-7))),"")</f>
        <v>4030</v>
      </c>
      <c r="J148" s="13">
        <f>IFERROR(IF(A146="","",SUMIFS(FinishedData!$C:$C,FinishedData!$A:$A,"&gt;="&amp;MIN($A146:$G146),FinishedData!$A:$A,"&lt;="&amp;MAX($A146:$G146))),"")</f>
        <v>4070</v>
      </c>
      <c r="K148" s="2"/>
      <c r="L148" s="2"/>
      <c r="M148" s="2"/>
      <c r="N148" s="2"/>
      <c r="O148" s="2"/>
      <c r="P148" s="2"/>
      <c r="Q148" s="2"/>
      <c r="R148" s="2"/>
      <c r="S148" s="2"/>
      <c r="T148" s="2"/>
      <c r="U148" s="2"/>
      <c r="V148" s="2"/>
      <c r="W148" s="2"/>
      <c r="X148" s="2"/>
      <c r="Y148" s="2"/>
      <c r="Z148" s="2"/>
    </row>
    <row r="149" ht="22.5" customHeight="1">
      <c r="A149" s="45">
        <f t="array" ref="A149">IFERROR(INDEX(FinishedData!$C:$C,MATCH(A146,FinishedData!$A:$A,0)),"")</f>
        <v>620</v>
      </c>
      <c r="B149" s="45">
        <f t="array" ref="B149">IFERROR(INDEX(FinishedData!$C:$C,MATCH(B146,FinishedData!$A:$A,0)),"")</f>
        <v>870</v>
      </c>
      <c r="C149" s="45" t="str">
        <f t="array" ref="C149">IFERROR(INDEX(FinishedData!$C:$C,MATCH(C146,FinishedData!$A:$A,0)),"")</f>
        <v/>
      </c>
      <c r="D149" s="45">
        <f t="array" ref="D149">IFERROR(INDEX(FinishedData!$C:$C,MATCH(D146,FinishedData!$A:$A,0)),"")</f>
        <v>560</v>
      </c>
      <c r="E149" s="45">
        <f t="array" ref="E149">IFERROR(INDEX(FinishedData!$C:$C,MATCH(E146,FinishedData!$A:$A,0)),"")</f>
        <v>550</v>
      </c>
      <c r="F149" s="45">
        <f t="array" ref="F149">IFERROR(INDEX(FinishedData!$C:$C,MATCH(F146,FinishedData!$A:$A,0)),"")</f>
        <v>730</v>
      </c>
      <c r="G149" s="45">
        <f t="array" ref="G149">IFERROR(INDEX(FinishedData!$C:$C,MATCH(G146,FinishedData!$A:$A,0)),"")</f>
        <v>740</v>
      </c>
      <c r="H149" s="2"/>
      <c r="I149" s="46" t="str">
        <f>IF(A146="","","CHANGE")</f>
        <v>CHANGE</v>
      </c>
      <c r="J149" s="47">
        <f>IFERROR(IF(A146="","",(J148-I148)/I148),"")</f>
        <v>0.009925558313</v>
      </c>
      <c r="K149" s="2"/>
      <c r="L149" s="2"/>
      <c r="M149" s="2"/>
      <c r="N149" s="2"/>
      <c r="O149" s="2"/>
      <c r="P149" s="2"/>
      <c r="Q149" s="2"/>
      <c r="R149" s="2"/>
      <c r="S149" s="2"/>
      <c r="T149" s="2"/>
      <c r="U149" s="2"/>
      <c r="V149" s="2"/>
      <c r="W149" s="2"/>
      <c r="X149" s="2"/>
      <c r="Y149" s="2"/>
      <c r="Z149" s="2"/>
    </row>
    <row r="150" ht="22.5" customHeight="1">
      <c r="A150" s="49">
        <f>IF(G146&gt;=$D$3,"",G146+1)</f>
        <v>44787</v>
      </c>
      <c r="B150" s="49">
        <f t="shared" ref="B150:G150" si="37">IF(A150&gt;=$D$3,"",A150+1)</f>
        <v>44788</v>
      </c>
      <c r="C150" s="49">
        <f t="shared" si="37"/>
        <v>44789</v>
      </c>
      <c r="D150" s="49">
        <f t="shared" si="37"/>
        <v>44790</v>
      </c>
      <c r="E150" s="49">
        <f t="shared" si="37"/>
        <v>44791</v>
      </c>
      <c r="F150" s="49">
        <f t="shared" si="37"/>
        <v>44792</v>
      </c>
      <c r="G150" s="49">
        <f t="shared" si="37"/>
        <v>44793</v>
      </c>
      <c r="H150" s="2"/>
      <c r="I150" s="2"/>
      <c r="J150" s="2"/>
      <c r="K150" s="2"/>
      <c r="L150" s="2"/>
      <c r="M150" s="2"/>
      <c r="N150" s="2"/>
      <c r="O150" s="2"/>
      <c r="P150" s="2"/>
      <c r="Q150" s="2"/>
      <c r="R150" s="2"/>
      <c r="S150" s="2"/>
      <c r="T150" s="2"/>
      <c r="U150" s="2"/>
      <c r="V150" s="2"/>
      <c r="W150" s="2"/>
      <c r="X150" s="2"/>
      <c r="Y150" s="2"/>
      <c r="Z150" s="2"/>
    </row>
    <row r="151" ht="22.5" customHeight="1">
      <c r="A151" s="42" t="str">
        <f t="array" ref="A151">IFERROR(INDEX(Lists!$B:$B,MATCH(A152,Lists!$A:$A,0)),"")</f>
        <v/>
      </c>
      <c r="B151" s="42" t="str">
        <f t="array" ref="B151">IFERROR(INDEX(Lists!$B:$B,MATCH(B152,Lists!$A:$A,0)),"")</f>
        <v/>
      </c>
      <c r="C151" s="42" t="str">
        <f t="array" ref="C151">IFERROR(INDEX(Lists!$B:$B,MATCH(C152,Lists!$A:$A,0)),"")</f>
        <v/>
      </c>
      <c r="D151" s="42" t="str">
        <f t="array" ref="D151">IFERROR(INDEX(Lists!$B:$B,MATCH(D152,Lists!$A:$A,0)),"")</f>
        <v/>
      </c>
      <c r="E151" s="42" t="str">
        <f t="array" ref="E151">IFERROR(INDEX(Lists!$B:$B,MATCH(E152,Lists!$A:$A,0)),"")</f>
        <v/>
      </c>
      <c r="F151" s="42" t="str">
        <f t="array" ref="F151">IFERROR(INDEX(Lists!$B:$B,MATCH(F152,Lists!$A:$A,0)),"")</f>
        <v/>
      </c>
      <c r="G151" s="42" t="str">
        <f t="array" ref="G151">IFERROR(INDEX(Lists!$B:$B,MATCH(G152,Lists!$A:$A,0)),"")</f>
        <v/>
      </c>
      <c r="H151" s="2"/>
      <c r="I151" s="43" t="str">
        <f>IF(A150="","","Week of "&amp;TEXT(A150-7,"MM/DD"))</f>
        <v>Week of 08/07</v>
      </c>
      <c r="J151" s="43" t="str">
        <f>IF(A150="","","Week of "&amp;TEXT(A150,"MM/DD"))</f>
        <v>Week of 08/14</v>
      </c>
      <c r="K151" s="2"/>
      <c r="L151" s="2"/>
      <c r="M151" s="2"/>
      <c r="N151" s="2"/>
      <c r="O151" s="2"/>
      <c r="P151" s="2"/>
      <c r="Q151" s="2"/>
      <c r="R151" s="2"/>
      <c r="S151" s="2"/>
      <c r="T151" s="2"/>
      <c r="U151" s="2"/>
      <c r="V151" s="2"/>
      <c r="W151" s="2"/>
      <c r="X151" s="2"/>
      <c r="Y151" s="2"/>
      <c r="Z151" s="2"/>
    </row>
    <row r="152" ht="22.5" customHeight="1">
      <c r="A152" s="42" t="str">
        <f t="array" ref="A152">IFERROR(INDEX(FinishedData!$B:$B,MATCH(A150,FinishedData!$A:$A,0)),"")</f>
        <v>Practice</v>
      </c>
      <c r="B152" s="42" t="str">
        <f t="array" ref="B152">IFERROR(INDEX(FinishedData!$B:$B,MATCH(B150,FinishedData!$A:$A,0)),"")</f>
        <v>Game</v>
      </c>
      <c r="C152" s="42" t="str">
        <f t="array" ref="C152">IFERROR(INDEX(FinishedData!$B:$B,MATCH(C150,FinishedData!$A:$A,0)),"")</f>
        <v>Practice</v>
      </c>
      <c r="D152" s="42" t="str">
        <f t="array" ref="D152">IFERROR(INDEX(FinishedData!$B:$B,MATCH(D150,FinishedData!$A:$A,0)),"")</f>
        <v>Practice</v>
      </c>
      <c r="E152" s="42" t="str">
        <f t="array" ref="E152">IFERROR(INDEX(FinishedData!$B:$B,MATCH(E150,FinishedData!$A:$A,0)),"")</f>
        <v>Game</v>
      </c>
      <c r="F152" s="42" t="str">
        <f t="array" ref="F152">IFERROR(INDEX(FinishedData!$B:$B,MATCH(F150,FinishedData!$A:$A,0)),"")</f>
        <v>Off</v>
      </c>
      <c r="G152" s="42" t="str">
        <f t="array" ref="G152">IFERROR(INDEX(FinishedData!$B:$B,MATCH(G150,FinishedData!$A:$A,0)),"")</f>
        <v>Practice</v>
      </c>
      <c r="H152" s="2"/>
      <c r="I152" s="13">
        <f>IFERROR(IF(A150="","",IF(G150="",SUMIFS(FinishedData!$C:$C,FinishedData!$A:$A,"&gt;="&amp;MIN($A150:$G150)-7,FinishedData!$A:$A,"&lt;="&amp;MAX($A150:$G150)+(7-COUNT($A150:$G150)-7)),
SUMIFS(FinishedData!$C:$C,FinishedData!$A:$A,"&gt;="&amp;MIN($A150:$G150)-7,FinishedData!$A:$A,"&lt;="&amp;MAX($A150:$G150)-7))),"")</f>
        <v>4070</v>
      </c>
      <c r="J152" s="13">
        <f>IFERROR(IF(A150="","",SUMIFS(FinishedData!$C:$C,FinishedData!$A:$A,"&gt;="&amp;MIN($A150:$G150),FinishedData!$A:$A,"&lt;="&amp;MAX($A150:$G150))),"")</f>
        <v>4745</v>
      </c>
      <c r="K152" s="2"/>
      <c r="L152" s="2"/>
      <c r="M152" s="2"/>
      <c r="N152" s="2"/>
      <c r="O152" s="2"/>
      <c r="P152" s="2"/>
      <c r="Q152" s="2"/>
      <c r="R152" s="2"/>
      <c r="S152" s="2"/>
      <c r="T152" s="2"/>
      <c r="U152" s="2"/>
      <c r="V152" s="2"/>
      <c r="W152" s="2"/>
      <c r="X152" s="2"/>
      <c r="Y152" s="2"/>
      <c r="Z152" s="2"/>
    </row>
    <row r="153" ht="22.5" customHeight="1">
      <c r="A153" s="45">
        <f t="array" ref="A153">IFERROR(INDEX(FinishedData!$C:$C,MATCH(A150,FinishedData!$A:$A,0)),"")</f>
        <v>950</v>
      </c>
      <c r="B153" s="45">
        <f t="array" ref="B153">IFERROR(INDEX(FinishedData!$C:$C,MATCH(B150,FinishedData!$A:$A,0)),"")</f>
        <v>570</v>
      </c>
      <c r="C153" s="45">
        <f t="array" ref="C153">IFERROR(INDEX(FinishedData!$C:$C,MATCH(C150,FinishedData!$A:$A,0)),"")</f>
        <v>880</v>
      </c>
      <c r="D153" s="45">
        <f t="array" ref="D153">IFERROR(INDEX(FinishedData!$C:$C,MATCH(D150,FinishedData!$A:$A,0)),"")</f>
        <v>965</v>
      </c>
      <c r="E153" s="45">
        <f t="array" ref="E153">IFERROR(INDEX(FinishedData!$C:$C,MATCH(E150,FinishedData!$A:$A,0)),"")</f>
        <v>875</v>
      </c>
      <c r="F153" s="45" t="str">
        <f t="array" ref="F153">IFERROR(INDEX(FinishedData!$C:$C,MATCH(F150,FinishedData!$A:$A,0)),"")</f>
        <v/>
      </c>
      <c r="G153" s="45">
        <f t="array" ref="G153">IFERROR(INDEX(FinishedData!$C:$C,MATCH(G150,FinishedData!$A:$A,0)),"")</f>
        <v>505</v>
      </c>
      <c r="H153" s="2"/>
      <c r="I153" s="46" t="str">
        <f>IF(A150="","","CHANGE")</f>
        <v>CHANGE</v>
      </c>
      <c r="J153" s="47">
        <f>IFERROR(IF(A150="","",(J152-I152)/I152),"")</f>
        <v>0.1658476658</v>
      </c>
      <c r="K153" s="2"/>
      <c r="L153" s="2"/>
      <c r="M153" s="2"/>
      <c r="N153" s="2"/>
      <c r="O153" s="2"/>
      <c r="P153" s="2"/>
      <c r="Q153" s="2"/>
      <c r="R153" s="2"/>
      <c r="S153" s="2"/>
      <c r="T153" s="2"/>
      <c r="U153" s="2"/>
      <c r="V153" s="2"/>
      <c r="W153" s="2"/>
      <c r="X153" s="2"/>
      <c r="Y153" s="2"/>
      <c r="Z153" s="2"/>
    </row>
    <row r="154" ht="22.5" customHeight="1">
      <c r="A154" s="49">
        <f>IF(G150&gt;=$D$3,"",G150+1)</f>
        <v>44794</v>
      </c>
      <c r="B154" s="49">
        <f t="shared" ref="B154:G154" si="38">IF(A154&gt;=$D$3,"",A154+1)</f>
        <v>44795</v>
      </c>
      <c r="C154" s="49">
        <f t="shared" si="38"/>
        <v>44796</v>
      </c>
      <c r="D154" s="49">
        <f t="shared" si="38"/>
        <v>44797</v>
      </c>
      <c r="E154" s="49">
        <f t="shared" si="38"/>
        <v>44798</v>
      </c>
      <c r="F154" s="49">
        <f t="shared" si="38"/>
        <v>44799</v>
      </c>
      <c r="G154" s="49">
        <f t="shared" si="38"/>
        <v>44800</v>
      </c>
      <c r="H154" s="2"/>
      <c r="I154" s="7"/>
      <c r="J154" s="7"/>
      <c r="K154" s="2"/>
      <c r="L154" s="2"/>
      <c r="M154" s="2"/>
      <c r="N154" s="2"/>
      <c r="O154" s="2"/>
      <c r="P154" s="2"/>
      <c r="Q154" s="2"/>
      <c r="R154" s="2"/>
      <c r="S154" s="2"/>
      <c r="T154" s="2"/>
      <c r="U154" s="2"/>
      <c r="V154" s="2"/>
      <c r="W154" s="2"/>
      <c r="X154" s="2"/>
      <c r="Y154" s="2"/>
      <c r="Z154" s="2"/>
    </row>
    <row r="155" ht="22.5" customHeight="1">
      <c r="A155" s="42" t="str">
        <f t="array" ref="A155">IFERROR(INDEX(Lists!$B:$B,MATCH(A156,Lists!$A:$A,0)),"")</f>
        <v/>
      </c>
      <c r="B155" s="42" t="str">
        <f t="array" ref="B155">IFERROR(INDEX(Lists!$B:$B,MATCH(B156,Lists!$A:$A,0)),"")</f>
        <v/>
      </c>
      <c r="C155" s="42" t="str">
        <f t="array" ref="C155">IFERROR(INDEX(Lists!$B:$B,MATCH(C156,Lists!$A:$A,0)),"")</f>
        <v/>
      </c>
      <c r="D155" s="42" t="str">
        <f t="array" ref="D155">IFERROR(INDEX(Lists!$B:$B,MATCH(D156,Lists!$A:$A,0)),"")</f>
        <v/>
      </c>
      <c r="E155" s="42" t="str">
        <f t="array" ref="E155">IFERROR(INDEX(Lists!$B:$B,MATCH(E156,Lists!$A:$A,0)),"")</f>
        <v/>
      </c>
      <c r="F155" s="42" t="str">
        <f t="array" ref="F155">IFERROR(INDEX(Lists!$B:$B,MATCH(F156,Lists!$A:$A,0)),"")</f>
        <v/>
      </c>
      <c r="G155" s="42" t="str">
        <f t="array" ref="G155">IFERROR(INDEX(Lists!$B:$B,MATCH(G156,Lists!$A:$A,0)),"")</f>
        <v/>
      </c>
      <c r="H155" s="2"/>
      <c r="I155" s="43" t="str">
        <f>IF(A154="","","Week of "&amp;TEXT(A154-7,"MM/DD"))</f>
        <v>Week of 08/14</v>
      </c>
      <c r="J155" s="43" t="str">
        <f>IF(A154="","","Week of "&amp;TEXT(A154,"MM/DD"))</f>
        <v>Week of 08/21</v>
      </c>
      <c r="K155" s="2"/>
      <c r="L155" s="2"/>
      <c r="M155" s="2"/>
      <c r="N155" s="2"/>
      <c r="O155" s="2"/>
      <c r="P155" s="2"/>
      <c r="Q155" s="2"/>
      <c r="R155" s="2"/>
      <c r="S155" s="2"/>
      <c r="T155" s="2"/>
      <c r="U155" s="2"/>
      <c r="V155" s="2"/>
      <c r="W155" s="2"/>
      <c r="X155" s="2"/>
      <c r="Y155" s="2"/>
      <c r="Z155" s="2"/>
    </row>
    <row r="156" ht="22.5" customHeight="1">
      <c r="A156" s="42" t="str">
        <f t="array" ref="A156">IFERROR(INDEX(FinishedData!$B:$B,MATCH(A154,FinishedData!$A:$A,0)),"")</f>
        <v>Gym</v>
      </c>
      <c r="B156" s="42" t="str">
        <f t="array" ref="B156">IFERROR(INDEX(FinishedData!$B:$B,MATCH(B154,FinishedData!$A:$A,0)),"")</f>
        <v>Practice</v>
      </c>
      <c r="C156" s="42" t="str">
        <f t="array" ref="C156">IFERROR(INDEX(FinishedData!$B:$B,MATCH(C154,FinishedData!$A:$A,0)),"")</f>
        <v>Practice</v>
      </c>
      <c r="D156" s="42" t="str">
        <f t="array" ref="D156">IFERROR(INDEX(FinishedData!$B:$B,MATCH(D154,FinishedData!$A:$A,0)),"")</f>
        <v>Practice</v>
      </c>
      <c r="E156" s="42" t="str">
        <f t="array" ref="E156">IFERROR(INDEX(FinishedData!$B:$B,MATCH(E154,FinishedData!$A:$A,0)),"")</f>
        <v>Game</v>
      </c>
      <c r="F156" s="42" t="str">
        <f t="array" ref="F156">IFERROR(INDEX(FinishedData!$B:$B,MATCH(F154,FinishedData!$A:$A,0)),"")</f>
        <v>Off</v>
      </c>
      <c r="G156" s="42" t="str">
        <f t="array" ref="G156">IFERROR(INDEX(FinishedData!$B:$B,MATCH(G154,FinishedData!$A:$A,0)),"")</f>
        <v>Gym</v>
      </c>
      <c r="H156" s="2"/>
      <c r="I156" s="13">
        <f>IFERROR(IF(A154="","",IF(G154="",SUMIFS(FinishedData!$C:$C,FinishedData!$A:$A,"&gt;="&amp;MIN($A154:$G154)-7,FinishedData!$A:$A,"&lt;="&amp;MAX($A154:$G154)+(7-COUNT($A154:$G154)-7)),
SUMIFS(FinishedData!$C:$C,FinishedData!$A:$A,"&gt;="&amp;MIN($A154:$G154)-7,FinishedData!$A:$A,"&lt;="&amp;MAX($A154:$G154)-7))),"")</f>
        <v>4745</v>
      </c>
      <c r="J156" s="13">
        <f>IFERROR(IF(A154="","",SUMIFS(FinishedData!$C:$C,FinishedData!$A:$A,"&gt;="&amp;MIN($A154:$G154),FinishedData!$A:$A,"&lt;="&amp;MAX($A154:$G154))),"")</f>
        <v>4770</v>
      </c>
      <c r="K156" s="2"/>
      <c r="L156" s="2"/>
      <c r="M156" s="2"/>
      <c r="N156" s="2"/>
      <c r="O156" s="2"/>
      <c r="P156" s="2"/>
      <c r="Q156" s="2"/>
      <c r="R156" s="2"/>
      <c r="S156" s="2"/>
      <c r="T156" s="2"/>
      <c r="U156" s="2"/>
      <c r="V156" s="2"/>
      <c r="W156" s="2"/>
      <c r="X156" s="2"/>
      <c r="Y156" s="2"/>
      <c r="Z156" s="2"/>
    </row>
    <row r="157" ht="22.5" customHeight="1">
      <c r="A157" s="45">
        <f t="array" ref="A157">IFERROR(INDEX(FinishedData!$C:$C,MATCH(A154,FinishedData!$A:$A,0)),"")</f>
        <v>820</v>
      </c>
      <c r="B157" s="45">
        <f t="array" ref="B157">IFERROR(INDEX(FinishedData!$C:$C,MATCH(B154,FinishedData!$A:$A,0)),"")</f>
        <v>975</v>
      </c>
      <c r="C157" s="45">
        <f t="array" ref="C157">IFERROR(INDEX(FinishedData!$C:$C,MATCH(C154,FinishedData!$A:$A,0)),"")</f>
        <v>565</v>
      </c>
      <c r="D157" s="45">
        <f t="array" ref="D157">IFERROR(INDEX(FinishedData!$C:$C,MATCH(D154,FinishedData!$A:$A,0)),"")</f>
        <v>730</v>
      </c>
      <c r="E157" s="45">
        <f t="array" ref="E157">IFERROR(INDEX(FinishedData!$C:$C,MATCH(E154,FinishedData!$A:$A,0)),"")</f>
        <v>915</v>
      </c>
      <c r="F157" s="45" t="str">
        <f t="array" ref="F157">IFERROR(INDEX(FinishedData!$C:$C,MATCH(F154,FinishedData!$A:$A,0)),"")</f>
        <v/>
      </c>
      <c r="G157" s="45">
        <f t="array" ref="G157">IFERROR(INDEX(FinishedData!$C:$C,MATCH(G154,FinishedData!$A:$A,0)),"")</f>
        <v>765</v>
      </c>
      <c r="H157" s="2"/>
      <c r="I157" s="46" t="str">
        <f>IF(A154="","","CHANGE")</f>
        <v>CHANGE</v>
      </c>
      <c r="J157" s="47">
        <f>IFERROR(IF(A154="","",(J156-I156)/I156),"")</f>
        <v>0.005268703899</v>
      </c>
      <c r="K157" s="2"/>
      <c r="L157" s="2"/>
      <c r="M157" s="2"/>
      <c r="N157" s="2"/>
      <c r="O157" s="2"/>
      <c r="P157" s="2"/>
      <c r="Q157" s="2"/>
      <c r="R157" s="2"/>
      <c r="S157" s="2"/>
      <c r="T157" s="2"/>
      <c r="U157" s="2"/>
      <c r="V157" s="2"/>
      <c r="W157" s="2"/>
      <c r="X157" s="2"/>
      <c r="Y157" s="2"/>
      <c r="Z157" s="2"/>
    </row>
    <row r="158" ht="22.5" customHeight="1">
      <c r="A158" s="49">
        <f>IF(G154&gt;=$D$3,"",G154+1)</f>
        <v>44801</v>
      </c>
      <c r="B158" s="49">
        <f t="shared" ref="B158:G158" si="39">IF(A158&gt;=$D$3,"",A158+1)</f>
        <v>44802</v>
      </c>
      <c r="C158" s="49">
        <f t="shared" si="39"/>
        <v>44803</v>
      </c>
      <c r="D158" s="49">
        <f t="shared" si="39"/>
        <v>44804</v>
      </c>
      <c r="E158" s="49">
        <f t="shared" si="39"/>
        <v>44805</v>
      </c>
      <c r="F158" s="49">
        <f t="shared" si="39"/>
        <v>44806</v>
      </c>
      <c r="G158" s="49">
        <f t="shared" si="39"/>
        <v>44807</v>
      </c>
      <c r="H158" s="2"/>
      <c r="I158" s="7"/>
      <c r="J158" s="7"/>
      <c r="K158" s="2"/>
      <c r="L158" s="2"/>
      <c r="M158" s="2"/>
      <c r="N158" s="2"/>
      <c r="O158" s="2"/>
      <c r="P158" s="2"/>
      <c r="Q158" s="2"/>
      <c r="R158" s="2"/>
      <c r="S158" s="2"/>
      <c r="T158" s="2"/>
      <c r="U158" s="2"/>
      <c r="V158" s="2"/>
      <c r="W158" s="2"/>
      <c r="X158" s="2"/>
      <c r="Y158" s="2"/>
      <c r="Z158" s="2"/>
    </row>
    <row r="159" ht="22.5" customHeight="1">
      <c r="A159" s="42" t="str">
        <f t="array" ref="A159">IFERROR(INDEX(Lists!$B:$B,MATCH(A160,Lists!$A:$A,0)),"")</f>
        <v/>
      </c>
      <c r="B159" s="42" t="str">
        <f t="array" ref="B159">IFERROR(INDEX(Lists!$B:$B,MATCH(B160,Lists!$A:$A,0)),"")</f>
        <v/>
      </c>
      <c r="C159" s="42" t="str">
        <f t="array" ref="C159">IFERROR(INDEX(Lists!$B:$B,MATCH(C160,Lists!$A:$A,0)),"")</f>
        <v/>
      </c>
      <c r="D159" s="42" t="str">
        <f t="array" ref="D159">IFERROR(INDEX(Lists!$B:$B,MATCH(D160,Lists!$A:$A,0)),"")</f>
        <v/>
      </c>
      <c r="E159" s="42" t="str">
        <f t="array" ref="E159">IFERROR(INDEX(Lists!$B:$B,MATCH(E160,Lists!$A:$A,0)),"")</f>
        <v/>
      </c>
      <c r="F159" s="42" t="str">
        <f t="array" ref="F159">IFERROR(INDEX(Lists!$B:$B,MATCH(F160,Lists!$A:$A,0)),"")</f>
        <v/>
      </c>
      <c r="G159" s="42" t="str">
        <f t="array" ref="G159">IFERROR(INDEX(Lists!$B:$B,MATCH(G160,Lists!$A:$A,0)),"")</f>
        <v/>
      </c>
      <c r="H159" s="2"/>
      <c r="I159" s="43" t="str">
        <f>IF(A158="","","Week of "&amp;TEXT(A158-7,"MM/DD"))</f>
        <v>Week of 08/21</v>
      </c>
      <c r="J159" s="43" t="str">
        <f>IF(A158="","","Week of "&amp;TEXT(A158,"MM/DD"))</f>
        <v>Week of 08/28</v>
      </c>
      <c r="K159" s="2"/>
      <c r="L159" s="2"/>
      <c r="M159" s="2"/>
      <c r="N159" s="2"/>
      <c r="O159" s="2"/>
      <c r="P159" s="2"/>
      <c r="Q159" s="2"/>
      <c r="R159" s="2"/>
      <c r="S159" s="2"/>
      <c r="T159" s="2"/>
      <c r="U159" s="2"/>
      <c r="V159" s="2"/>
      <c r="W159" s="2"/>
      <c r="X159" s="2"/>
      <c r="Y159" s="2"/>
      <c r="Z159" s="2"/>
    </row>
    <row r="160" ht="22.5" customHeight="1">
      <c r="A160" s="42" t="str">
        <f t="array" ref="A160">IFERROR(INDEX(FinishedData!$B:$B,MATCH(A158,FinishedData!$A:$A,0)),"")</f>
        <v>Practice</v>
      </c>
      <c r="B160" s="42" t="str">
        <f t="array" ref="B160">IFERROR(INDEX(FinishedData!$B:$B,MATCH(B158,FinishedData!$A:$A,0)),"")</f>
        <v>Practice</v>
      </c>
      <c r="C160" s="42" t="str">
        <f t="array" ref="C160">IFERROR(INDEX(FinishedData!$B:$B,MATCH(C158,FinishedData!$A:$A,0)),"")</f>
        <v>Game</v>
      </c>
      <c r="D160" s="42" t="str">
        <f t="array" ref="D160">IFERROR(INDEX(FinishedData!$B:$B,MATCH(D158,FinishedData!$A:$A,0)),"")</f>
        <v>Game</v>
      </c>
      <c r="E160" s="42" t="str">
        <f t="array" ref="E160">IFERROR(INDEX(FinishedData!$B:$B,MATCH(E158,FinishedData!$A:$A,0)),"")</f>
        <v>Off</v>
      </c>
      <c r="F160" s="42" t="str">
        <f t="array" ref="F160">IFERROR(INDEX(FinishedData!$B:$B,MATCH(F158,FinishedData!$A:$A,0)),"")</f>
        <v>Practice</v>
      </c>
      <c r="G160" s="42" t="str">
        <f t="array" ref="G160">IFERROR(INDEX(FinishedData!$B:$B,MATCH(G158,FinishedData!$A:$A,0)),"")</f>
        <v>Practice</v>
      </c>
      <c r="H160" s="2"/>
      <c r="I160" s="13">
        <f>IFERROR(IF(A158="","",IF(G158="",SUMIFS(FinishedData!$C:$C,FinishedData!$A:$A,"&gt;="&amp;MIN($A158:$G158)-7,FinishedData!$A:$A,"&lt;="&amp;MAX($A158:$G158)+(7-COUNT($A158:$G158)-7)),
SUMIFS(FinishedData!$C:$C,FinishedData!$A:$A,"&gt;="&amp;MIN($A158:$G158)-7,FinishedData!$A:$A,"&lt;="&amp;MAX($A158:$G158)-7))),"")</f>
        <v>4770</v>
      </c>
      <c r="J160" s="13">
        <f>IFERROR(IF(A158="","",SUMIFS(FinishedData!$C:$C,FinishedData!$A:$A,"&gt;="&amp;MIN($A158:$G158),FinishedData!$A:$A,"&lt;="&amp;MAX($A158:$G158))),"")</f>
        <v>4105</v>
      </c>
      <c r="K160" s="2"/>
      <c r="L160" s="2"/>
      <c r="M160" s="2"/>
      <c r="N160" s="2"/>
      <c r="O160" s="2"/>
      <c r="P160" s="2"/>
      <c r="Q160" s="2"/>
      <c r="R160" s="2"/>
      <c r="S160" s="2"/>
      <c r="T160" s="2"/>
      <c r="U160" s="2"/>
      <c r="V160" s="2"/>
      <c r="W160" s="2"/>
      <c r="X160" s="2"/>
      <c r="Y160" s="2"/>
      <c r="Z160" s="2"/>
    </row>
    <row r="161" ht="22.5" customHeight="1">
      <c r="A161" s="45">
        <f t="array" ref="A161">IFERROR(INDEX(FinishedData!$C:$C,MATCH(A158,FinishedData!$A:$A,0)),"")</f>
        <v>605</v>
      </c>
      <c r="B161" s="45">
        <f t="array" ref="B161">IFERROR(INDEX(FinishedData!$C:$C,MATCH(B158,FinishedData!$A:$A,0)),"")</f>
        <v>840</v>
      </c>
      <c r="C161" s="45">
        <f t="array" ref="C161">IFERROR(INDEX(FinishedData!$C:$C,MATCH(C158,FinishedData!$A:$A,0)),"")</f>
        <v>705</v>
      </c>
      <c r="D161" s="45">
        <f t="array" ref="D161">IFERROR(INDEX(FinishedData!$C:$C,MATCH(D158,FinishedData!$A:$A,0)),"")</f>
        <v>625</v>
      </c>
      <c r="E161" s="45" t="str">
        <f t="array" ref="E161">IFERROR(INDEX(FinishedData!$C:$C,MATCH(E158,FinishedData!$A:$A,0)),"")</f>
        <v/>
      </c>
      <c r="F161" s="45">
        <f t="array" ref="F161">IFERROR(INDEX(FinishedData!$C:$C,MATCH(F158,FinishedData!$A:$A,0)),"")</f>
        <v>745</v>
      </c>
      <c r="G161" s="45">
        <f t="array" ref="G161">IFERROR(INDEX(FinishedData!$C:$C,MATCH(G158,FinishedData!$A:$A,0)),"")</f>
        <v>585</v>
      </c>
      <c r="H161" s="2"/>
      <c r="I161" s="46" t="str">
        <f>IF(A158="","","CHANGE")</f>
        <v>CHANGE</v>
      </c>
      <c r="J161" s="47">
        <f>IFERROR(IF(A158="","",(J160-I160)/I160),"")</f>
        <v>-0.1394129979</v>
      </c>
      <c r="K161" s="2"/>
      <c r="L161" s="2"/>
      <c r="M161" s="2"/>
      <c r="N161" s="2"/>
      <c r="O161" s="2"/>
      <c r="P161" s="2"/>
      <c r="Q161" s="2"/>
      <c r="R161" s="2"/>
      <c r="S161" s="2"/>
      <c r="T161" s="2"/>
      <c r="U161" s="2"/>
      <c r="V161" s="2"/>
      <c r="W161" s="2"/>
      <c r="X161" s="2"/>
      <c r="Y161" s="2"/>
      <c r="Z161" s="2"/>
    </row>
    <row r="162" ht="22.5" customHeight="1">
      <c r="A162" s="49">
        <f>IF(G158&gt;=$D$3,"",G158+1)</f>
        <v>44808</v>
      </c>
      <c r="B162" s="49">
        <f t="shared" ref="B162:G162" si="40">IF(A162&gt;=$D$3,"",A162+1)</f>
        <v>44809</v>
      </c>
      <c r="C162" s="49">
        <f t="shared" si="40"/>
        <v>44810</v>
      </c>
      <c r="D162" s="49">
        <f t="shared" si="40"/>
        <v>44811</v>
      </c>
      <c r="E162" s="49">
        <f t="shared" si="40"/>
        <v>44812</v>
      </c>
      <c r="F162" s="49">
        <f t="shared" si="40"/>
        <v>44813</v>
      </c>
      <c r="G162" s="49">
        <f t="shared" si="40"/>
        <v>44814</v>
      </c>
      <c r="H162" s="2"/>
      <c r="I162" s="7"/>
      <c r="J162" s="7"/>
      <c r="K162" s="2"/>
      <c r="L162" s="2"/>
      <c r="M162" s="2"/>
      <c r="N162" s="2"/>
      <c r="O162" s="2"/>
      <c r="P162" s="2"/>
      <c r="Q162" s="2"/>
      <c r="R162" s="2"/>
      <c r="S162" s="2"/>
      <c r="T162" s="2"/>
      <c r="U162" s="2"/>
      <c r="V162" s="2"/>
      <c r="W162" s="2"/>
      <c r="X162" s="2"/>
      <c r="Y162" s="2"/>
      <c r="Z162" s="2"/>
    </row>
    <row r="163" ht="22.5" customHeight="1">
      <c r="A163" s="42" t="str">
        <f t="array" ref="A163">IFERROR(INDEX(Lists!$B:$B,MATCH(A164,Lists!$A:$A,0)),"")</f>
        <v/>
      </c>
      <c r="B163" s="42" t="str">
        <f t="array" ref="B163">IFERROR(INDEX(Lists!$B:$B,MATCH(B164,Lists!$A:$A,0)),"")</f>
        <v/>
      </c>
      <c r="C163" s="42" t="str">
        <f t="array" ref="C163">IFERROR(INDEX(Lists!$B:$B,MATCH(C164,Lists!$A:$A,0)),"")</f>
        <v/>
      </c>
      <c r="D163" s="42" t="str">
        <f t="array" ref="D163">IFERROR(INDEX(Lists!$B:$B,MATCH(D164,Lists!$A:$A,0)),"")</f>
        <v/>
      </c>
      <c r="E163" s="42" t="str">
        <f t="array" ref="E163">IFERROR(INDEX(Lists!$B:$B,MATCH(E164,Lists!$A:$A,0)),"")</f>
        <v/>
      </c>
      <c r="F163" s="42" t="str">
        <f t="array" ref="F163">IFERROR(INDEX(Lists!$B:$B,MATCH(F164,Lists!$A:$A,0)),"")</f>
        <v/>
      </c>
      <c r="G163" s="42" t="str">
        <f t="array" ref="G163">IFERROR(INDEX(Lists!$B:$B,MATCH(G164,Lists!$A:$A,0)),"")</f>
        <v/>
      </c>
      <c r="H163" s="2"/>
      <c r="I163" s="43" t="str">
        <f>IF(A162="","","Week of "&amp;TEXT(A162-7,"MM/DD"))</f>
        <v>Week of 08/28</v>
      </c>
      <c r="J163" s="43" t="str">
        <f>IF(A162="","","Week of "&amp;TEXT(A162,"MM/DD"))</f>
        <v>Week of 09/04</v>
      </c>
      <c r="K163" s="2"/>
      <c r="L163" s="2"/>
      <c r="M163" s="2"/>
      <c r="N163" s="2"/>
      <c r="O163" s="2"/>
      <c r="P163" s="2"/>
      <c r="Q163" s="2"/>
      <c r="R163" s="2"/>
      <c r="S163" s="2"/>
      <c r="T163" s="2"/>
      <c r="U163" s="2"/>
      <c r="V163" s="2"/>
      <c r="W163" s="2"/>
      <c r="X163" s="2"/>
      <c r="Y163" s="2"/>
      <c r="Z163" s="2"/>
    </row>
    <row r="164" ht="22.5" customHeight="1">
      <c r="A164" s="42" t="str">
        <f t="array" ref="A164">IFERROR(INDEX(FinishedData!$B:$B,MATCH(A162,FinishedData!$A:$A,0)),"")</f>
        <v>Gym</v>
      </c>
      <c r="B164" s="42" t="str">
        <f t="array" ref="B164">IFERROR(INDEX(FinishedData!$B:$B,MATCH(B162,FinishedData!$A:$A,0)),"")</f>
        <v>Practice</v>
      </c>
      <c r="C164" s="42" t="str">
        <f t="array" ref="C164">IFERROR(INDEX(FinishedData!$B:$B,MATCH(C162,FinishedData!$A:$A,0)),"")</f>
        <v>Practice</v>
      </c>
      <c r="D164" s="42" t="str">
        <f t="array" ref="D164">IFERROR(INDEX(FinishedData!$B:$B,MATCH(D162,FinishedData!$A:$A,0)),"")</f>
        <v>Game</v>
      </c>
      <c r="E164" s="42" t="str">
        <f t="array" ref="E164">IFERROR(INDEX(FinishedData!$B:$B,MATCH(E162,FinishedData!$A:$A,0)),"")</f>
        <v>Practice</v>
      </c>
      <c r="F164" s="42" t="str">
        <f t="array" ref="F164">IFERROR(INDEX(FinishedData!$B:$B,MATCH(F162,FinishedData!$A:$A,0)),"")</f>
        <v>Game</v>
      </c>
      <c r="G164" s="42" t="str">
        <f t="array" ref="G164">IFERROR(INDEX(FinishedData!$B:$B,MATCH(G162,FinishedData!$A:$A,0)),"")</f>
        <v>Off</v>
      </c>
      <c r="H164" s="2"/>
      <c r="I164" s="13">
        <f>IFERROR(IF(A162="","",IF(G162="",SUMIFS(FinishedData!$C:$C,FinishedData!$A:$A,"&gt;="&amp;MIN($A162:$G162)-7,FinishedData!$A:$A,"&lt;="&amp;MAX($A162:$G162)+(7-COUNT($A162:$G162)-7)),
SUMIFS(FinishedData!$C:$C,FinishedData!$A:$A,"&gt;="&amp;MIN($A162:$G162)-7,FinishedData!$A:$A,"&lt;="&amp;MAX($A162:$G162)-7))),"")</f>
        <v>4105</v>
      </c>
      <c r="J164" s="13">
        <f>IFERROR(IF(A162="","",SUMIFS(FinishedData!$C:$C,FinishedData!$A:$A,"&gt;="&amp;MIN($A162:$G162),FinishedData!$A:$A,"&lt;="&amp;MAX($A162:$G162))),"")</f>
        <v>4795</v>
      </c>
      <c r="K164" s="2"/>
      <c r="L164" s="2"/>
      <c r="M164" s="2"/>
      <c r="N164" s="2"/>
      <c r="O164" s="2"/>
      <c r="P164" s="2"/>
      <c r="Q164" s="2"/>
      <c r="R164" s="2"/>
      <c r="S164" s="2"/>
      <c r="T164" s="2"/>
      <c r="U164" s="2"/>
      <c r="V164" s="2"/>
      <c r="W164" s="2"/>
      <c r="X164" s="2"/>
      <c r="Y164" s="2"/>
      <c r="Z164" s="2"/>
    </row>
    <row r="165" ht="22.5" customHeight="1">
      <c r="A165" s="45">
        <f t="array" ref="A165">IFERROR(INDEX(FinishedData!$C:$C,MATCH(A162,FinishedData!$A:$A,0)),"")</f>
        <v>620</v>
      </c>
      <c r="B165" s="45">
        <f t="array" ref="B165">IFERROR(INDEX(FinishedData!$C:$C,MATCH(B162,FinishedData!$A:$A,0)),"")</f>
        <v>865</v>
      </c>
      <c r="C165" s="45">
        <f t="array" ref="C165">IFERROR(INDEX(FinishedData!$C:$C,MATCH(C162,FinishedData!$A:$A,0)),"")</f>
        <v>630</v>
      </c>
      <c r="D165" s="45">
        <f t="array" ref="D165">IFERROR(INDEX(FinishedData!$C:$C,MATCH(D162,FinishedData!$A:$A,0)),"")</f>
        <v>940</v>
      </c>
      <c r="E165" s="45">
        <f t="array" ref="E165">IFERROR(INDEX(FinishedData!$C:$C,MATCH(E162,FinishedData!$A:$A,0)),"")</f>
        <v>990</v>
      </c>
      <c r="F165" s="45">
        <f t="array" ref="F165">IFERROR(INDEX(FinishedData!$C:$C,MATCH(F162,FinishedData!$A:$A,0)),"")</f>
        <v>750</v>
      </c>
      <c r="G165" s="45" t="str">
        <f t="array" ref="G165">IFERROR(INDEX(FinishedData!$C:$C,MATCH(G162,FinishedData!$A:$A,0)),"")</f>
        <v/>
      </c>
      <c r="H165" s="2"/>
      <c r="I165" s="46" t="str">
        <f>IF(A162="","","CHANGE")</f>
        <v>CHANGE</v>
      </c>
      <c r="J165" s="47">
        <f>IFERROR(IF(A162="","",(J164-I164)/I164),"")</f>
        <v>0.1680876979</v>
      </c>
      <c r="K165" s="2"/>
      <c r="L165" s="2"/>
      <c r="M165" s="2"/>
      <c r="N165" s="2"/>
      <c r="O165" s="2"/>
      <c r="P165" s="2"/>
      <c r="Q165" s="2"/>
      <c r="R165" s="2"/>
      <c r="S165" s="2"/>
      <c r="T165" s="2"/>
      <c r="U165" s="2"/>
      <c r="V165" s="2"/>
      <c r="W165" s="2"/>
      <c r="X165" s="2"/>
      <c r="Y165" s="2"/>
      <c r="Z165" s="2"/>
    </row>
    <row r="166" ht="22.5" customHeight="1">
      <c r="A166" s="49">
        <f>IF(G162&gt;=$D$3,"",G162+1)</f>
        <v>44815</v>
      </c>
      <c r="B166" s="49">
        <f t="shared" ref="B166:G166" si="41">IF(A166&gt;=$D$3,"",A166+1)</f>
        <v>44816</v>
      </c>
      <c r="C166" s="49">
        <f t="shared" si="41"/>
        <v>44817</v>
      </c>
      <c r="D166" s="49">
        <f t="shared" si="41"/>
        <v>44818</v>
      </c>
      <c r="E166" s="49">
        <f t="shared" si="41"/>
        <v>44819</v>
      </c>
      <c r="F166" s="49">
        <f t="shared" si="41"/>
        <v>44820</v>
      </c>
      <c r="G166" s="49">
        <f t="shared" si="41"/>
        <v>44821</v>
      </c>
      <c r="H166" s="2"/>
      <c r="I166" s="7"/>
      <c r="J166" s="7"/>
      <c r="K166" s="2"/>
      <c r="L166" s="2"/>
      <c r="M166" s="2"/>
      <c r="N166" s="2"/>
      <c r="O166" s="2"/>
      <c r="P166" s="2"/>
      <c r="Q166" s="2"/>
      <c r="R166" s="2"/>
      <c r="S166" s="2"/>
      <c r="T166" s="2"/>
      <c r="U166" s="2"/>
      <c r="V166" s="2"/>
      <c r="W166" s="2"/>
      <c r="X166" s="2"/>
      <c r="Y166" s="2"/>
      <c r="Z166" s="2"/>
    </row>
    <row r="167" ht="22.5" customHeight="1">
      <c r="A167" s="42" t="str">
        <f t="array" ref="A167">IFERROR(INDEX(Lists!$B:$B,MATCH(A168,Lists!$A:$A,0)),"")</f>
        <v/>
      </c>
      <c r="B167" s="42" t="str">
        <f t="array" ref="B167">IFERROR(INDEX(Lists!$B:$B,MATCH(B168,Lists!$A:$A,0)),"")</f>
        <v/>
      </c>
      <c r="C167" s="42" t="str">
        <f t="array" ref="C167">IFERROR(INDEX(Lists!$B:$B,MATCH(C168,Lists!$A:$A,0)),"")</f>
        <v/>
      </c>
      <c r="D167" s="42" t="str">
        <f t="array" ref="D167">IFERROR(INDEX(Lists!$B:$B,MATCH(D168,Lists!$A:$A,0)),"")</f>
        <v/>
      </c>
      <c r="E167" s="42" t="str">
        <f t="array" ref="E167">IFERROR(INDEX(Lists!$B:$B,MATCH(E168,Lists!$A:$A,0)),"")</f>
        <v/>
      </c>
      <c r="F167" s="42" t="str">
        <f t="array" ref="F167">IFERROR(INDEX(Lists!$B:$B,MATCH(F168,Lists!$A:$A,0)),"")</f>
        <v/>
      </c>
      <c r="G167" s="42" t="str">
        <f t="array" ref="G167">IFERROR(INDEX(Lists!$B:$B,MATCH(G168,Lists!$A:$A,0)),"")</f>
        <v/>
      </c>
      <c r="H167" s="2"/>
      <c r="I167" s="43" t="str">
        <f>IF(A166="","","Week of "&amp;TEXT(A166-7,"MM/DD"))</f>
        <v>Week of 09/04</v>
      </c>
      <c r="J167" s="43" t="str">
        <f>IF(A166="","","Week of "&amp;TEXT(A166,"MM/DD"))</f>
        <v>Week of 09/11</v>
      </c>
      <c r="K167" s="2"/>
      <c r="L167" s="2"/>
      <c r="M167" s="2"/>
      <c r="N167" s="2"/>
      <c r="O167" s="2"/>
      <c r="P167" s="2"/>
      <c r="Q167" s="2"/>
      <c r="R167" s="2"/>
      <c r="S167" s="2"/>
      <c r="T167" s="2"/>
      <c r="U167" s="2"/>
      <c r="V167" s="2"/>
      <c r="W167" s="2"/>
      <c r="X167" s="2"/>
      <c r="Y167" s="2"/>
      <c r="Z167" s="2"/>
    </row>
    <row r="168" ht="22.5" customHeight="1">
      <c r="A168" s="42" t="str">
        <f t="array" ref="A168">IFERROR(INDEX(FinishedData!$B:$B,MATCH(A166,FinishedData!$A:$A,0)),"")</f>
        <v>Practice</v>
      </c>
      <c r="B168" s="42" t="str">
        <f t="array" ref="B168">IFERROR(INDEX(FinishedData!$B:$B,MATCH(B166,FinishedData!$A:$A,0)),"")</f>
        <v>Gym</v>
      </c>
      <c r="C168" s="42" t="str">
        <f t="array" ref="C168">IFERROR(INDEX(FinishedData!$B:$B,MATCH(C166,FinishedData!$A:$A,0)),"")</f>
        <v>Practice</v>
      </c>
      <c r="D168" s="42" t="str">
        <f t="array" ref="D168">IFERROR(INDEX(FinishedData!$B:$B,MATCH(D166,FinishedData!$A:$A,0)),"")</f>
        <v>Practice</v>
      </c>
      <c r="E168" s="42" t="str">
        <f t="array" ref="E168">IFERROR(INDEX(FinishedData!$B:$B,MATCH(E166,FinishedData!$A:$A,0)),"")</f>
        <v>Practice</v>
      </c>
      <c r="F168" s="42" t="str">
        <f t="array" ref="F168">IFERROR(INDEX(FinishedData!$B:$B,MATCH(F166,FinishedData!$A:$A,0)),"")</f>
        <v>Game</v>
      </c>
      <c r="G168" s="42" t="str">
        <f t="array" ref="G168">IFERROR(INDEX(FinishedData!$B:$B,MATCH(G166,FinishedData!$A:$A,0)),"")</f>
        <v>Off</v>
      </c>
      <c r="H168" s="2"/>
      <c r="I168" s="13">
        <f>IFERROR(IF(A166="","",IF(G166="",SUMIFS(FinishedData!$C:$C,FinishedData!$A:$A,"&gt;="&amp;MIN($A166:$G166)-7,FinishedData!$A:$A,"&lt;="&amp;MAX($A166:$G166)+(7-COUNT($A166:$G166)-7)),
SUMIFS(FinishedData!$C:$C,FinishedData!$A:$A,"&gt;="&amp;MIN($A166:$G166)-7,FinishedData!$A:$A,"&lt;="&amp;MAX($A166:$G166)-7))),"")</f>
        <v>4795</v>
      </c>
      <c r="J168" s="13">
        <f>IFERROR(IF(A166="","",SUMIFS(FinishedData!$C:$C,FinishedData!$A:$A,"&gt;="&amp;MIN($A166:$G166),FinishedData!$A:$A,"&lt;="&amp;MAX($A166:$G166))),"")</f>
        <v>4615</v>
      </c>
      <c r="K168" s="2"/>
      <c r="L168" s="2"/>
      <c r="M168" s="2"/>
      <c r="N168" s="2"/>
      <c r="O168" s="2"/>
      <c r="P168" s="2"/>
      <c r="Q168" s="2"/>
      <c r="R168" s="2"/>
      <c r="S168" s="2"/>
      <c r="T168" s="2"/>
      <c r="U168" s="2"/>
      <c r="V168" s="2"/>
      <c r="W168" s="2"/>
      <c r="X168" s="2"/>
      <c r="Y168" s="2"/>
      <c r="Z168" s="2"/>
    </row>
    <row r="169" ht="22.5" customHeight="1">
      <c r="A169" s="45">
        <f t="array" ref="A169">IFERROR(INDEX(FinishedData!$C:$C,MATCH(A166,FinishedData!$A:$A,0)),"")</f>
        <v>895</v>
      </c>
      <c r="B169" s="45">
        <f t="array" ref="B169">IFERROR(INDEX(FinishedData!$C:$C,MATCH(B166,FinishedData!$A:$A,0)),"")</f>
        <v>680</v>
      </c>
      <c r="C169" s="45">
        <f t="array" ref="C169">IFERROR(INDEX(FinishedData!$C:$C,MATCH(C166,FinishedData!$A:$A,0)),"")</f>
        <v>950</v>
      </c>
      <c r="D169" s="45">
        <f t="array" ref="D169">IFERROR(INDEX(FinishedData!$C:$C,MATCH(D166,FinishedData!$A:$A,0)),"")</f>
        <v>575</v>
      </c>
      <c r="E169" s="45">
        <f t="array" ref="E169">IFERROR(INDEX(FinishedData!$C:$C,MATCH(E166,FinishedData!$A:$A,0)),"")</f>
        <v>585</v>
      </c>
      <c r="F169" s="45">
        <f t="array" ref="F169">IFERROR(INDEX(FinishedData!$C:$C,MATCH(F166,FinishedData!$A:$A,0)),"")</f>
        <v>930</v>
      </c>
      <c r="G169" s="45" t="str">
        <f t="array" ref="G169">IFERROR(INDEX(FinishedData!$C:$C,MATCH(G166,FinishedData!$A:$A,0)),"")</f>
        <v/>
      </c>
      <c r="H169" s="2"/>
      <c r="I169" s="46" t="str">
        <f>IF(A166="","","CHANGE")</f>
        <v>CHANGE</v>
      </c>
      <c r="J169" s="47">
        <f>IFERROR(IF(A166="","",(J168-I168)/I168),"")</f>
        <v>-0.03753910323</v>
      </c>
      <c r="K169" s="2"/>
      <c r="L169" s="2"/>
      <c r="M169" s="2"/>
      <c r="N169" s="2"/>
      <c r="O169" s="2"/>
      <c r="P169" s="2"/>
      <c r="Q169" s="2"/>
      <c r="R169" s="2"/>
      <c r="S169" s="2"/>
      <c r="T169" s="2"/>
      <c r="U169" s="2"/>
      <c r="V169" s="2"/>
      <c r="W169" s="2"/>
      <c r="X169" s="2"/>
      <c r="Y169" s="2"/>
      <c r="Z169" s="2"/>
    </row>
    <row r="170" ht="22.5" customHeight="1">
      <c r="A170" s="49">
        <f>IF(G166&gt;=$D$3,"",G166+1)</f>
        <v>44822</v>
      </c>
      <c r="B170" s="49">
        <f t="shared" ref="B170:G170" si="42">IF(A170&gt;=$D$3,"",A170+1)</f>
        <v>44823</v>
      </c>
      <c r="C170" s="49">
        <f t="shared" si="42"/>
        <v>44824</v>
      </c>
      <c r="D170" s="49">
        <f t="shared" si="42"/>
        <v>44825</v>
      </c>
      <c r="E170" s="49">
        <f t="shared" si="42"/>
        <v>44826</v>
      </c>
      <c r="F170" s="49">
        <f t="shared" si="42"/>
        <v>44827</v>
      </c>
      <c r="G170" s="49">
        <f t="shared" si="42"/>
        <v>44828</v>
      </c>
      <c r="H170" s="2"/>
      <c r="I170" s="7"/>
      <c r="J170" s="7"/>
      <c r="K170" s="2"/>
      <c r="L170" s="2"/>
      <c r="M170" s="2"/>
      <c r="N170" s="2"/>
      <c r="O170" s="2"/>
      <c r="P170" s="2"/>
      <c r="Q170" s="2"/>
      <c r="R170" s="2"/>
      <c r="S170" s="2"/>
      <c r="T170" s="2"/>
      <c r="U170" s="2"/>
      <c r="V170" s="2"/>
      <c r="W170" s="2"/>
      <c r="X170" s="2"/>
      <c r="Y170" s="2"/>
      <c r="Z170" s="2"/>
    </row>
    <row r="171" ht="22.5" customHeight="1">
      <c r="A171" s="42" t="str">
        <f t="array" ref="A171">IFERROR(INDEX(Lists!$B:$B,MATCH(A172,Lists!$A:$A,0)),"")</f>
        <v/>
      </c>
      <c r="B171" s="42" t="str">
        <f t="array" ref="B171">IFERROR(INDEX(Lists!$B:$B,MATCH(B172,Lists!$A:$A,0)),"")</f>
        <v/>
      </c>
      <c r="C171" s="42" t="str">
        <f t="array" ref="C171">IFERROR(INDEX(Lists!$B:$B,MATCH(C172,Lists!$A:$A,0)),"")</f>
        <v/>
      </c>
      <c r="D171" s="42" t="str">
        <f t="array" ref="D171">IFERROR(INDEX(Lists!$B:$B,MATCH(D172,Lists!$A:$A,0)),"")</f>
        <v/>
      </c>
      <c r="E171" s="42" t="str">
        <f t="array" ref="E171">IFERROR(INDEX(Lists!$B:$B,MATCH(E172,Lists!$A:$A,0)),"")</f>
        <v/>
      </c>
      <c r="F171" s="42" t="str">
        <f t="array" ref="F171">IFERROR(INDEX(Lists!$B:$B,MATCH(F172,Lists!$A:$A,0)),"")</f>
        <v/>
      </c>
      <c r="G171" s="42" t="str">
        <f t="array" ref="G171">IFERROR(INDEX(Lists!$B:$B,MATCH(G172,Lists!$A:$A,0)),"")</f>
        <v/>
      </c>
      <c r="H171" s="2"/>
      <c r="I171" s="43" t="str">
        <f>IF(A170="","","Week of "&amp;TEXT(A170-7,"MM/DD"))</f>
        <v>Week of 09/11</v>
      </c>
      <c r="J171" s="43" t="str">
        <f>IF(A170="","","Week of "&amp;TEXT(A170,"MM/DD"))</f>
        <v>Week of 09/18</v>
      </c>
      <c r="K171" s="2"/>
      <c r="L171" s="2"/>
      <c r="M171" s="2"/>
      <c r="N171" s="2"/>
      <c r="O171" s="2"/>
      <c r="P171" s="2"/>
      <c r="Q171" s="2"/>
      <c r="R171" s="2"/>
      <c r="S171" s="2"/>
      <c r="T171" s="2"/>
      <c r="U171" s="2"/>
      <c r="V171" s="2"/>
      <c r="W171" s="2"/>
      <c r="X171" s="2"/>
      <c r="Y171" s="2"/>
      <c r="Z171" s="2"/>
    </row>
    <row r="172" ht="22.5" customHeight="1">
      <c r="A172" s="42" t="str">
        <f t="array" ref="A172">IFERROR(INDEX(FinishedData!$B:$B,MATCH(A170,FinishedData!$A:$A,0)),"")</f>
        <v>Practice</v>
      </c>
      <c r="B172" s="42" t="str">
        <f t="array" ref="B172">IFERROR(INDEX(FinishedData!$B:$B,MATCH(B170,FinishedData!$A:$A,0)),"")</f>
        <v>Game</v>
      </c>
      <c r="C172" s="42" t="str">
        <f t="array" ref="C172">IFERROR(INDEX(FinishedData!$B:$B,MATCH(C170,FinishedData!$A:$A,0)),"")</f>
        <v>Practice</v>
      </c>
      <c r="D172" s="42" t="str">
        <f t="array" ref="D172">IFERROR(INDEX(FinishedData!$B:$B,MATCH(D170,FinishedData!$A:$A,0)),"")</f>
        <v>Practice</v>
      </c>
      <c r="E172" s="42" t="str">
        <f t="array" ref="E172">IFERROR(INDEX(FinishedData!$B:$B,MATCH(E170,FinishedData!$A:$A,0)),"")</f>
        <v>Game</v>
      </c>
      <c r="F172" s="42" t="str">
        <f t="array" ref="F172">IFERROR(INDEX(FinishedData!$B:$B,MATCH(F170,FinishedData!$A:$A,0)),"")</f>
        <v>Practice</v>
      </c>
      <c r="G172" s="42" t="str">
        <f t="array" ref="G172">IFERROR(INDEX(FinishedData!$B:$B,MATCH(G170,FinishedData!$A:$A,0)),"")</f>
        <v>Gym</v>
      </c>
      <c r="H172" s="2"/>
      <c r="I172" s="13">
        <f>IFERROR(IF(A170="","",IF(G170="",SUMIFS(FinishedData!$C:$C,FinishedData!$A:$A,"&gt;="&amp;MIN($A170:$G170)-7,FinishedData!$A:$A,"&lt;="&amp;MAX($A170:$G170)+(7-COUNT($A170:$G170)-7)),
SUMIFS(FinishedData!$C:$C,FinishedData!$A:$A,"&gt;="&amp;MIN($A170:$G170)-7,FinishedData!$A:$A,"&lt;="&amp;MAX($A170:$G170)-7))),"")</f>
        <v>4615</v>
      </c>
      <c r="J172" s="13">
        <f>IFERROR(IF(A170="","",SUMIFS(FinishedData!$C:$C,FinishedData!$A:$A,"&gt;="&amp;MIN($A170:$G170),FinishedData!$A:$A,"&lt;="&amp;MAX($A170:$G170))),"")</f>
        <v>5600</v>
      </c>
      <c r="K172" s="2"/>
      <c r="L172" s="2"/>
      <c r="M172" s="2"/>
      <c r="N172" s="2"/>
      <c r="O172" s="2"/>
      <c r="P172" s="2"/>
      <c r="Q172" s="2"/>
      <c r="R172" s="2"/>
      <c r="S172" s="2"/>
      <c r="T172" s="2"/>
      <c r="U172" s="2"/>
      <c r="V172" s="2"/>
      <c r="W172" s="2"/>
      <c r="X172" s="2"/>
      <c r="Y172" s="2"/>
      <c r="Z172" s="2"/>
    </row>
    <row r="173" ht="22.5" customHeight="1">
      <c r="A173" s="45">
        <f t="array" ref="A173">IFERROR(INDEX(FinishedData!$C:$C,MATCH(A170,FinishedData!$A:$A,0)),"")</f>
        <v>880</v>
      </c>
      <c r="B173" s="45">
        <f t="array" ref="B173">IFERROR(INDEX(FinishedData!$C:$C,MATCH(B170,FinishedData!$A:$A,0)),"")</f>
        <v>900</v>
      </c>
      <c r="C173" s="45">
        <f t="array" ref="C173">IFERROR(INDEX(FinishedData!$C:$C,MATCH(C170,FinishedData!$A:$A,0)),"")</f>
        <v>690</v>
      </c>
      <c r="D173" s="45">
        <f t="array" ref="D173">IFERROR(INDEX(FinishedData!$C:$C,MATCH(D170,FinishedData!$A:$A,0)),"")</f>
        <v>780</v>
      </c>
      <c r="E173" s="45">
        <f t="array" ref="E173">IFERROR(INDEX(FinishedData!$C:$C,MATCH(E170,FinishedData!$A:$A,0)),"")</f>
        <v>570</v>
      </c>
      <c r="F173" s="45">
        <f t="array" ref="F173">IFERROR(INDEX(FinishedData!$C:$C,MATCH(F170,FinishedData!$A:$A,0)),"")</f>
        <v>795</v>
      </c>
      <c r="G173" s="45">
        <f t="array" ref="G173">IFERROR(INDEX(FinishedData!$C:$C,MATCH(G170,FinishedData!$A:$A,0)),"")</f>
        <v>985</v>
      </c>
      <c r="H173" s="2"/>
      <c r="I173" s="46" t="str">
        <f>IF(A170="","","CHANGE")</f>
        <v>CHANGE</v>
      </c>
      <c r="J173" s="47">
        <f>IFERROR(IF(A170="","",(J172-I172)/I172),"")</f>
        <v>0.2134344529</v>
      </c>
      <c r="K173" s="2"/>
      <c r="L173" s="2"/>
      <c r="M173" s="2"/>
      <c r="N173" s="2"/>
      <c r="O173" s="2"/>
      <c r="P173" s="2"/>
      <c r="Q173" s="2"/>
      <c r="R173" s="2"/>
      <c r="S173" s="2"/>
      <c r="T173" s="2"/>
      <c r="U173" s="2"/>
      <c r="V173" s="2"/>
      <c r="W173" s="2"/>
      <c r="X173" s="2"/>
      <c r="Y173" s="2"/>
      <c r="Z173" s="2"/>
    </row>
    <row r="174" ht="22.5" customHeight="1">
      <c r="A174" s="49">
        <f>IF(G170&gt;=$D$3,"",G170+1)</f>
        <v>44829</v>
      </c>
      <c r="B174" s="49">
        <f t="shared" ref="B174:G174" si="43">IF(A174&gt;=$D$3,"",A174+1)</f>
        <v>44830</v>
      </c>
      <c r="C174" s="49">
        <f t="shared" si="43"/>
        <v>44831</v>
      </c>
      <c r="D174" s="49">
        <f t="shared" si="43"/>
        <v>44832</v>
      </c>
      <c r="E174" s="49">
        <f t="shared" si="43"/>
        <v>44833</v>
      </c>
      <c r="F174" s="49">
        <f t="shared" si="43"/>
        <v>44834</v>
      </c>
      <c r="G174" s="49">
        <f t="shared" si="43"/>
        <v>44835</v>
      </c>
      <c r="H174" s="2"/>
      <c r="I174" s="2"/>
      <c r="J174" s="2"/>
      <c r="K174" s="2"/>
      <c r="L174" s="2"/>
      <c r="M174" s="2"/>
      <c r="N174" s="2"/>
      <c r="O174" s="2"/>
      <c r="P174" s="2"/>
      <c r="Q174" s="2"/>
      <c r="R174" s="2"/>
      <c r="S174" s="2"/>
      <c r="T174" s="2"/>
      <c r="U174" s="2"/>
      <c r="V174" s="2"/>
      <c r="W174" s="2"/>
      <c r="X174" s="2"/>
      <c r="Y174" s="2"/>
      <c r="Z174" s="2"/>
    </row>
    <row r="175" ht="22.5" customHeight="1">
      <c r="A175" s="42" t="str">
        <f t="array" ref="A175">IFERROR(INDEX(Lists!$B:$B,MATCH(A176,Lists!$A:$A,0)),"")</f>
        <v/>
      </c>
      <c r="B175" s="42" t="str">
        <f t="array" ref="B175">IFERROR(INDEX(Lists!$B:$B,MATCH(B176,Lists!$A:$A,0)),"")</f>
        <v/>
      </c>
      <c r="C175" s="42" t="str">
        <f t="array" ref="C175">IFERROR(INDEX(Lists!$B:$B,MATCH(C176,Lists!$A:$A,0)),"")</f>
        <v/>
      </c>
      <c r="D175" s="42" t="str">
        <f t="array" ref="D175">IFERROR(INDEX(Lists!$B:$B,MATCH(D176,Lists!$A:$A,0)),"")</f>
        <v/>
      </c>
      <c r="E175" s="42" t="str">
        <f t="array" ref="E175">IFERROR(INDEX(Lists!$B:$B,MATCH(E176,Lists!$A:$A,0)),"")</f>
        <v/>
      </c>
      <c r="F175" s="42" t="str">
        <f t="array" ref="F175">IFERROR(INDEX(Lists!$B:$B,MATCH(F176,Lists!$A:$A,0)),"")</f>
        <v/>
      </c>
      <c r="G175" s="42" t="str">
        <f t="array" ref="G175">IFERROR(INDEX(Lists!$B:$B,MATCH(G176,Lists!$A:$A,0)),"")</f>
        <v/>
      </c>
      <c r="H175" s="2"/>
      <c r="I175" s="43" t="str">
        <f>IF(A174="","","Week of "&amp;TEXT(A174-7,"MM/DD"))</f>
        <v>Week of 09/18</v>
      </c>
      <c r="J175" s="43" t="str">
        <f>IF(A174="","","Week of "&amp;TEXT(A174,"MM/DD"))</f>
        <v>Week of 09/25</v>
      </c>
      <c r="K175" s="2"/>
      <c r="L175" s="2"/>
      <c r="M175" s="2"/>
      <c r="N175" s="2"/>
      <c r="O175" s="2"/>
      <c r="P175" s="2"/>
      <c r="Q175" s="2"/>
      <c r="R175" s="2"/>
      <c r="S175" s="2"/>
      <c r="T175" s="2"/>
      <c r="U175" s="2"/>
      <c r="V175" s="2"/>
      <c r="W175" s="2"/>
      <c r="X175" s="2"/>
      <c r="Y175" s="2"/>
      <c r="Z175" s="2"/>
    </row>
    <row r="176" ht="22.5" customHeight="1">
      <c r="A176" s="42" t="str">
        <f t="array" ref="A176">IFERROR(INDEX(FinishedData!$B:$B,MATCH(A174,FinishedData!$A:$A,0)),"")</f>
        <v>Off</v>
      </c>
      <c r="B176" s="42" t="str">
        <f t="array" ref="B176">IFERROR(INDEX(FinishedData!$B:$B,MATCH(B174,FinishedData!$A:$A,0)),"")</f>
        <v>Practice</v>
      </c>
      <c r="C176" s="42" t="str">
        <f t="array" ref="C176">IFERROR(INDEX(FinishedData!$B:$B,MATCH(C174,FinishedData!$A:$A,0)),"")</f>
        <v>Practice</v>
      </c>
      <c r="D176" s="42" t="str">
        <f t="array" ref="D176">IFERROR(INDEX(FinishedData!$B:$B,MATCH(D174,FinishedData!$A:$A,0)),"")</f>
        <v>Game</v>
      </c>
      <c r="E176" s="42" t="str">
        <f t="array" ref="E176">IFERROR(INDEX(FinishedData!$B:$B,MATCH(E174,FinishedData!$A:$A,0)),"")</f>
        <v>Game</v>
      </c>
      <c r="F176" s="42" t="str">
        <f t="array" ref="F176">IFERROR(INDEX(FinishedData!$B:$B,MATCH(F174,FinishedData!$A:$A,0)),"")</f>
        <v>Off</v>
      </c>
      <c r="G176" s="42" t="str">
        <f t="array" ref="G176">IFERROR(INDEX(FinishedData!$B:$B,MATCH(G174,FinishedData!$A:$A,0)),"")</f>
        <v>Practice</v>
      </c>
      <c r="H176" s="2"/>
      <c r="I176" s="13">
        <f>IFERROR(IF(A174="","",IF(G174="",SUMIFS(FinishedData!$C:$C,FinishedData!$A:$A,"&gt;="&amp;MIN($A174:$G174)-7,FinishedData!$A:$A,"&lt;="&amp;MAX($A174:$G174)+(7-COUNT($A174:$G174)-7)),
SUMIFS(FinishedData!$C:$C,FinishedData!$A:$A,"&gt;="&amp;MIN($A174:$G174)-7,FinishedData!$A:$A,"&lt;="&amp;MAX($A174:$G174)-7))),"")</f>
        <v>5600</v>
      </c>
      <c r="J176" s="13">
        <f>IFERROR(IF(A174="","",SUMIFS(FinishedData!$C:$C,FinishedData!$A:$A,"&gt;="&amp;MIN($A174:$G174),FinishedData!$A:$A,"&lt;="&amp;MAX($A174:$G174))),"")</f>
        <v>3740</v>
      </c>
      <c r="K176" s="2"/>
      <c r="L176" s="2"/>
      <c r="M176" s="2"/>
      <c r="N176" s="2"/>
      <c r="O176" s="2"/>
      <c r="P176" s="2"/>
      <c r="Q176" s="2"/>
      <c r="R176" s="2"/>
      <c r="S176" s="2"/>
      <c r="T176" s="2"/>
      <c r="U176" s="2"/>
      <c r="V176" s="2"/>
      <c r="W176" s="2"/>
      <c r="X176" s="2"/>
      <c r="Y176" s="2"/>
      <c r="Z176" s="2"/>
    </row>
    <row r="177" ht="22.5" customHeight="1">
      <c r="A177" s="45" t="str">
        <f t="array" ref="A177">IFERROR(INDEX(FinishedData!$C:$C,MATCH(A174,FinishedData!$A:$A,0)),"")</f>
        <v/>
      </c>
      <c r="B177" s="45">
        <f t="array" ref="B177">IFERROR(INDEX(FinishedData!$C:$C,MATCH(B174,FinishedData!$A:$A,0)),"")</f>
        <v>515</v>
      </c>
      <c r="C177" s="45">
        <f t="array" ref="C177">IFERROR(INDEX(FinishedData!$C:$C,MATCH(C174,FinishedData!$A:$A,0)),"")</f>
        <v>845</v>
      </c>
      <c r="D177" s="45">
        <f t="array" ref="D177">IFERROR(INDEX(FinishedData!$C:$C,MATCH(D174,FinishedData!$A:$A,0)),"")</f>
        <v>620</v>
      </c>
      <c r="E177" s="45">
        <f t="array" ref="E177">IFERROR(INDEX(FinishedData!$C:$C,MATCH(E174,FinishedData!$A:$A,0)),"")</f>
        <v>900</v>
      </c>
      <c r="F177" s="45" t="str">
        <f t="array" ref="F177">IFERROR(INDEX(FinishedData!$C:$C,MATCH(F174,FinishedData!$A:$A,0)),"")</f>
        <v/>
      </c>
      <c r="G177" s="45">
        <f t="array" ref="G177">IFERROR(INDEX(FinishedData!$C:$C,MATCH(G174,FinishedData!$A:$A,0)),"")</f>
        <v>860</v>
      </c>
      <c r="H177" s="2"/>
      <c r="I177" s="46" t="str">
        <f>IF(A174="","","CHANGE")</f>
        <v>CHANGE</v>
      </c>
      <c r="J177" s="47">
        <f>IFERROR(IF(A174="","",(J176-I176)/I176),"")</f>
        <v>-0.3321428571</v>
      </c>
      <c r="K177" s="2"/>
      <c r="L177" s="2"/>
      <c r="M177" s="2"/>
      <c r="N177" s="2"/>
      <c r="O177" s="2"/>
      <c r="P177" s="2"/>
      <c r="Q177" s="2"/>
      <c r="R177" s="2"/>
      <c r="S177" s="2"/>
      <c r="T177" s="2"/>
      <c r="U177" s="2"/>
      <c r="V177" s="2"/>
      <c r="W177" s="2"/>
      <c r="X177" s="2"/>
      <c r="Y177" s="2"/>
      <c r="Z177" s="2"/>
    </row>
    <row r="178" ht="22.5" customHeight="1">
      <c r="A178" s="49">
        <f>IF(G174&gt;=$D$3,"",G174+1)</f>
        <v>44836</v>
      </c>
      <c r="B178" s="49">
        <f t="shared" ref="B178:G178" si="44">IF(A178&gt;=$D$3,"",A178+1)</f>
        <v>44837</v>
      </c>
      <c r="C178" s="49">
        <f t="shared" si="44"/>
        <v>44838</v>
      </c>
      <c r="D178" s="49">
        <f t="shared" si="44"/>
        <v>44839</v>
      </c>
      <c r="E178" s="49">
        <f t="shared" si="44"/>
        <v>44840</v>
      </c>
      <c r="F178" s="49">
        <f t="shared" si="44"/>
        <v>44841</v>
      </c>
      <c r="G178" s="49">
        <f t="shared" si="44"/>
        <v>44842</v>
      </c>
      <c r="H178" s="2"/>
      <c r="I178" s="7"/>
      <c r="J178" s="7"/>
      <c r="K178" s="2"/>
      <c r="L178" s="2"/>
      <c r="M178" s="2"/>
      <c r="N178" s="2"/>
      <c r="O178" s="2"/>
      <c r="P178" s="2"/>
      <c r="Q178" s="2"/>
      <c r="R178" s="2"/>
      <c r="S178" s="2"/>
      <c r="T178" s="2"/>
      <c r="U178" s="2"/>
      <c r="V178" s="2"/>
      <c r="W178" s="2"/>
      <c r="X178" s="2"/>
      <c r="Y178" s="2"/>
      <c r="Z178" s="2"/>
    </row>
    <row r="179" ht="22.5" customHeight="1">
      <c r="A179" s="42" t="str">
        <f t="array" ref="A179">IFERROR(INDEX(Lists!$B:$B,MATCH(A180,Lists!$A:$A,0)),"")</f>
        <v/>
      </c>
      <c r="B179" s="42" t="str">
        <f t="array" ref="B179">IFERROR(INDEX(Lists!$B:$B,MATCH(B180,Lists!$A:$A,0)),"")</f>
        <v/>
      </c>
      <c r="C179" s="42" t="str">
        <f t="array" ref="C179">IFERROR(INDEX(Lists!$B:$B,MATCH(C180,Lists!$A:$A,0)),"")</f>
        <v/>
      </c>
      <c r="D179" s="42" t="str">
        <f t="array" ref="D179">IFERROR(INDEX(Lists!$B:$B,MATCH(D180,Lists!$A:$A,0)),"")</f>
        <v/>
      </c>
      <c r="E179" s="42" t="str">
        <f t="array" ref="E179">IFERROR(INDEX(Lists!$B:$B,MATCH(E180,Lists!$A:$A,0)),"")</f>
        <v/>
      </c>
      <c r="F179" s="42" t="str">
        <f t="array" ref="F179">IFERROR(INDEX(Lists!$B:$B,MATCH(F180,Lists!$A:$A,0)),"")</f>
        <v/>
      </c>
      <c r="G179" s="42" t="str">
        <f t="array" ref="G179">IFERROR(INDEX(Lists!$B:$B,MATCH(G180,Lists!$A:$A,0)),"")</f>
        <v/>
      </c>
      <c r="H179" s="2"/>
      <c r="I179" s="43" t="str">
        <f>IF(A178="","","Week of "&amp;TEXT(A178-7,"MM/DD"))</f>
        <v>Week of 09/25</v>
      </c>
      <c r="J179" s="43" t="str">
        <f>IF(A178="","","Week of "&amp;TEXT(A178,"MM/DD"))</f>
        <v>Week of 10/02</v>
      </c>
      <c r="K179" s="2"/>
      <c r="L179" s="2"/>
      <c r="M179" s="2"/>
      <c r="N179" s="2"/>
      <c r="O179" s="2"/>
      <c r="P179" s="2"/>
      <c r="Q179" s="2"/>
      <c r="R179" s="2"/>
      <c r="S179" s="2"/>
      <c r="T179" s="2"/>
      <c r="U179" s="2"/>
      <c r="V179" s="2"/>
      <c r="W179" s="2"/>
      <c r="X179" s="2"/>
      <c r="Y179" s="2"/>
      <c r="Z179" s="2"/>
    </row>
    <row r="180" ht="22.5" customHeight="1">
      <c r="A180" s="42" t="str">
        <f t="array" ref="A180">IFERROR(INDEX(FinishedData!$B:$B,MATCH(A178,FinishedData!$A:$A,0)),"")</f>
        <v>Gym</v>
      </c>
      <c r="B180" s="42" t="str">
        <f t="array" ref="B180">IFERROR(INDEX(FinishedData!$B:$B,MATCH(B178,FinishedData!$A:$A,0)),"")</f>
        <v>Practice</v>
      </c>
      <c r="C180" s="42" t="str">
        <f t="array" ref="C180">IFERROR(INDEX(FinishedData!$B:$B,MATCH(C178,FinishedData!$A:$A,0)),"")</f>
        <v>Practice</v>
      </c>
      <c r="D180" s="42" t="str">
        <f t="array" ref="D180">IFERROR(INDEX(FinishedData!$B:$B,MATCH(D178,FinishedData!$A:$A,0)),"")</f>
        <v>Game</v>
      </c>
      <c r="E180" s="42" t="str">
        <f t="array" ref="E180">IFERROR(INDEX(FinishedData!$B:$B,MATCH(E178,FinishedData!$A:$A,0)),"")</f>
        <v>Practice</v>
      </c>
      <c r="F180" s="42" t="str">
        <f t="array" ref="F180">IFERROR(INDEX(FinishedData!$B:$B,MATCH(F178,FinishedData!$A:$A,0)),"")</f>
        <v>Game</v>
      </c>
      <c r="G180" s="42" t="str">
        <f t="array" ref="G180">IFERROR(INDEX(FinishedData!$B:$B,MATCH(G178,FinishedData!$A:$A,0)),"")</f>
        <v>Off</v>
      </c>
      <c r="H180" s="2"/>
      <c r="I180" s="13">
        <f>IFERROR(IF(A178="","",IF(G178="",SUMIFS(FinishedData!$C:$C,FinishedData!$A:$A,"&gt;="&amp;MIN($A178:$G178)-7,FinishedData!$A:$A,"&lt;="&amp;MAX($A178:$G178)+(7-COUNT($A178:$G178)-7)),
SUMIFS(FinishedData!$C:$C,FinishedData!$A:$A,"&gt;="&amp;MIN($A178:$G178)-7,FinishedData!$A:$A,"&lt;="&amp;MAX($A178:$G178)-7))),"")</f>
        <v>3740</v>
      </c>
      <c r="J180" s="13">
        <f>IFERROR(IF(A178="","",SUMIFS(FinishedData!$C:$C,FinishedData!$A:$A,"&gt;="&amp;MIN($A178:$G178),FinishedData!$A:$A,"&lt;="&amp;MAX($A178:$G178))),"")</f>
        <v>5350</v>
      </c>
      <c r="K180" s="2"/>
      <c r="L180" s="2"/>
      <c r="M180" s="2"/>
      <c r="N180" s="2"/>
      <c r="O180" s="2"/>
      <c r="P180" s="2"/>
      <c r="Q180" s="2"/>
      <c r="R180" s="2"/>
      <c r="S180" s="2"/>
      <c r="T180" s="2"/>
      <c r="U180" s="2"/>
      <c r="V180" s="2"/>
      <c r="W180" s="2"/>
      <c r="X180" s="2"/>
      <c r="Y180" s="2"/>
      <c r="Z180" s="2"/>
    </row>
    <row r="181" ht="22.5" customHeight="1">
      <c r="A181" s="45">
        <f t="array" ref="A181">IFERROR(INDEX(FinishedData!$C:$C,MATCH(A178,FinishedData!$A:$A,0)),"")</f>
        <v>960</v>
      </c>
      <c r="B181" s="45">
        <f t="array" ref="B181">IFERROR(INDEX(FinishedData!$C:$C,MATCH(B178,FinishedData!$A:$A,0)),"")</f>
        <v>930</v>
      </c>
      <c r="C181" s="45">
        <f t="array" ref="C181">IFERROR(INDEX(FinishedData!$C:$C,MATCH(C178,FinishedData!$A:$A,0)),"")</f>
        <v>970</v>
      </c>
      <c r="D181" s="45">
        <f t="array" ref="D181">IFERROR(INDEX(FinishedData!$C:$C,MATCH(D178,FinishedData!$A:$A,0)),"")</f>
        <v>835</v>
      </c>
      <c r="E181" s="45">
        <f t="array" ref="E181">IFERROR(INDEX(FinishedData!$C:$C,MATCH(E178,FinishedData!$A:$A,0)),"")</f>
        <v>915</v>
      </c>
      <c r="F181" s="45">
        <f t="array" ref="F181">IFERROR(INDEX(FinishedData!$C:$C,MATCH(F178,FinishedData!$A:$A,0)),"")</f>
        <v>740</v>
      </c>
      <c r="G181" s="45" t="str">
        <f t="array" ref="G181">IFERROR(INDEX(FinishedData!$C:$C,MATCH(G178,FinishedData!$A:$A,0)),"")</f>
        <v/>
      </c>
      <c r="H181" s="2"/>
      <c r="I181" s="46" t="str">
        <f>IF(A178="","","CHANGE")</f>
        <v>CHANGE</v>
      </c>
      <c r="J181" s="47">
        <f>IFERROR(IF(A178="","",(J180-I180)/I180),"")</f>
        <v>0.4304812834</v>
      </c>
      <c r="K181" s="2"/>
      <c r="L181" s="2"/>
      <c r="M181" s="2"/>
      <c r="N181" s="2"/>
      <c r="O181" s="2"/>
      <c r="P181" s="2"/>
      <c r="Q181" s="2"/>
      <c r="R181" s="2"/>
      <c r="S181" s="2"/>
      <c r="T181" s="2"/>
      <c r="U181" s="2"/>
      <c r="V181" s="2"/>
      <c r="W181" s="2"/>
      <c r="X181" s="2"/>
      <c r="Y181" s="2"/>
      <c r="Z181" s="2"/>
    </row>
    <row r="182" ht="22.5" customHeight="1">
      <c r="A182" s="49">
        <f>IF(G178&gt;=$D$3,"",G178+1)</f>
        <v>44843</v>
      </c>
      <c r="B182" s="49">
        <f t="shared" ref="B182:G182" si="45">IF(A182&gt;=$D$3,"",A182+1)</f>
        <v>44844</v>
      </c>
      <c r="C182" s="49">
        <f t="shared" si="45"/>
        <v>44845</v>
      </c>
      <c r="D182" s="49">
        <f t="shared" si="45"/>
        <v>44846</v>
      </c>
      <c r="E182" s="49">
        <f t="shared" si="45"/>
        <v>44847</v>
      </c>
      <c r="F182" s="49">
        <f t="shared" si="45"/>
        <v>44848</v>
      </c>
      <c r="G182" s="49">
        <f t="shared" si="45"/>
        <v>44849</v>
      </c>
      <c r="H182" s="2"/>
      <c r="I182" s="7"/>
      <c r="J182" s="7"/>
      <c r="K182" s="2"/>
      <c r="L182" s="2"/>
      <c r="M182" s="2"/>
      <c r="N182" s="2"/>
      <c r="O182" s="2"/>
      <c r="P182" s="2"/>
      <c r="Q182" s="2"/>
      <c r="R182" s="2"/>
      <c r="S182" s="2"/>
      <c r="T182" s="2"/>
      <c r="U182" s="2"/>
      <c r="V182" s="2"/>
      <c r="W182" s="2"/>
      <c r="X182" s="2"/>
      <c r="Y182" s="2"/>
      <c r="Z182" s="2"/>
    </row>
    <row r="183" ht="22.5" customHeight="1">
      <c r="A183" s="42" t="str">
        <f t="array" ref="A183">IFERROR(INDEX(Lists!$B:$B,MATCH(A184,Lists!$A:$A,0)),"")</f>
        <v/>
      </c>
      <c r="B183" s="42" t="str">
        <f t="array" ref="B183">IFERROR(INDEX(Lists!$B:$B,MATCH(B184,Lists!$A:$A,0)),"")</f>
        <v/>
      </c>
      <c r="C183" s="42" t="str">
        <f t="array" ref="C183">IFERROR(INDEX(Lists!$B:$B,MATCH(C184,Lists!$A:$A,0)),"")</f>
        <v/>
      </c>
      <c r="D183" s="42" t="str">
        <f t="array" ref="D183">IFERROR(INDEX(Lists!$B:$B,MATCH(D184,Lists!$A:$A,0)),"")</f>
        <v/>
      </c>
      <c r="E183" s="42" t="str">
        <f t="array" ref="E183">IFERROR(INDEX(Lists!$B:$B,MATCH(E184,Lists!$A:$A,0)),"")</f>
        <v/>
      </c>
      <c r="F183" s="42" t="str">
        <f t="array" ref="F183">IFERROR(INDEX(Lists!$B:$B,MATCH(F184,Lists!$A:$A,0)),"")</f>
        <v/>
      </c>
      <c r="G183" s="42" t="str">
        <f t="array" ref="G183">IFERROR(INDEX(Lists!$B:$B,MATCH(G184,Lists!$A:$A,0)),"")</f>
        <v/>
      </c>
      <c r="H183" s="2"/>
      <c r="I183" s="43" t="str">
        <f>IF(A182="","","Week of "&amp;TEXT(A182-7,"MM/DD"))</f>
        <v>Week of 10/02</v>
      </c>
      <c r="J183" s="43" t="str">
        <f>IF(A182="","","Week of "&amp;TEXT(A182,"MM/DD"))</f>
        <v>Week of 10/09</v>
      </c>
      <c r="K183" s="2"/>
      <c r="L183" s="2"/>
      <c r="M183" s="2"/>
      <c r="N183" s="2"/>
      <c r="O183" s="2"/>
      <c r="P183" s="2"/>
      <c r="Q183" s="2"/>
      <c r="R183" s="2"/>
      <c r="S183" s="2"/>
      <c r="T183" s="2"/>
      <c r="U183" s="2"/>
      <c r="V183" s="2"/>
      <c r="W183" s="2"/>
      <c r="X183" s="2"/>
      <c r="Y183" s="2"/>
      <c r="Z183" s="2"/>
    </row>
    <row r="184" ht="22.5" customHeight="1">
      <c r="A184" s="42" t="str">
        <f t="array" ref="A184">IFERROR(INDEX(FinishedData!$B:$B,MATCH(A182,FinishedData!$A:$A,0)),"")</f>
        <v>Gym</v>
      </c>
      <c r="B184" s="42" t="str">
        <f t="array" ref="B184">IFERROR(INDEX(FinishedData!$B:$B,MATCH(B182,FinishedData!$A:$A,0)),"")</f>
        <v>Practice</v>
      </c>
      <c r="C184" s="42" t="str">
        <f t="array" ref="C184">IFERROR(INDEX(FinishedData!$B:$B,MATCH(C182,FinishedData!$A:$A,0)),"")</f>
        <v>Practice</v>
      </c>
      <c r="D184" s="42" t="str">
        <f t="array" ref="D184">IFERROR(INDEX(FinishedData!$B:$B,MATCH(D182,FinishedData!$A:$A,0)),"")</f>
        <v>Practice</v>
      </c>
      <c r="E184" s="42" t="str">
        <f t="array" ref="E184">IFERROR(INDEX(FinishedData!$B:$B,MATCH(E182,FinishedData!$A:$A,0)),"")</f>
        <v>Game</v>
      </c>
      <c r="F184" s="42" t="str">
        <f t="array" ref="F184">IFERROR(INDEX(FinishedData!$B:$B,MATCH(F182,FinishedData!$A:$A,0)),"")</f>
        <v>Game</v>
      </c>
      <c r="G184" s="42" t="str">
        <f t="array" ref="G184">IFERROR(INDEX(FinishedData!$B:$B,MATCH(G182,FinishedData!$A:$A,0)),"")</f>
        <v>Off</v>
      </c>
      <c r="H184" s="2"/>
      <c r="I184" s="13">
        <f>IFERROR(IF(A182="","",IF(G182="",SUMIFS(FinishedData!$C:$C,FinishedData!$A:$A,"&gt;="&amp;MIN($A182:$G182)-7,FinishedData!$A:$A,"&lt;="&amp;MAX($A182:$G182)+(7-COUNT($A182:$G182)-7)),
SUMIFS(FinishedData!$C:$C,FinishedData!$A:$A,"&gt;="&amp;MIN($A182:$G182)-7,FinishedData!$A:$A,"&lt;="&amp;MAX($A182:$G182)-7))),"")</f>
        <v>5350</v>
      </c>
      <c r="J184" s="13">
        <f>IFERROR(IF(A182="","",SUMIFS(FinishedData!$C:$C,FinishedData!$A:$A,"&gt;="&amp;MIN($A182:$G182),FinishedData!$A:$A,"&lt;="&amp;MAX($A182:$G182))),"")</f>
        <v>4675</v>
      </c>
      <c r="K184" s="2"/>
      <c r="L184" s="2"/>
      <c r="M184" s="2"/>
      <c r="N184" s="2"/>
      <c r="O184" s="2"/>
      <c r="P184" s="2"/>
      <c r="Q184" s="2"/>
      <c r="R184" s="2"/>
      <c r="S184" s="2"/>
      <c r="T184" s="2"/>
      <c r="U184" s="2"/>
      <c r="V184" s="2"/>
      <c r="W184" s="2"/>
      <c r="X184" s="2"/>
      <c r="Y184" s="2"/>
      <c r="Z184" s="2"/>
    </row>
    <row r="185" ht="22.5" customHeight="1">
      <c r="A185" s="45">
        <f t="array" ref="A185">IFERROR(INDEX(FinishedData!$C:$C,MATCH(A182,FinishedData!$A:$A,0)),"")</f>
        <v>1000</v>
      </c>
      <c r="B185" s="45">
        <f t="array" ref="B185">IFERROR(INDEX(FinishedData!$C:$C,MATCH(B182,FinishedData!$A:$A,0)),"")</f>
        <v>820</v>
      </c>
      <c r="C185" s="45">
        <f t="array" ref="C185">IFERROR(INDEX(FinishedData!$C:$C,MATCH(C182,FinishedData!$A:$A,0)),"")</f>
        <v>640</v>
      </c>
      <c r="D185" s="45">
        <f t="array" ref="D185">IFERROR(INDEX(FinishedData!$C:$C,MATCH(D182,FinishedData!$A:$A,0)),"")</f>
        <v>995</v>
      </c>
      <c r="E185" s="45">
        <f t="array" ref="E185">IFERROR(INDEX(FinishedData!$C:$C,MATCH(E182,FinishedData!$A:$A,0)),"")</f>
        <v>570</v>
      </c>
      <c r="F185" s="45">
        <f t="array" ref="F185">IFERROR(INDEX(FinishedData!$C:$C,MATCH(F182,FinishedData!$A:$A,0)),"")</f>
        <v>650</v>
      </c>
      <c r="G185" s="45" t="str">
        <f t="array" ref="G185">IFERROR(INDEX(FinishedData!$C:$C,MATCH(G182,FinishedData!$A:$A,0)),"")</f>
        <v/>
      </c>
      <c r="H185" s="2"/>
      <c r="I185" s="46" t="str">
        <f>IF(A182="","","CHANGE")</f>
        <v>CHANGE</v>
      </c>
      <c r="J185" s="47">
        <f>IFERROR(IF(A182="","",(J184-I184)/I184),"")</f>
        <v>-0.1261682243</v>
      </c>
      <c r="K185" s="2"/>
      <c r="L185" s="2"/>
      <c r="M185" s="2"/>
      <c r="N185" s="2"/>
      <c r="O185" s="2"/>
      <c r="P185" s="2"/>
      <c r="Q185" s="2"/>
      <c r="R185" s="2"/>
      <c r="S185" s="2"/>
      <c r="T185" s="2"/>
      <c r="U185" s="2"/>
      <c r="V185" s="2"/>
      <c r="W185" s="2"/>
      <c r="X185" s="2"/>
      <c r="Y185" s="2"/>
      <c r="Z185" s="2"/>
    </row>
    <row r="186" ht="22.5" customHeight="1">
      <c r="A186" s="49">
        <f>IF(G182&gt;=$D$3,"",G182+1)</f>
        <v>44850</v>
      </c>
      <c r="B186" s="49">
        <f t="shared" ref="B186:G186" si="46">IF(A186&gt;=$D$3,"",A186+1)</f>
        <v>44851</v>
      </c>
      <c r="C186" s="49">
        <f t="shared" si="46"/>
        <v>44852</v>
      </c>
      <c r="D186" s="49">
        <f t="shared" si="46"/>
        <v>44853</v>
      </c>
      <c r="E186" s="49">
        <f t="shared" si="46"/>
        <v>44854</v>
      </c>
      <c r="F186" s="49">
        <f t="shared" si="46"/>
        <v>44855</v>
      </c>
      <c r="G186" s="49">
        <f t="shared" si="46"/>
        <v>44856</v>
      </c>
      <c r="H186" s="2"/>
      <c r="I186" s="7"/>
      <c r="J186" s="7"/>
      <c r="K186" s="2"/>
      <c r="L186" s="2"/>
      <c r="M186" s="2"/>
      <c r="N186" s="2"/>
      <c r="O186" s="2"/>
      <c r="P186" s="2"/>
      <c r="Q186" s="2"/>
      <c r="R186" s="2"/>
      <c r="S186" s="2"/>
      <c r="T186" s="2"/>
      <c r="U186" s="2"/>
      <c r="V186" s="2"/>
      <c r="W186" s="2"/>
      <c r="X186" s="2"/>
      <c r="Y186" s="2"/>
      <c r="Z186" s="2"/>
    </row>
    <row r="187" ht="22.5" customHeight="1">
      <c r="A187" s="42" t="str">
        <f t="array" ref="A187">IFERROR(INDEX(Lists!$B:$B,MATCH(A188,Lists!$A:$A,0)),"")</f>
        <v/>
      </c>
      <c r="B187" s="42" t="str">
        <f t="array" ref="B187">IFERROR(INDEX(Lists!$B:$B,MATCH(B188,Lists!$A:$A,0)),"")</f>
        <v/>
      </c>
      <c r="C187" s="42" t="str">
        <f t="array" ref="C187">IFERROR(INDEX(Lists!$B:$B,MATCH(C188,Lists!$A:$A,0)),"")</f>
        <v/>
      </c>
      <c r="D187" s="42" t="str">
        <f t="array" ref="D187">IFERROR(INDEX(Lists!$B:$B,MATCH(D188,Lists!$A:$A,0)),"")</f>
        <v/>
      </c>
      <c r="E187" s="42" t="str">
        <f t="array" ref="E187">IFERROR(INDEX(Lists!$B:$B,MATCH(E188,Lists!$A:$A,0)),"")</f>
        <v/>
      </c>
      <c r="F187" s="42" t="str">
        <f t="array" ref="F187">IFERROR(INDEX(Lists!$B:$B,MATCH(F188,Lists!$A:$A,0)),"")</f>
        <v/>
      </c>
      <c r="G187" s="42" t="str">
        <f t="array" ref="G187">IFERROR(INDEX(Lists!$B:$B,MATCH(G188,Lists!$A:$A,0)),"")</f>
        <v/>
      </c>
      <c r="H187" s="2"/>
      <c r="I187" s="43" t="str">
        <f>IF(A186="","","Week of "&amp;TEXT(A186-7,"MM/DD"))</f>
        <v>Week of 10/09</v>
      </c>
      <c r="J187" s="43" t="str">
        <f>IF(A186="","","Week of "&amp;TEXT(A186,"MM/DD"))</f>
        <v>Week of 10/16</v>
      </c>
      <c r="K187" s="2"/>
      <c r="L187" s="2"/>
      <c r="M187" s="2"/>
      <c r="N187" s="2"/>
      <c r="O187" s="2"/>
      <c r="P187" s="2"/>
      <c r="Q187" s="2"/>
      <c r="R187" s="2"/>
      <c r="S187" s="2"/>
      <c r="T187" s="2"/>
      <c r="U187" s="2"/>
      <c r="V187" s="2"/>
      <c r="W187" s="2"/>
      <c r="X187" s="2"/>
      <c r="Y187" s="2"/>
      <c r="Z187" s="2"/>
    </row>
    <row r="188" ht="22.5" customHeight="1">
      <c r="A188" s="42" t="str">
        <f t="array" ref="A188">IFERROR(INDEX(FinishedData!$B:$B,MATCH(A186,FinishedData!$A:$A,0)),"")</f>
        <v>Practice</v>
      </c>
      <c r="B188" s="42" t="str">
        <f t="array" ref="B188">IFERROR(INDEX(FinishedData!$B:$B,MATCH(B186,FinishedData!$A:$A,0)),"")</f>
        <v>Game</v>
      </c>
      <c r="C188" s="42" t="str">
        <f t="array" ref="C188">IFERROR(INDEX(FinishedData!$B:$B,MATCH(C186,FinishedData!$A:$A,0)),"")</f>
        <v>Practice</v>
      </c>
      <c r="D188" s="42" t="str">
        <f t="array" ref="D188">IFERROR(INDEX(FinishedData!$B:$B,MATCH(D186,FinishedData!$A:$A,0)),"")</f>
        <v>Practice</v>
      </c>
      <c r="E188" s="42" t="str">
        <f t="array" ref="E188">IFERROR(INDEX(FinishedData!$B:$B,MATCH(E186,FinishedData!$A:$A,0)),"")</f>
        <v>Practice</v>
      </c>
      <c r="F188" s="42" t="str">
        <f t="array" ref="F188">IFERROR(INDEX(FinishedData!$B:$B,MATCH(F186,FinishedData!$A:$A,0)),"")</f>
        <v>Game</v>
      </c>
      <c r="G188" s="42" t="str">
        <f t="array" ref="G188">IFERROR(INDEX(FinishedData!$B:$B,MATCH(G186,FinishedData!$A:$A,0)),"")</f>
        <v>Practice</v>
      </c>
      <c r="H188" s="2"/>
      <c r="I188" s="13">
        <f>IFERROR(IF(A186="","",IF(G186="",SUMIFS(FinishedData!$C:$C,FinishedData!$A:$A,"&gt;="&amp;MIN($A186:$G186)-7,FinishedData!$A:$A,"&lt;="&amp;MAX($A186:$G186)+(7-COUNT($A186:$G186)-7)),
SUMIFS(FinishedData!$C:$C,FinishedData!$A:$A,"&gt;="&amp;MIN($A186:$G186)-7,FinishedData!$A:$A,"&lt;="&amp;MAX($A186:$G186)-7))),"")</f>
        <v>4675</v>
      </c>
      <c r="J188" s="13">
        <f>IFERROR(IF(A186="","",SUMIFS(FinishedData!$C:$C,FinishedData!$A:$A,"&gt;="&amp;MIN($A186:$G186),FinishedData!$A:$A,"&lt;="&amp;MAX($A186:$G186))),"")</f>
        <v>5350</v>
      </c>
      <c r="K188" s="2"/>
      <c r="L188" s="2"/>
      <c r="M188" s="2"/>
      <c r="N188" s="2"/>
      <c r="O188" s="2"/>
      <c r="P188" s="2"/>
      <c r="Q188" s="2"/>
      <c r="R188" s="2"/>
      <c r="S188" s="2"/>
      <c r="T188" s="2"/>
      <c r="U188" s="2"/>
      <c r="V188" s="2"/>
      <c r="W188" s="2"/>
      <c r="X188" s="2"/>
      <c r="Y188" s="2"/>
      <c r="Z188" s="2"/>
    </row>
    <row r="189" ht="22.5" customHeight="1">
      <c r="A189" s="45">
        <f t="array" ref="A189">IFERROR(INDEX(FinishedData!$C:$C,MATCH(A186,FinishedData!$A:$A,0)),"")</f>
        <v>850</v>
      </c>
      <c r="B189" s="45">
        <f t="array" ref="B189">IFERROR(INDEX(FinishedData!$C:$C,MATCH(B186,FinishedData!$A:$A,0)),"")</f>
        <v>680</v>
      </c>
      <c r="C189" s="45">
        <f t="array" ref="C189">IFERROR(INDEX(FinishedData!$C:$C,MATCH(C186,FinishedData!$A:$A,0)),"")</f>
        <v>745</v>
      </c>
      <c r="D189" s="45">
        <f t="array" ref="D189">IFERROR(INDEX(FinishedData!$C:$C,MATCH(D186,FinishedData!$A:$A,0)),"")</f>
        <v>880</v>
      </c>
      <c r="E189" s="45">
        <f t="array" ref="E189">IFERROR(INDEX(FinishedData!$C:$C,MATCH(E186,FinishedData!$A:$A,0)),"")</f>
        <v>730</v>
      </c>
      <c r="F189" s="45">
        <f t="array" ref="F189">IFERROR(INDEX(FinishedData!$C:$C,MATCH(F186,FinishedData!$A:$A,0)),"")</f>
        <v>850</v>
      </c>
      <c r="G189" s="45">
        <f t="array" ref="G189">IFERROR(INDEX(FinishedData!$C:$C,MATCH(G186,FinishedData!$A:$A,0)),"")</f>
        <v>615</v>
      </c>
      <c r="H189" s="2"/>
      <c r="I189" s="46" t="str">
        <f>IF(A186="","","CHANGE")</f>
        <v>CHANGE</v>
      </c>
      <c r="J189" s="47">
        <f>IFERROR(IF(A186="","",(J188-I188)/I188),"")</f>
        <v>0.1443850267</v>
      </c>
      <c r="K189" s="2"/>
      <c r="L189" s="2"/>
      <c r="M189" s="2"/>
      <c r="N189" s="2"/>
      <c r="O189" s="2"/>
      <c r="P189" s="2"/>
      <c r="Q189" s="2"/>
      <c r="R189" s="2"/>
      <c r="S189" s="2"/>
      <c r="T189" s="2"/>
      <c r="U189" s="2"/>
      <c r="V189" s="2"/>
      <c r="W189" s="2"/>
      <c r="X189" s="2"/>
      <c r="Y189" s="2"/>
      <c r="Z189" s="2"/>
    </row>
    <row r="190" ht="22.5" customHeight="1">
      <c r="A190" s="49">
        <f>IF(G186&gt;=$D$3,"",G186+1)</f>
        <v>44857</v>
      </c>
      <c r="B190" s="49">
        <f t="shared" ref="B190:G190" si="47">IF(A190&gt;=$D$3,"",A190+1)</f>
        <v>44858</v>
      </c>
      <c r="C190" s="49">
        <f t="shared" si="47"/>
        <v>44859</v>
      </c>
      <c r="D190" s="49">
        <f t="shared" si="47"/>
        <v>44860</v>
      </c>
      <c r="E190" s="49">
        <f t="shared" si="47"/>
        <v>44861</v>
      </c>
      <c r="F190" s="49">
        <f t="shared" si="47"/>
        <v>44862</v>
      </c>
      <c r="G190" s="49">
        <f t="shared" si="47"/>
        <v>44863</v>
      </c>
      <c r="H190" s="2"/>
      <c r="I190" s="7"/>
      <c r="J190" s="7"/>
      <c r="K190" s="2"/>
      <c r="L190" s="2"/>
      <c r="M190" s="2"/>
      <c r="N190" s="2"/>
      <c r="O190" s="2"/>
      <c r="P190" s="2"/>
      <c r="Q190" s="2"/>
      <c r="R190" s="2"/>
      <c r="S190" s="2"/>
      <c r="T190" s="2"/>
      <c r="U190" s="2"/>
      <c r="V190" s="2"/>
      <c r="W190" s="2"/>
      <c r="X190" s="2"/>
      <c r="Y190" s="2"/>
      <c r="Z190" s="2"/>
    </row>
    <row r="191" ht="22.5" customHeight="1">
      <c r="A191" s="42" t="str">
        <f t="array" ref="A191">IFERROR(INDEX(Lists!$B:$B,MATCH(A192,Lists!$A:$A,0)),"")</f>
        <v/>
      </c>
      <c r="B191" s="42" t="str">
        <f t="array" ref="B191">IFERROR(INDEX(Lists!$B:$B,MATCH(B192,Lists!$A:$A,0)),"")</f>
        <v/>
      </c>
      <c r="C191" s="42" t="str">
        <f t="array" ref="C191">IFERROR(INDEX(Lists!$B:$B,MATCH(C192,Lists!$A:$A,0)),"")</f>
        <v/>
      </c>
      <c r="D191" s="42" t="str">
        <f t="array" ref="D191">IFERROR(INDEX(Lists!$B:$B,MATCH(D192,Lists!$A:$A,0)),"")</f>
        <v/>
      </c>
      <c r="E191" s="42" t="str">
        <f t="array" ref="E191">IFERROR(INDEX(Lists!$B:$B,MATCH(E192,Lists!$A:$A,0)),"")</f>
        <v/>
      </c>
      <c r="F191" s="42" t="str">
        <f t="array" ref="F191">IFERROR(INDEX(Lists!$B:$B,MATCH(F192,Lists!$A:$A,0)),"")</f>
        <v/>
      </c>
      <c r="G191" s="42" t="str">
        <f t="array" ref="G191">IFERROR(INDEX(Lists!$B:$B,MATCH(G192,Lists!$A:$A,0)),"")</f>
        <v/>
      </c>
      <c r="H191" s="2"/>
      <c r="I191" s="43" t="str">
        <f>IF(A190="","","Week of "&amp;TEXT(A190-7,"MM/DD"))</f>
        <v>Week of 10/16</v>
      </c>
      <c r="J191" s="43" t="str">
        <f>IF(A190="","","Week of "&amp;TEXT(A190,"MM/DD"))</f>
        <v>Week of 10/23</v>
      </c>
      <c r="K191" s="2"/>
      <c r="L191" s="2"/>
      <c r="M191" s="2"/>
      <c r="N191" s="2"/>
      <c r="O191" s="2"/>
      <c r="P191" s="2"/>
      <c r="Q191" s="2"/>
      <c r="R191" s="2"/>
      <c r="S191" s="2"/>
      <c r="T191" s="2"/>
      <c r="U191" s="2"/>
      <c r="V191" s="2"/>
      <c r="W191" s="2"/>
      <c r="X191" s="2"/>
      <c r="Y191" s="2"/>
      <c r="Z191" s="2"/>
    </row>
    <row r="192" ht="22.5" customHeight="1">
      <c r="A192" s="42" t="str">
        <f t="array" ref="A192">IFERROR(INDEX(FinishedData!$B:$B,MATCH(A190,FinishedData!$A:$A,0)),"")</f>
        <v>Practice</v>
      </c>
      <c r="B192" s="42" t="str">
        <f t="array" ref="B192">IFERROR(INDEX(FinishedData!$B:$B,MATCH(B190,FinishedData!$A:$A,0)),"")</f>
        <v>Game</v>
      </c>
      <c r="C192" s="42" t="str">
        <f t="array" ref="C192">IFERROR(INDEX(FinishedData!$B:$B,MATCH(C190,FinishedData!$A:$A,0)),"")</f>
        <v>Off</v>
      </c>
      <c r="D192" s="42" t="str">
        <f t="array" ref="D192">IFERROR(INDEX(FinishedData!$B:$B,MATCH(D190,FinishedData!$A:$A,0)),"")</f>
        <v>Practice</v>
      </c>
      <c r="E192" s="42" t="str">
        <f t="array" ref="E192">IFERROR(INDEX(FinishedData!$B:$B,MATCH(E190,FinishedData!$A:$A,0)),"")</f>
        <v>Gym</v>
      </c>
      <c r="F192" s="42" t="str">
        <f t="array" ref="F192">IFERROR(INDEX(FinishedData!$B:$B,MATCH(F190,FinishedData!$A:$A,0)),"")</f>
        <v>Practice</v>
      </c>
      <c r="G192" s="42" t="str">
        <f t="array" ref="G192">IFERROR(INDEX(FinishedData!$B:$B,MATCH(G190,FinishedData!$A:$A,0)),"")</f>
        <v>Practice</v>
      </c>
      <c r="H192" s="2"/>
      <c r="I192" s="13">
        <f>IFERROR(IF(A190="","",IF(G190="",SUMIFS(FinishedData!$C:$C,FinishedData!$A:$A,"&gt;="&amp;MIN($A190:$G190)-7,FinishedData!$A:$A,"&lt;="&amp;MAX($A190:$G190)+(7-COUNT($A190:$G190)-7)),
SUMIFS(FinishedData!$C:$C,FinishedData!$A:$A,"&gt;="&amp;MIN($A190:$G190)-7,FinishedData!$A:$A,"&lt;="&amp;MAX($A190:$G190)-7))),"")</f>
        <v>5350</v>
      </c>
      <c r="J192" s="13">
        <f>IFERROR(IF(A190="","",SUMIFS(FinishedData!$C:$C,FinishedData!$A:$A,"&gt;="&amp;MIN($A190:$G190),FinishedData!$A:$A,"&lt;="&amp;MAX($A190:$G190))),"")</f>
        <v>4665</v>
      </c>
      <c r="K192" s="2"/>
      <c r="L192" s="2"/>
      <c r="M192" s="2"/>
      <c r="N192" s="2"/>
      <c r="O192" s="2"/>
      <c r="P192" s="2"/>
      <c r="Q192" s="2"/>
      <c r="R192" s="2"/>
      <c r="S192" s="2"/>
      <c r="T192" s="2"/>
      <c r="U192" s="2"/>
      <c r="V192" s="2"/>
      <c r="W192" s="2"/>
      <c r="X192" s="2"/>
      <c r="Y192" s="2"/>
      <c r="Z192" s="2"/>
    </row>
    <row r="193" ht="22.5" customHeight="1">
      <c r="A193" s="45">
        <f t="array" ref="A193">IFERROR(INDEX(FinishedData!$C:$C,MATCH(A190,FinishedData!$A:$A,0)),"")</f>
        <v>800</v>
      </c>
      <c r="B193" s="45">
        <f t="array" ref="B193">IFERROR(INDEX(FinishedData!$C:$C,MATCH(B190,FinishedData!$A:$A,0)),"")</f>
        <v>750</v>
      </c>
      <c r="C193" s="45" t="str">
        <f t="array" ref="C193">IFERROR(INDEX(FinishedData!$C:$C,MATCH(C190,FinishedData!$A:$A,0)),"")</f>
        <v/>
      </c>
      <c r="D193" s="45">
        <f t="array" ref="D193">IFERROR(INDEX(FinishedData!$C:$C,MATCH(D190,FinishedData!$A:$A,0)),"")</f>
        <v>590</v>
      </c>
      <c r="E193" s="45">
        <f t="array" ref="E193">IFERROR(INDEX(FinishedData!$C:$C,MATCH(E190,FinishedData!$A:$A,0)),"")</f>
        <v>635</v>
      </c>
      <c r="F193" s="45">
        <f t="array" ref="F193">IFERROR(INDEX(FinishedData!$C:$C,MATCH(F190,FinishedData!$A:$A,0)),"")</f>
        <v>890</v>
      </c>
      <c r="G193" s="45">
        <f t="array" ref="G193">IFERROR(INDEX(FinishedData!$C:$C,MATCH(G190,FinishedData!$A:$A,0)),"")</f>
        <v>1000</v>
      </c>
      <c r="H193" s="2"/>
      <c r="I193" s="46" t="str">
        <f>IF(A190="","","CHANGE")</f>
        <v>CHANGE</v>
      </c>
      <c r="J193" s="47">
        <f>IFERROR(IF(A190="","",(J192-I192)/I192),"")</f>
        <v>-0.1280373832</v>
      </c>
      <c r="K193" s="2"/>
      <c r="L193" s="2"/>
      <c r="M193" s="2"/>
      <c r="N193" s="2"/>
      <c r="O193" s="2"/>
      <c r="P193" s="2"/>
      <c r="Q193" s="2"/>
      <c r="R193" s="2"/>
      <c r="S193" s="2"/>
      <c r="T193" s="2"/>
      <c r="U193" s="2"/>
      <c r="V193" s="2"/>
      <c r="W193" s="2"/>
      <c r="X193" s="2"/>
      <c r="Y193" s="2"/>
      <c r="Z193" s="2"/>
    </row>
    <row r="194" ht="22.5" customHeight="1">
      <c r="A194" s="49">
        <f>IF(G190&gt;=$D$3,"",G190+1)</f>
        <v>44864</v>
      </c>
      <c r="B194" s="49">
        <f t="shared" ref="B194:G194" si="48">IF(A194&gt;=$D$3,"",A194+1)</f>
        <v>44865</v>
      </c>
      <c r="C194" s="49">
        <f t="shared" si="48"/>
        <v>44866</v>
      </c>
      <c r="D194" s="49">
        <f t="shared" si="48"/>
        <v>44867</v>
      </c>
      <c r="E194" s="49">
        <f t="shared" si="48"/>
        <v>44868</v>
      </c>
      <c r="F194" s="49">
        <f t="shared" si="48"/>
        <v>44869</v>
      </c>
      <c r="G194" s="49">
        <f t="shared" si="48"/>
        <v>44870</v>
      </c>
      <c r="H194" s="2"/>
      <c r="I194" s="7"/>
      <c r="J194" s="7"/>
      <c r="K194" s="2"/>
      <c r="L194" s="2"/>
      <c r="M194" s="2"/>
      <c r="N194" s="2"/>
      <c r="O194" s="2"/>
      <c r="P194" s="2"/>
      <c r="Q194" s="2"/>
      <c r="R194" s="2"/>
      <c r="S194" s="2"/>
      <c r="T194" s="2"/>
      <c r="U194" s="2"/>
      <c r="V194" s="2"/>
      <c r="W194" s="2"/>
      <c r="X194" s="2"/>
      <c r="Y194" s="2"/>
      <c r="Z194" s="2"/>
    </row>
    <row r="195" ht="22.5" customHeight="1">
      <c r="A195" s="42" t="str">
        <f t="array" ref="A195">IFERROR(INDEX(Lists!$B:$B,MATCH(A196,Lists!$A:$A,0)),"")</f>
        <v/>
      </c>
      <c r="B195" s="42" t="str">
        <f t="array" ref="B195">IFERROR(INDEX(Lists!$B:$B,MATCH(B196,Lists!$A:$A,0)),"")</f>
        <v/>
      </c>
      <c r="C195" s="42" t="str">
        <f t="array" ref="C195">IFERROR(INDEX(Lists!$B:$B,MATCH(C196,Lists!$A:$A,0)),"")</f>
        <v/>
      </c>
      <c r="D195" s="42" t="str">
        <f t="array" ref="D195">IFERROR(INDEX(Lists!$B:$B,MATCH(D196,Lists!$A:$A,0)),"")</f>
        <v/>
      </c>
      <c r="E195" s="42" t="str">
        <f t="array" ref="E195">IFERROR(INDEX(Lists!$B:$B,MATCH(E196,Lists!$A:$A,0)),"")</f>
        <v/>
      </c>
      <c r="F195" s="42" t="str">
        <f t="array" ref="F195">IFERROR(INDEX(Lists!$B:$B,MATCH(F196,Lists!$A:$A,0)),"")</f>
        <v/>
      </c>
      <c r="G195" s="42" t="str">
        <f t="array" ref="G195">IFERROR(INDEX(Lists!$B:$B,MATCH(G196,Lists!$A:$A,0)),"")</f>
        <v/>
      </c>
      <c r="H195" s="2"/>
      <c r="I195" s="43" t="str">
        <f>IF(A194="","","Week of "&amp;TEXT(A194-7,"MM/DD"))</f>
        <v>Week of 10/23</v>
      </c>
      <c r="J195" s="43" t="str">
        <f>IF(A194="","","Week of "&amp;TEXT(A194,"MM/DD"))</f>
        <v>Week of 10/30</v>
      </c>
      <c r="K195" s="2"/>
      <c r="L195" s="2"/>
      <c r="M195" s="2"/>
      <c r="N195" s="2"/>
      <c r="O195" s="2"/>
      <c r="P195" s="2"/>
      <c r="Q195" s="2"/>
      <c r="R195" s="2"/>
      <c r="S195" s="2"/>
      <c r="T195" s="2"/>
      <c r="U195" s="2"/>
      <c r="V195" s="2"/>
      <c r="W195" s="2"/>
      <c r="X195" s="2"/>
      <c r="Y195" s="2"/>
      <c r="Z195" s="2"/>
    </row>
    <row r="196" ht="22.5" customHeight="1">
      <c r="A196" s="42" t="str">
        <f t="array" ref="A196">IFERROR(INDEX(FinishedData!$B:$B,MATCH(A194,FinishedData!$A:$A,0)),"")</f>
        <v>Practice</v>
      </c>
      <c r="B196" s="42" t="str">
        <f t="array" ref="B196">IFERROR(INDEX(FinishedData!$B:$B,MATCH(B194,FinishedData!$A:$A,0)),"")</f>
        <v>Game</v>
      </c>
      <c r="C196" s="42" t="str">
        <f t="array" ref="C196">IFERROR(INDEX(FinishedData!$B:$B,MATCH(C194,FinishedData!$A:$A,0)),"")</f>
        <v>Off</v>
      </c>
      <c r="D196" s="42" t="str">
        <f t="array" ref="D196">IFERROR(INDEX(FinishedData!$B:$B,MATCH(D194,FinishedData!$A:$A,0)),"")</f>
        <v>Gym</v>
      </c>
      <c r="E196" s="42" t="str">
        <f t="array" ref="E196">IFERROR(INDEX(FinishedData!$B:$B,MATCH(E194,FinishedData!$A:$A,0)),"")</f>
        <v>Practice</v>
      </c>
      <c r="F196" s="42" t="str">
        <f t="array" ref="F196">IFERROR(INDEX(FinishedData!$B:$B,MATCH(F194,FinishedData!$A:$A,0)),"")</f>
        <v>Practice</v>
      </c>
      <c r="G196" s="42" t="str">
        <f t="array" ref="G196">IFERROR(INDEX(FinishedData!$B:$B,MATCH(G194,FinishedData!$A:$A,0)),"")</f>
        <v>Game</v>
      </c>
      <c r="H196" s="2"/>
      <c r="I196" s="13">
        <f>IFERROR(IF(A194="","",IF(G194="",SUMIFS(FinishedData!$C:$C,FinishedData!$A:$A,"&gt;="&amp;MIN($A194:$G194)-7,FinishedData!$A:$A,"&lt;="&amp;MAX($A194:$G194)+(7-COUNT($A194:$G194)-7)),
SUMIFS(FinishedData!$C:$C,FinishedData!$A:$A,"&gt;="&amp;MIN($A194:$G194)-7,FinishedData!$A:$A,"&lt;="&amp;MAX($A194:$G194)-7))),"")</f>
        <v>4665</v>
      </c>
      <c r="J196" s="13">
        <f>IFERROR(IF(A194="","",SUMIFS(FinishedData!$C:$C,FinishedData!$A:$A,"&gt;="&amp;MIN($A194:$G194),FinishedData!$A:$A,"&lt;="&amp;MAX($A194:$G194))),"")</f>
        <v>4430</v>
      </c>
      <c r="K196" s="2"/>
      <c r="L196" s="2"/>
      <c r="M196" s="2"/>
      <c r="N196" s="2"/>
      <c r="O196" s="2"/>
      <c r="P196" s="2"/>
      <c r="Q196" s="2"/>
      <c r="R196" s="2"/>
      <c r="S196" s="2"/>
      <c r="T196" s="2"/>
      <c r="U196" s="2"/>
      <c r="V196" s="2"/>
      <c r="W196" s="2"/>
      <c r="X196" s="2"/>
      <c r="Y196" s="2"/>
      <c r="Z196" s="2"/>
    </row>
    <row r="197" ht="22.5" customHeight="1">
      <c r="A197" s="45">
        <f t="array" ref="A197">IFERROR(INDEX(FinishedData!$C:$C,MATCH(A194,FinishedData!$A:$A,0)),"")</f>
        <v>545</v>
      </c>
      <c r="B197" s="45">
        <f t="array" ref="B197">IFERROR(INDEX(FinishedData!$C:$C,MATCH(B194,FinishedData!$A:$A,0)),"")</f>
        <v>580</v>
      </c>
      <c r="C197" s="45" t="str">
        <f t="array" ref="C197">IFERROR(INDEX(FinishedData!$C:$C,MATCH(C194,FinishedData!$A:$A,0)),"")</f>
        <v/>
      </c>
      <c r="D197" s="45">
        <f t="array" ref="D197">IFERROR(INDEX(FinishedData!$C:$C,MATCH(D194,FinishedData!$A:$A,0)),"")</f>
        <v>960</v>
      </c>
      <c r="E197" s="45">
        <f t="array" ref="E197">IFERROR(INDEX(FinishedData!$C:$C,MATCH(E194,FinishedData!$A:$A,0)),"")</f>
        <v>785</v>
      </c>
      <c r="F197" s="45">
        <f t="array" ref="F197">IFERROR(INDEX(FinishedData!$C:$C,MATCH(F194,FinishedData!$A:$A,0)),"")</f>
        <v>850</v>
      </c>
      <c r="G197" s="45">
        <f t="array" ref="G197">IFERROR(INDEX(FinishedData!$C:$C,MATCH(G194,FinishedData!$A:$A,0)),"")</f>
        <v>710</v>
      </c>
      <c r="H197" s="2"/>
      <c r="I197" s="46" t="str">
        <f>IF(A194="","","CHANGE")</f>
        <v>CHANGE</v>
      </c>
      <c r="J197" s="47">
        <f>IFERROR(IF(A194="","",(J196-I196)/I196),"")</f>
        <v>-0.05037513398</v>
      </c>
      <c r="K197" s="2"/>
      <c r="L197" s="2"/>
      <c r="M197" s="2"/>
      <c r="N197" s="2"/>
      <c r="O197" s="2"/>
      <c r="P197" s="2"/>
      <c r="Q197" s="2"/>
      <c r="R197" s="2"/>
      <c r="S197" s="2"/>
      <c r="T197" s="2"/>
      <c r="U197" s="2"/>
      <c r="V197" s="2"/>
      <c r="W197" s="2"/>
      <c r="X197" s="2"/>
      <c r="Y197" s="2"/>
      <c r="Z197" s="2"/>
    </row>
    <row r="198" ht="22.5" customHeight="1">
      <c r="A198" s="49">
        <f>IF(G194&gt;=$D$3,"",G194+1)</f>
        <v>44871</v>
      </c>
      <c r="B198" s="49">
        <f t="shared" ref="B198:G198" si="49">IF(A198&gt;=$D$3,"",A198+1)</f>
        <v>44872</v>
      </c>
      <c r="C198" s="49">
        <f t="shared" si="49"/>
        <v>44873</v>
      </c>
      <c r="D198" s="49">
        <f t="shared" si="49"/>
        <v>44874</v>
      </c>
      <c r="E198" s="49">
        <f t="shared" si="49"/>
        <v>44875</v>
      </c>
      <c r="F198" s="49">
        <f t="shared" si="49"/>
        <v>44876</v>
      </c>
      <c r="G198" s="49">
        <f t="shared" si="49"/>
        <v>44877</v>
      </c>
      <c r="H198" s="2"/>
      <c r="I198" s="2"/>
      <c r="J198" s="2"/>
      <c r="K198" s="2"/>
      <c r="L198" s="2"/>
      <c r="M198" s="2"/>
      <c r="N198" s="2"/>
      <c r="O198" s="2"/>
      <c r="P198" s="2"/>
      <c r="Q198" s="2"/>
      <c r="R198" s="2"/>
      <c r="S198" s="2"/>
      <c r="T198" s="2"/>
      <c r="U198" s="2"/>
      <c r="V198" s="2"/>
      <c r="W198" s="2"/>
      <c r="X198" s="2"/>
      <c r="Y198" s="2"/>
      <c r="Z198" s="2"/>
    </row>
    <row r="199" ht="22.5" customHeight="1">
      <c r="A199" s="42" t="str">
        <f t="array" ref="A199">IFERROR(INDEX(Lists!$B:$B,MATCH(A200,Lists!$A:$A,0)),"")</f>
        <v/>
      </c>
      <c r="B199" s="42" t="str">
        <f t="array" ref="B199">IFERROR(INDEX(Lists!$B:$B,MATCH(B200,Lists!$A:$A,0)),"")</f>
        <v/>
      </c>
      <c r="C199" s="42" t="str">
        <f t="array" ref="C199">IFERROR(INDEX(Lists!$B:$B,MATCH(C200,Lists!$A:$A,0)),"")</f>
        <v/>
      </c>
      <c r="D199" s="42" t="str">
        <f t="array" ref="D199">IFERROR(INDEX(Lists!$B:$B,MATCH(D200,Lists!$A:$A,0)),"")</f>
        <v/>
      </c>
      <c r="E199" s="42" t="str">
        <f t="array" ref="E199">IFERROR(INDEX(Lists!$B:$B,MATCH(E200,Lists!$A:$A,0)),"")</f>
        <v/>
      </c>
      <c r="F199" s="42" t="str">
        <f t="array" ref="F199">IFERROR(INDEX(Lists!$B:$B,MATCH(F200,Lists!$A:$A,0)),"")</f>
        <v/>
      </c>
      <c r="G199" s="42" t="str">
        <f t="array" ref="G199">IFERROR(INDEX(Lists!$B:$B,MATCH(G200,Lists!$A:$A,0)),"")</f>
        <v/>
      </c>
      <c r="H199" s="2"/>
      <c r="I199" s="43" t="str">
        <f>IF(A198="","","Week of "&amp;TEXT(A198-7,"MM/DD"))</f>
        <v>Week of 10/30</v>
      </c>
      <c r="J199" s="43" t="str">
        <f>IF(A198="","","Week of "&amp;TEXT(A198,"MM/DD"))</f>
        <v>Week of 11/06</v>
      </c>
      <c r="K199" s="2"/>
      <c r="L199" s="2"/>
      <c r="M199" s="2"/>
      <c r="N199" s="2"/>
      <c r="O199" s="2"/>
      <c r="P199" s="2"/>
      <c r="Q199" s="2"/>
      <c r="R199" s="2"/>
      <c r="S199" s="2"/>
      <c r="T199" s="2"/>
      <c r="U199" s="2"/>
      <c r="V199" s="2"/>
      <c r="W199" s="2"/>
      <c r="X199" s="2"/>
      <c r="Y199" s="2"/>
      <c r="Z199" s="2"/>
    </row>
    <row r="200" ht="22.5" customHeight="1">
      <c r="A200" s="42" t="str">
        <f t="array" ref="A200">IFERROR(INDEX(FinishedData!$B:$B,MATCH(A198,FinishedData!$A:$A,0)),"")</f>
        <v>Game</v>
      </c>
      <c r="B200" s="42" t="str">
        <f t="array" ref="B200">IFERROR(INDEX(FinishedData!$B:$B,MATCH(B198,FinishedData!$A:$A,0)),"")</f>
        <v>Off</v>
      </c>
      <c r="C200" s="42" t="str">
        <f t="array" ref="C200">IFERROR(INDEX(FinishedData!$B:$B,MATCH(C198,FinishedData!$A:$A,0)),"")</f>
        <v>Practice</v>
      </c>
      <c r="D200" s="42" t="str">
        <f t="array" ref="D200">IFERROR(INDEX(FinishedData!$B:$B,MATCH(D198,FinishedData!$A:$A,0)),"")</f>
        <v>Practice</v>
      </c>
      <c r="E200" s="42" t="str">
        <f t="array" ref="E200">IFERROR(INDEX(FinishedData!$B:$B,MATCH(E198,FinishedData!$A:$A,0)),"")</f>
        <v>Gym</v>
      </c>
      <c r="F200" s="42" t="str">
        <f t="array" ref="F200">IFERROR(INDEX(FinishedData!$B:$B,MATCH(F198,FinishedData!$A:$A,0)),"")</f>
        <v>Practice</v>
      </c>
      <c r="G200" s="42" t="str">
        <f t="array" ref="G200">IFERROR(INDEX(FinishedData!$B:$B,MATCH(G198,FinishedData!$A:$A,0)),"")</f>
        <v>Practice</v>
      </c>
      <c r="H200" s="2"/>
      <c r="I200" s="13">
        <f>IFERROR(IF(A198="","",IF(G198="",SUMIFS(FinishedData!$C:$C,FinishedData!$A:$A,"&gt;="&amp;MIN($A198:$G198)-7,FinishedData!$A:$A,"&lt;="&amp;MAX($A198:$G198)+(7-COUNT($A198:$G198)-7)),
SUMIFS(FinishedData!$C:$C,FinishedData!$A:$A,"&gt;="&amp;MIN($A198:$G198)-7,FinishedData!$A:$A,"&lt;="&amp;MAX($A198:$G198)-7))),"")</f>
        <v>4430</v>
      </c>
      <c r="J200" s="13">
        <f>IFERROR(IF(A198="","",SUMIFS(FinishedData!$C:$C,FinishedData!$A:$A,"&gt;="&amp;MIN($A198:$G198),FinishedData!$A:$A,"&lt;="&amp;MAX($A198:$G198))),"")</f>
        <v>4855</v>
      </c>
      <c r="K200" s="2"/>
      <c r="L200" s="2"/>
      <c r="M200" s="2"/>
      <c r="N200" s="2"/>
      <c r="O200" s="2"/>
      <c r="P200" s="2"/>
      <c r="Q200" s="2"/>
      <c r="R200" s="2"/>
      <c r="S200" s="2"/>
      <c r="T200" s="2"/>
      <c r="U200" s="2"/>
      <c r="V200" s="2"/>
      <c r="W200" s="2"/>
      <c r="X200" s="2"/>
      <c r="Y200" s="2"/>
      <c r="Z200" s="2"/>
    </row>
    <row r="201" ht="22.5" customHeight="1">
      <c r="A201" s="45">
        <f t="array" ref="A201">IFERROR(INDEX(FinishedData!$C:$C,MATCH(A198,FinishedData!$A:$A,0)),"")</f>
        <v>935</v>
      </c>
      <c r="B201" s="45" t="str">
        <f t="array" ref="B201">IFERROR(INDEX(FinishedData!$C:$C,MATCH(B198,FinishedData!$A:$A,0)),"")</f>
        <v/>
      </c>
      <c r="C201" s="45">
        <f t="array" ref="C201">IFERROR(INDEX(FinishedData!$C:$C,MATCH(C198,FinishedData!$A:$A,0)),"")</f>
        <v>775</v>
      </c>
      <c r="D201" s="45">
        <f t="array" ref="D201">IFERROR(INDEX(FinishedData!$C:$C,MATCH(D198,FinishedData!$A:$A,0)),"")</f>
        <v>710</v>
      </c>
      <c r="E201" s="45">
        <f t="array" ref="E201">IFERROR(INDEX(FinishedData!$C:$C,MATCH(E198,FinishedData!$A:$A,0)),"")</f>
        <v>945</v>
      </c>
      <c r="F201" s="45">
        <f t="array" ref="F201">IFERROR(INDEX(FinishedData!$C:$C,MATCH(F198,FinishedData!$A:$A,0)),"")</f>
        <v>715</v>
      </c>
      <c r="G201" s="45">
        <f t="array" ref="G201">IFERROR(INDEX(FinishedData!$C:$C,MATCH(G198,FinishedData!$A:$A,0)),"")</f>
        <v>775</v>
      </c>
      <c r="H201" s="2"/>
      <c r="I201" s="46" t="str">
        <f>IF(A198="","","CHANGE")</f>
        <v>CHANGE</v>
      </c>
      <c r="J201" s="47">
        <f>IFERROR(IF(A198="","",(J200-I200)/I200),"")</f>
        <v>0.09593679458</v>
      </c>
      <c r="K201" s="2"/>
      <c r="L201" s="2"/>
      <c r="M201" s="2"/>
      <c r="N201" s="2"/>
      <c r="O201" s="2"/>
      <c r="P201" s="2"/>
      <c r="Q201" s="2"/>
      <c r="R201" s="2"/>
      <c r="S201" s="2"/>
      <c r="T201" s="2"/>
      <c r="U201" s="2"/>
      <c r="V201" s="2"/>
      <c r="W201" s="2"/>
      <c r="X201" s="2"/>
      <c r="Y201" s="2"/>
      <c r="Z201" s="2"/>
    </row>
    <row r="202" ht="22.5" customHeight="1">
      <c r="A202" s="49">
        <f>IF(G198&gt;=$D$3,"",G198+1)</f>
        <v>44878</v>
      </c>
      <c r="B202" s="49">
        <f t="shared" ref="B202:G202" si="50">IF(A202&gt;=$D$3,"",A202+1)</f>
        <v>44879</v>
      </c>
      <c r="C202" s="49">
        <f t="shared" si="50"/>
        <v>44880</v>
      </c>
      <c r="D202" s="49">
        <f t="shared" si="50"/>
        <v>44881</v>
      </c>
      <c r="E202" s="49">
        <f t="shared" si="50"/>
        <v>44882</v>
      </c>
      <c r="F202" s="49">
        <f t="shared" si="50"/>
        <v>44883</v>
      </c>
      <c r="G202" s="49">
        <f t="shared" si="50"/>
        <v>44884</v>
      </c>
      <c r="H202" s="2"/>
      <c r="I202" s="7"/>
      <c r="J202" s="7"/>
      <c r="K202" s="2"/>
      <c r="L202" s="2"/>
      <c r="M202" s="2"/>
      <c r="N202" s="2"/>
      <c r="O202" s="2"/>
      <c r="P202" s="2"/>
      <c r="Q202" s="2"/>
      <c r="R202" s="2"/>
      <c r="S202" s="2"/>
      <c r="T202" s="2"/>
      <c r="U202" s="2"/>
      <c r="V202" s="2"/>
      <c r="W202" s="2"/>
      <c r="X202" s="2"/>
      <c r="Y202" s="2"/>
      <c r="Z202" s="2"/>
    </row>
    <row r="203" ht="22.5" customHeight="1">
      <c r="A203" s="42" t="str">
        <f t="array" ref="A203">IFERROR(INDEX(Lists!$B:$B,MATCH(A204,Lists!$A:$A,0)),"")</f>
        <v/>
      </c>
      <c r="B203" s="42" t="str">
        <f t="array" ref="B203">IFERROR(INDEX(Lists!$B:$B,MATCH(B204,Lists!$A:$A,0)),"")</f>
        <v/>
      </c>
      <c r="C203" s="42" t="str">
        <f t="array" ref="C203">IFERROR(INDEX(Lists!$B:$B,MATCH(C204,Lists!$A:$A,0)),"")</f>
        <v/>
      </c>
      <c r="D203" s="42" t="str">
        <f t="array" ref="D203">IFERROR(INDEX(Lists!$B:$B,MATCH(D204,Lists!$A:$A,0)),"")</f>
        <v/>
      </c>
      <c r="E203" s="42" t="str">
        <f t="array" ref="E203">IFERROR(INDEX(Lists!$B:$B,MATCH(E204,Lists!$A:$A,0)),"")</f>
        <v/>
      </c>
      <c r="F203" s="42" t="str">
        <f t="array" ref="F203">IFERROR(INDEX(Lists!$B:$B,MATCH(F204,Lists!$A:$A,0)),"")</f>
        <v/>
      </c>
      <c r="G203" s="42" t="str">
        <f t="array" ref="G203">IFERROR(INDEX(Lists!$B:$B,MATCH(G204,Lists!$A:$A,0)),"")</f>
        <v/>
      </c>
      <c r="H203" s="2"/>
      <c r="I203" s="43" t="str">
        <f>IF(A202="","","Week of "&amp;TEXT(A202-7,"MM/DD"))</f>
        <v>Week of 11/06</v>
      </c>
      <c r="J203" s="43" t="str">
        <f>IF(A202="","","Week of "&amp;TEXT(A202,"MM/DD"))</f>
        <v>Week of 11/13</v>
      </c>
      <c r="K203" s="2"/>
      <c r="L203" s="2"/>
      <c r="M203" s="2"/>
      <c r="N203" s="2"/>
      <c r="O203" s="2"/>
      <c r="P203" s="2"/>
      <c r="Q203" s="2"/>
      <c r="R203" s="2"/>
      <c r="S203" s="2"/>
      <c r="T203" s="2"/>
      <c r="U203" s="2"/>
      <c r="V203" s="2"/>
      <c r="W203" s="2"/>
      <c r="X203" s="2"/>
      <c r="Y203" s="2"/>
      <c r="Z203" s="2"/>
    </row>
    <row r="204" ht="22.5" customHeight="1">
      <c r="A204" s="42" t="str">
        <f t="array" ref="A204">IFERROR(INDEX(FinishedData!$B:$B,MATCH(A202,FinishedData!$A:$A,0)),"")</f>
        <v>Game</v>
      </c>
      <c r="B204" s="42" t="str">
        <f t="array" ref="B204">IFERROR(INDEX(FinishedData!$B:$B,MATCH(B202,FinishedData!$A:$A,0)),"")</f>
        <v>Practice</v>
      </c>
      <c r="C204" s="42" t="str">
        <f t="array" ref="C204">IFERROR(INDEX(FinishedData!$B:$B,MATCH(C202,FinishedData!$A:$A,0)),"")</f>
        <v>Game</v>
      </c>
      <c r="D204" s="42" t="str">
        <f t="array" ref="D204">IFERROR(INDEX(FinishedData!$B:$B,MATCH(D202,FinishedData!$A:$A,0)),"")</f>
        <v>Off</v>
      </c>
      <c r="E204" s="42" t="str">
        <f t="array" ref="E204">IFERROR(INDEX(FinishedData!$B:$B,MATCH(E202,FinishedData!$A:$A,0)),"")</f>
        <v>Practice</v>
      </c>
      <c r="F204" s="42" t="str">
        <f t="array" ref="F204">IFERROR(INDEX(FinishedData!$B:$B,MATCH(F202,FinishedData!$A:$A,0)),"")</f>
        <v>Gym</v>
      </c>
      <c r="G204" s="42" t="str">
        <f t="array" ref="G204">IFERROR(INDEX(FinishedData!$B:$B,MATCH(G202,FinishedData!$A:$A,0)),"")</f>
        <v>Practice</v>
      </c>
      <c r="H204" s="2"/>
      <c r="I204" s="13">
        <f>IFERROR(IF(A202="","",IF(G202="",SUMIFS(FinishedData!$C:$C,FinishedData!$A:$A,"&gt;="&amp;MIN($A202:$G202)-7,FinishedData!$A:$A,"&lt;="&amp;MAX($A202:$G202)+(7-COUNT($A202:$G202)-7)),
SUMIFS(FinishedData!$C:$C,FinishedData!$A:$A,"&gt;="&amp;MIN($A202:$G202)-7,FinishedData!$A:$A,"&lt;="&amp;MAX($A202:$G202)-7))),"")</f>
        <v>4855</v>
      </c>
      <c r="J204" s="13">
        <f>IFERROR(IF(A202="","",SUMIFS(FinishedData!$C:$C,FinishedData!$A:$A,"&gt;="&amp;MIN($A202:$G202),FinishedData!$A:$A,"&lt;="&amp;MAX($A202:$G202))),"")</f>
        <v>4500</v>
      </c>
      <c r="K204" s="2"/>
      <c r="L204" s="2"/>
      <c r="M204" s="2"/>
      <c r="N204" s="2"/>
      <c r="O204" s="2"/>
      <c r="P204" s="2"/>
      <c r="Q204" s="2"/>
      <c r="R204" s="2"/>
      <c r="S204" s="2"/>
      <c r="T204" s="2"/>
      <c r="U204" s="2"/>
      <c r="V204" s="2"/>
      <c r="W204" s="2"/>
      <c r="X204" s="2"/>
      <c r="Y204" s="2"/>
      <c r="Z204" s="2"/>
    </row>
    <row r="205" ht="22.5" customHeight="1">
      <c r="A205" s="45">
        <f t="array" ref="A205">IFERROR(INDEX(FinishedData!$C:$C,MATCH(A202,FinishedData!$A:$A,0)),"")</f>
        <v>665</v>
      </c>
      <c r="B205" s="45">
        <f t="array" ref="B205">IFERROR(INDEX(FinishedData!$C:$C,MATCH(B202,FinishedData!$A:$A,0)),"")</f>
        <v>790</v>
      </c>
      <c r="C205" s="45">
        <f t="array" ref="C205">IFERROR(INDEX(FinishedData!$C:$C,MATCH(C202,FinishedData!$A:$A,0)),"")</f>
        <v>820</v>
      </c>
      <c r="D205" s="45" t="str">
        <f t="array" ref="D205">IFERROR(INDEX(FinishedData!$C:$C,MATCH(D202,FinishedData!$A:$A,0)),"")</f>
        <v/>
      </c>
      <c r="E205" s="45">
        <f t="array" ref="E205">IFERROR(INDEX(FinishedData!$C:$C,MATCH(E202,FinishedData!$A:$A,0)),"")</f>
        <v>630</v>
      </c>
      <c r="F205" s="45">
        <f t="array" ref="F205">IFERROR(INDEX(FinishedData!$C:$C,MATCH(F202,FinishedData!$A:$A,0)),"")</f>
        <v>745</v>
      </c>
      <c r="G205" s="45">
        <f t="array" ref="G205">IFERROR(INDEX(FinishedData!$C:$C,MATCH(G202,FinishedData!$A:$A,0)),"")</f>
        <v>850</v>
      </c>
      <c r="H205" s="2"/>
      <c r="I205" s="46" t="str">
        <f>IF(A202="","","CHANGE")</f>
        <v>CHANGE</v>
      </c>
      <c r="J205" s="47">
        <f>IFERROR(IF(A202="","",(J204-I204)/I204),"")</f>
        <v>-0.07312049434</v>
      </c>
      <c r="K205" s="2"/>
      <c r="L205" s="2"/>
      <c r="M205" s="2"/>
      <c r="N205" s="2"/>
      <c r="O205" s="2"/>
      <c r="P205" s="2"/>
      <c r="Q205" s="2"/>
      <c r="R205" s="2"/>
      <c r="S205" s="2"/>
      <c r="T205" s="2"/>
      <c r="U205" s="2"/>
      <c r="V205" s="2"/>
      <c r="W205" s="2"/>
      <c r="X205" s="2"/>
      <c r="Y205" s="2"/>
      <c r="Z205" s="2"/>
    </row>
    <row r="206" ht="22.5" customHeight="1">
      <c r="A206" s="49">
        <f>IF(G202&gt;=$D$3,"",G202+1)</f>
        <v>44885</v>
      </c>
      <c r="B206" s="49">
        <f t="shared" ref="B206:G206" si="51">IF(A206&gt;=$D$3,"",A206+1)</f>
        <v>44886</v>
      </c>
      <c r="C206" s="49">
        <f t="shared" si="51"/>
        <v>44887</v>
      </c>
      <c r="D206" s="49">
        <f t="shared" si="51"/>
        <v>44888</v>
      </c>
      <c r="E206" s="49">
        <f t="shared" si="51"/>
        <v>44889</v>
      </c>
      <c r="F206" s="49">
        <f t="shared" si="51"/>
        <v>44890</v>
      </c>
      <c r="G206" s="49">
        <f t="shared" si="51"/>
        <v>44891</v>
      </c>
      <c r="H206" s="2"/>
      <c r="I206" s="7"/>
      <c r="J206" s="7"/>
      <c r="K206" s="2"/>
      <c r="L206" s="2"/>
      <c r="M206" s="2"/>
      <c r="N206" s="2"/>
      <c r="O206" s="2"/>
      <c r="P206" s="2"/>
      <c r="Q206" s="2"/>
      <c r="R206" s="2"/>
      <c r="S206" s="2"/>
      <c r="T206" s="2"/>
      <c r="U206" s="2"/>
      <c r="V206" s="2"/>
      <c r="W206" s="2"/>
      <c r="X206" s="2"/>
      <c r="Y206" s="2"/>
      <c r="Z206" s="2"/>
    </row>
    <row r="207" ht="22.5" customHeight="1">
      <c r="A207" s="42" t="str">
        <f t="array" ref="A207">IFERROR(INDEX(Lists!$B:$B,MATCH(A208,Lists!$A:$A,0)),"")</f>
        <v/>
      </c>
      <c r="B207" s="42" t="str">
        <f t="array" ref="B207">IFERROR(INDEX(Lists!$B:$B,MATCH(B208,Lists!$A:$A,0)),"")</f>
        <v/>
      </c>
      <c r="C207" s="42" t="str">
        <f t="array" ref="C207">IFERROR(INDEX(Lists!$B:$B,MATCH(C208,Lists!$A:$A,0)),"")</f>
        <v/>
      </c>
      <c r="D207" s="42" t="str">
        <f t="array" ref="D207">IFERROR(INDEX(Lists!$B:$B,MATCH(D208,Lists!$A:$A,0)),"")</f>
        <v/>
      </c>
      <c r="E207" s="42" t="str">
        <f t="array" ref="E207">IFERROR(INDEX(Lists!$B:$B,MATCH(E208,Lists!$A:$A,0)),"")</f>
        <v/>
      </c>
      <c r="F207" s="42" t="str">
        <f t="array" ref="F207">IFERROR(INDEX(Lists!$B:$B,MATCH(F208,Lists!$A:$A,0)),"")</f>
        <v/>
      </c>
      <c r="G207" s="42" t="str">
        <f t="array" ref="G207">IFERROR(INDEX(Lists!$B:$B,MATCH(G208,Lists!$A:$A,0)),"")</f>
        <v/>
      </c>
      <c r="H207" s="2"/>
      <c r="I207" s="43" t="str">
        <f>IF(A206="","","Week of "&amp;TEXT(A206-7,"MM/DD"))</f>
        <v>Week of 11/13</v>
      </c>
      <c r="J207" s="43" t="str">
        <f>IF(A206="","","Week of "&amp;TEXT(A206,"MM/DD"))</f>
        <v>Week of 11/20</v>
      </c>
      <c r="K207" s="2"/>
      <c r="L207" s="2"/>
      <c r="M207" s="2"/>
      <c r="N207" s="2"/>
      <c r="O207" s="2"/>
      <c r="P207" s="2"/>
      <c r="Q207" s="2"/>
      <c r="R207" s="2"/>
      <c r="S207" s="2"/>
      <c r="T207" s="2"/>
      <c r="U207" s="2"/>
      <c r="V207" s="2"/>
      <c r="W207" s="2"/>
      <c r="X207" s="2"/>
      <c r="Y207" s="2"/>
      <c r="Z207" s="2"/>
    </row>
    <row r="208" ht="22.5" customHeight="1">
      <c r="A208" s="42" t="str">
        <f t="array" ref="A208">IFERROR(INDEX(FinishedData!$B:$B,MATCH(A206,FinishedData!$A:$A,0)),"")</f>
        <v>Practice</v>
      </c>
      <c r="B208" s="42" t="str">
        <f t="array" ref="B208">IFERROR(INDEX(FinishedData!$B:$B,MATCH(B206,FinishedData!$A:$A,0)),"")</f>
        <v>Practice</v>
      </c>
      <c r="C208" s="42" t="str">
        <f t="array" ref="C208">IFERROR(INDEX(FinishedData!$B:$B,MATCH(C206,FinishedData!$A:$A,0)),"")</f>
        <v>Game</v>
      </c>
      <c r="D208" s="42" t="str">
        <f t="array" ref="D208">IFERROR(INDEX(FinishedData!$B:$B,MATCH(D206,FinishedData!$A:$A,0)),"")</f>
        <v>Off</v>
      </c>
      <c r="E208" s="42" t="str">
        <f t="array" ref="E208">IFERROR(INDEX(FinishedData!$B:$B,MATCH(E206,FinishedData!$A:$A,0)),"")</f>
        <v>Practice</v>
      </c>
      <c r="F208" s="42" t="str">
        <f t="array" ref="F208">IFERROR(INDEX(FinishedData!$B:$B,MATCH(F206,FinishedData!$A:$A,0)),"")</f>
        <v>Game</v>
      </c>
      <c r="G208" s="42" t="str">
        <f t="array" ref="G208">IFERROR(INDEX(FinishedData!$B:$B,MATCH(G206,FinishedData!$A:$A,0)),"")</f>
        <v>Practice</v>
      </c>
      <c r="H208" s="2"/>
      <c r="I208" s="13">
        <f>IFERROR(IF(A206="","",IF(G206="",SUMIFS(FinishedData!$C:$C,FinishedData!$A:$A,"&gt;="&amp;MIN($A206:$G206)-7,FinishedData!$A:$A,"&lt;="&amp;MAX($A206:$G206)+(7-COUNT($A206:$G206)-7)),
SUMIFS(FinishedData!$C:$C,FinishedData!$A:$A,"&gt;="&amp;MIN($A206:$G206)-7,FinishedData!$A:$A,"&lt;="&amp;MAX($A206:$G206)-7))),"")</f>
        <v>4500</v>
      </c>
      <c r="J208" s="13">
        <f>IFERROR(IF(A206="","",SUMIFS(FinishedData!$C:$C,FinishedData!$A:$A,"&gt;="&amp;MIN($A206:$G206),FinishedData!$A:$A,"&lt;="&amp;MAX($A206:$G206))),"")</f>
        <v>4205</v>
      </c>
      <c r="K208" s="2"/>
      <c r="L208" s="2"/>
      <c r="M208" s="2"/>
      <c r="N208" s="2"/>
      <c r="O208" s="2"/>
      <c r="P208" s="2"/>
      <c r="Q208" s="2"/>
      <c r="R208" s="2"/>
      <c r="S208" s="2"/>
      <c r="T208" s="2"/>
      <c r="U208" s="2"/>
      <c r="V208" s="2"/>
      <c r="W208" s="2"/>
      <c r="X208" s="2"/>
      <c r="Y208" s="2"/>
      <c r="Z208" s="2"/>
    </row>
    <row r="209" ht="22.5" customHeight="1">
      <c r="A209" s="45">
        <f t="array" ref="A209">IFERROR(INDEX(FinishedData!$C:$C,MATCH(A206,FinishedData!$A:$A,0)),"")</f>
        <v>815</v>
      </c>
      <c r="B209" s="45">
        <f t="array" ref="B209">IFERROR(INDEX(FinishedData!$C:$C,MATCH(B206,FinishedData!$A:$A,0)),"")</f>
        <v>505</v>
      </c>
      <c r="C209" s="45">
        <f t="array" ref="C209">IFERROR(INDEX(FinishedData!$C:$C,MATCH(C206,FinishedData!$A:$A,0)),"")</f>
        <v>590</v>
      </c>
      <c r="D209" s="45" t="str">
        <f t="array" ref="D209">IFERROR(INDEX(FinishedData!$C:$C,MATCH(D206,FinishedData!$A:$A,0)),"")</f>
        <v/>
      </c>
      <c r="E209" s="45">
        <f t="array" ref="E209">IFERROR(INDEX(FinishedData!$C:$C,MATCH(E206,FinishedData!$A:$A,0)),"")</f>
        <v>630</v>
      </c>
      <c r="F209" s="45">
        <f t="array" ref="F209">IFERROR(INDEX(FinishedData!$C:$C,MATCH(F206,FinishedData!$A:$A,0)),"")</f>
        <v>885</v>
      </c>
      <c r="G209" s="45">
        <f t="array" ref="G209">IFERROR(INDEX(FinishedData!$C:$C,MATCH(G206,FinishedData!$A:$A,0)),"")</f>
        <v>780</v>
      </c>
      <c r="H209" s="2"/>
      <c r="I209" s="46" t="str">
        <f>IF(A206="","","CHANGE")</f>
        <v>CHANGE</v>
      </c>
      <c r="J209" s="47">
        <f>IFERROR(IF(A206="","",(J208-I208)/I208),"")</f>
        <v>-0.06555555556</v>
      </c>
      <c r="K209" s="2"/>
      <c r="L209" s="2"/>
      <c r="M209" s="2"/>
      <c r="N209" s="2"/>
      <c r="O209" s="2"/>
      <c r="P209" s="2"/>
      <c r="Q209" s="2"/>
      <c r="R209" s="2"/>
      <c r="S209" s="2"/>
      <c r="T209" s="2"/>
      <c r="U209" s="2"/>
      <c r="V209" s="2"/>
      <c r="W209" s="2"/>
      <c r="X209" s="2"/>
      <c r="Y209" s="2"/>
      <c r="Z209" s="2"/>
    </row>
    <row r="210" ht="22.5" customHeight="1">
      <c r="A210" s="49">
        <f>IF(G206&gt;=$D$3,"",G206+1)</f>
        <v>44892</v>
      </c>
      <c r="B210" s="49">
        <f t="shared" ref="B210:G210" si="52">IF(A210&gt;=$D$3,"",A210+1)</f>
        <v>44893</v>
      </c>
      <c r="C210" s="49">
        <f t="shared" si="52"/>
        <v>44894</v>
      </c>
      <c r="D210" s="49">
        <f t="shared" si="52"/>
        <v>44895</v>
      </c>
      <c r="E210" s="49">
        <f t="shared" si="52"/>
        <v>44896</v>
      </c>
      <c r="F210" s="49">
        <f t="shared" si="52"/>
        <v>44897</v>
      </c>
      <c r="G210" s="49">
        <f t="shared" si="52"/>
        <v>44898</v>
      </c>
      <c r="H210" s="2"/>
      <c r="I210" s="7"/>
      <c r="J210" s="7"/>
      <c r="K210" s="2"/>
      <c r="L210" s="2"/>
      <c r="M210" s="2"/>
      <c r="N210" s="2"/>
      <c r="O210" s="2"/>
      <c r="P210" s="2"/>
      <c r="Q210" s="2"/>
      <c r="R210" s="2"/>
      <c r="S210" s="2"/>
      <c r="T210" s="2"/>
      <c r="U210" s="2"/>
      <c r="V210" s="2"/>
      <c r="W210" s="2"/>
      <c r="X210" s="2"/>
      <c r="Y210" s="2"/>
      <c r="Z210" s="2"/>
    </row>
    <row r="211" ht="22.5" customHeight="1">
      <c r="A211" s="42" t="str">
        <f t="array" ref="A211">IFERROR(INDEX(Lists!$B:$B,MATCH(A212,Lists!$A:$A,0)),"")</f>
        <v/>
      </c>
      <c r="B211" s="42" t="str">
        <f t="array" ref="B211">IFERROR(INDEX(Lists!$B:$B,MATCH(B212,Lists!$A:$A,0)),"")</f>
        <v/>
      </c>
      <c r="C211" s="42" t="str">
        <f t="array" ref="C211">IFERROR(INDEX(Lists!$B:$B,MATCH(C212,Lists!$A:$A,0)),"")</f>
        <v/>
      </c>
      <c r="D211" s="42" t="str">
        <f t="array" ref="D211">IFERROR(INDEX(Lists!$B:$B,MATCH(D212,Lists!$A:$A,0)),"")</f>
        <v/>
      </c>
      <c r="E211" s="42" t="str">
        <f t="array" ref="E211">IFERROR(INDEX(Lists!$B:$B,MATCH(E212,Lists!$A:$A,0)),"")</f>
        <v/>
      </c>
      <c r="F211" s="42" t="str">
        <f t="array" ref="F211">IFERROR(INDEX(Lists!$B:$B,MATCH(F212,Lists!$A:$A,0)),"")</f>
        <v/>
      </c>
      <c r="G211" s="42" t="str">
        <f t="array" ref="G211">IFERROR(INDEX(Lists!$B:$B,MATCH(G212,Lists!$A:$A,0)),"")</f>
        <v/>
      </c>
      <c r="H211" s="2"/>
      <c r="I211" s="43" t="str">
        <f>IF(A210="","","Week of "&amp;TEXT(A210-7,"MM/DD"))</f>
        <v>Week of 11/20</v>
      </c>
      <c r="J211" s="43" t="str">
        <f>IF(A210="","","Week of "&amp;TEXT(A210,"MM/DD"))</f>
        <v>Week of 11/27</v>
      </c>
      <c r="K211" s="2"/>
      <c r="L211" s="2"/>
      <c r="M211" s="2"/>
      <c r="N211" s="2"/>
      <c r="O211" s="2"/>
      <c r="P211" s="2"/>
      <c r="Q211" s="2"/>
      <c r="R211" s="2"/>
      <c r="S211" s="2"/>
      <c r="T211" s="2"/>
      <c r="U211" s="2"/>
      <c r="V211" s="2"/>
      <c r="W211" s="2"/>
      <c r="X211" s="2"/>
      <c r="Y211" s="2"/>
      <c r="Z211" s="2"/>
    </row>
    <row r="212" ht="22.5" customHeight="1">
      <c r="A212" s="42" t="str">
        <f t="array" ref="A212">IFERROR(INDEX(FinishedData!$B:$B,MATCH(A210,FinishedData!$A:$A,0)),"")</f>
        <v>Practice</v>
      </c>
      <c r="B212" s="42" t="str">
        <f t="array" ref="B212">IFERROR(INDEX(FinishedData!$B:$B,MATCH(B210,FinishedData!$A:$A,0)),"")</f>
        <v>Game</v>
      </c>
      <c r="C212" s="42" t="str">
        <f t="array" ref="C212">IFERROR(INDEX(FinishedData!$B:$B,MATCH(C210,FinishedData!$A:$A,0)),"")</f>
        <v>Practice</v>
      </c>
      <c r="D212" s="42" t="str">
        <f t="array" ref="D212">IFERROR(INDEX(FinishedData!$B:$B,MATCH(D210,FinishedData!$A:$A,0)),"")</f>
        <v>Gym</v>
      </c>
      <c r="E212" s="42" t="str">
        <f t="array" ref="E212">IFERROR(INDEX(FinishedData!$B:$B,MATCH(E210,FinishedData!$A:$A,0)),"")</f>
        <v>Off</v>
      </c>
      <c r="F212" s="42" t="str">
        <f t="array" ref="F212">IFERROR(INDEX(FinishedData!$B:$B,MATCH(F210,FinishedData!$A:$A,0)),"")</f>
        <v>Practice</v>
      </c>
      <c r="G212" s="42" t="str">
        <f t="array" ref="G212">IFERROR(INDEX(FinishedData!$B:$B,MATCH(G210,FinishedData!$A:$A,0)),"")</f>
        <v>Practice</v>
      </c>
      <c r="H212" s="2"/>
      <c r="I212" s="13">
        <f>IFERROR(IF(A210="","",IF(G210="",SUMIFS(FinishedData!$C:$C,FinishedData!$A:$A,"&gt;="&amp;MIN($A210:$G210)-7,FinishedData!$A:$A,"&lt;="&amp;MAX($A210:$G210)+(7-COUNT($A210:$G210)-7)),
SUMIFS(FinishedData!$C:$C,FinishedData!$A:$A,"&gt;="&amp;MIN($A210:$G210)-7,FinishedData!$A:$A,"&lt;="&amp;MAX($A210:$G210)-7))),"")</f>
        <v>4205</v>
      </c>
      <c r="J212" s="13">
        <f>IFERROR(IF(A210="","",SUMIFS(FinishedData!$C:$C,FinishedData!$A:$A,"&gt;="&amp;MIN($A210:$G210),FinishedData!$A:$A,"&lt;="&amp;MAX($A210:$G210))),"")</f>
        <v>4890</v>
      </c>
      <c r="K212" s="2"/>
      <c r="L212" s="2"/>
      <c r="M212" s="2"/>
      <c r="N212" s="2"/>
      <c r="O212" s="2"/>
      <c r="P212" s="2"/>
      <c r="Q212" s="2"/>
      <c r="R212" s="2"/>
      <c r="S212" s="2"/>
      <c r="T212" s="2"/>
      <c r="U212" s="2"/>
      <c r="V212" s="2"/>
      <c r="W212" s="2"/>
      <c r="X212" s="2"/>
      <c r="Y212" s="2"/>
      <c r="Z212" s="2"/>
    </row>
    <row r="213" ht="22.5" customHeight="1">
      <c r="A213" s="45">
        <f t="array" ref="A213">IFERROR(INDEX(FinishedData!$C:$C,MATCH(A210,FinishedData!$A:$A,0)),"")</f>
        <v>875</v>
      </c>
      <c r="B213" s="45">
        <f t="array" ref="B213">IFERROR(INDEX(FinishedData!$C:$C,MATCH(B210,FinishedData!$A:$A,0)),"")</f>
        <v>810</v>
      </c>
      <c r="C213" s="45">
        <f t="array" ref="C213">IFERROR(INDEX(FinishedData!$C:$C,MATCH(C210,FinishedData!$A:$A,0)),"")</f>
        <v>935</v>
      </c>
      <c r="D213" s="45">
        <f t="array" ref="D213">IFERROR(INDEX(FinishedData!$C:$C,MATCH(D210,FinishedData!$A:$A,0)),"")</f>
        <v>620</v>
      </c>
      <c r="E213" s="45" t="str">
        <f t="array" ref="E213">IFERROR(INDEX(FinishedData!$C:$C,MATCH(E210,FinishedData!$A:$A,0)),"")</f>
        <v/>
      </c>
      <c r="F213" s="45">
        <f t="array" ref="F213">IFERROR(INDEX(FinishedData!$C:$C,MATCH(F210,FinishedData!$A:$A,0)),"")</f>
        <v>830</v>
      </c>
      <c r="G213" s="45">
        <f t="array" ref="G213">IFERROR(INDEX(FinishedData!$C:$C,MATCH(G210,FinishedData!$A:$A,0)),"")</f>
        <v>820</v>
      </c>
      <c r="H213" s="2"/>
      <c r="I213" s="46" t="str">
        <f>IF(A210="","","CHANGE")</f>
        <v>CHANGE</v>
      </c>
      <c r="J213" s="47">
        <f>IFERROR(IF(A210="","",(J212-I212)/I212),"")</f>
        <v>0.162901308</v>
      </c>
      <c r="K213" s="2"/>
      <c r="L213" s="2"/>
      <c r="M213" s="2"/>
      <c r="N213" s="2"/>
      <c r="O213" s="2"/>
      <c r="P213" s="2"/>
      <c r="Q213" s="2"/>
      <c r="R213" s="2"/>
      <c r="S213" s="2"/>
      <c r="T213" s="2"/>
      <c r="U213" s="2"/>
      <c r="V213" s="2"/>
      <c r="W213" s="2"/>
      <c r="X213" s="2"/>
      <c r="Y213" s="2"/>
      <c r="Z213" s="2"/>
    </row>
    <row r="214" ht="22.5" customHeight="1">
      <c r="A214" s="49">
        <f>IF(G210&gt;=$D$3,"",G210+1)</f>
        <v>44899</v>
      </c>
      <c r="B214" s="49">
        <f t="shared" ref="B214:G214" si="53">IF(A214&gt;=$D$3,"",A214+1)</f>
        <v>44900</v>
      </c>
      <c r="C214" s="49">
        <f t="shared" si="53"/>
        <v>44901</v>
      </c>
      <c r="D214" s="49">
        <f t="shared" si="53"/>
        <v>44902</v>
      </c>
      <c r="E214" s="49">
        <f t="shared" si="53"/>
        <v>44903</v>
      </c>
      <c r="F214" s="49">
        <f t="shared" si="53"/>
        <v>44904</v>
      </c>
      <c r="G214" s="49">
        <f t="shared" si="53"/>
        <v>44905</v>
      </c>
      <c r="H214" s="2"/>
      <c r="I214" s="7"/>
      <c r="J214" s="7"/>
      <c r="K214" s="2"/>
      <c r="L214" s="2"/>
      <c r="M214" s="2"/>
      <c r="N214" s="2"/>
      <c r="O214" s="2"/>
      <c r="P214" s="2"/>
      <c r="Q214" s="2"/>
      <c r="R214" s="2"/>
      <c r="S214" s="2"/>
      <c r="T214" s="2"/>
      <c r="U214" s="2"/>
      <c r="V214" s="2"/>
      <c r="W214" s="2"/>
      <c r="X214" s="2"/>
      <c r="Y214" s="2"/>
      <c r="Z214" s="2"/>
    </row>
    <row r="215" ht="22.5" customHeight="1">
      <c r="A215" s="42" t="str">
        <f t="array" ref="A215">IFERROR(INDEX(Lists!$B:$B,MATCH(A216,Lists!$A:$A,0)),"")</f>
        <v/>
      </c>
      <c r="B215" s="42" t="str">
        <f t="array" ref="B215">IFERROR(INDEX(Lists!$B:$B,MATCH(B216,Lists!$A:$A,0)),"")</f>
        <v/>
      </c>
      <c r="C215" s="42" t="str">
        <f t="array" ref="C215">IFERROR(INDEX(Lists!$B:$B,MATCH(C216,Lists!$A:$A,0)),"")</f>
        <v/>
      </c>
      <c r="D215" s="42" t="str">
        <f t="array" ref="D215">IFERROR(INDEX(Lists!$B:$B,MATCH(D216,Lists!$A:$A,0)),"")</f>
        <v/>
      </c>
      <c r="E215" s="42" t="str">
        <f t="array" ref="E215">IFERROR(INDEX(Lists!$B:$B,MATCH(E216,Lists!$A:$A,0)),"")</f>
        <v/>
      </c>
      <c r="F215" s="42" t="str">
        <f t="array" ref="F215">IFERROR(INDEX(Lists!$B:$B,MATCH(F216,Lists!$A:$A,0)),"")</f>
        <v/>
      </c>
      <c r="G215" s="42" t="str">
        <f t="array" ref="G215">IFERROR(INDEX(Lists!$B:$B,MATCH(G216,Lists!$A:$A,0)),"")</f>
        <v/>
      </c>
      <c r="H215" s="2"/>
      <c r="I215" s="43" t="str">
        <f>IF(A214="","","Week of "&amp;TEXT(A214-7,"MM/DD"))</f>
        <v>Week of 11/27</v>
      </c>
      <c r="J215" s="43" t="str">
        <f>IF(A214="","","Week of "&amp;TEXT(A214,"MM/DD"))</f>
        <v>Week of 12/04</v>
      </c>
      <c r="K215" s="2"/>
      <c r="L215" s="2"/>
      <c r="M215" s="2"/>
      <c r="N215" s="2"/>
      <c r="O215" s="2"/>
      <c r="P215" s="2"/>
      <c r="Q215" s="2"/>
      <c r="R215" s="2"/>
      <c r="S215" s="2"/>
      <c r="T215" s="2"/>
      <c r="U215" s="2"/>
      <c r="V215" s="2"/>
      <c r="W215" s="2"/>
      <c r="X215" s="2"/>
      <c r="Y215" s="2"/>
      <c r="Z215" s="2"/>
    </row>
    <row r="216" ht="22.5" customHeight="1">
      <c r="A216" s="42" t="str">
        <f t="array" ref="A216">IFERROR(INDEX(FinishedData!$B:$B,MATCH(A214,FinishedData!$A:$A,0)),"")</f>
        <v>Game</v>
      </c>
      <c r="B216" s="42" t="str">
        <f t="array" ref="B216">IFERROR(INDEX(FinishedData!$B:$B,MATCH(B214,FinishedData!$A:$A,0)),"")</f>
        <v>Game</v>
      </c>
      <c r="C216" s="42" t="str">
        <f t="array" ref="C216">IFERROR(INDEX(FinishedData!$B:$B,MATCH(C214,FinishedData!$A:$A,0)),"")</f>
        <v>Off</v>
      </c>
      <c r="D216" s="42" t="str">
        <f t="array" ref="D216">IFERROR(INDEX(FinishedData!$B:$B,MATCH(D214,FinishedData!$A:$A,0)),"")</f>
        <v>Practice</v>
      </c>
      <c r="E216" s="42" t="str">
        <f t="array" ref="E216">IFERROR(INDEX(FinishedData!$B:$B,MATCH(E214,FinishedData!$A:$A,0)),"")</f>
        <v>Gym</v>
      </c>
      <c r="F216" s="42" t="str">
        <f t="array" ref="F216">IFERROR(INDEX(FinishedData!$B:$B,MATCH(F214,FinishedData!$A:$A,0)),"")</f>
        <v>Practice</v>
      </c>
      <c r="G216" s="42" t="str">
        <f t="array" ref="G216">IFERROR(INDEX(FinishedData!$B:$B,MATCH(G214,FinishedData!$A:$A,0)),"")</f>
        <v>Practice</v>
      </c>
      <c r="H216" s="2"/>
      <c r="I216" s="13">
        <f>IFERROR(IF(A214="","",IF(G214="",SUMIFS(FinishedData!$C:$C,FinishedData!$A:$A,"&gt;="&amp;MIN($A214:$G214)-7,FinishedData!$A:$A,"&lt;="&amp;MAX($A214:$G214)+(7-COUNT($A214:$G214)-7)),
SUMIFS(FinishedData!$C:$C,FinishedData!$A:$A,"&gt;="&amp;MIN($A214:$G214)-7,FinishedData!$A:$A,"&lt;="&amp;MAX($A214:$G214)-7))),"")</f>
        <v>4890</v>
      </c>
      <c r="J216" s="13">
        <f>IFERROR(IF(A214="","",SUMIFS(FinishedData!$C:$C,FinishedData!$A:$A,"&gt;="&amp;MIN($A214:$G214),FinishedData!$A:$A,"&lt;="&amp;MAX($A214:$G214))),"")</f>
        <v>4830</v>
      </c>
      <c r="K216" s="2"/>
      <c r="L216" s="2"/>
      <c r="M216" s="2"/>
      <c r="N216" s="2"/>
      <c r="O216" s="2"/>
      <c r="P216" s="2"/>
      <c r="Q216" s="2"/>
      <c r="R216" s="2"/>
      <c r="S216" s="2"/>
      <c r="T216" s="2"/>
      <c r="U216" s="2"/>
      <c r="V216" s="2"/>
      <c r="W216" s="2"/>
      <c r="X216" s="2"/>
      <c r="Y216" s="2"/>
      <c r="Z216" s="2"/>
    </row>
    <row r="217" ht="22.5" customHeight="1">
      <c r="A217" s="45">
        <f t="array" ref="A217">IFERROR(INDEX(FinishedData!$C:$C,MATCH(A214,FinishedData!$A:$A,0)),"")</f>
        <v>800</v>
      </c>
      <c r="B217" s="45">
        <f t="array" ref="B217">IFERROR(INDEX(FinishedData!$C:$C,MATCH(B214,FinishedData!$A:$A,0)),"")</f>
        <v>905</v>
      </c>
      <c r="C217" s="45" t="str">
        <f t="array" ref="C217">IFERROR(INDEX(FinishedData!$C:$C,MATCH(C214,FinishedData!$A:$A,0)),"")</f>
        <v/>
      </c>
      <c r="D217" s="45">
        <f t="array" ref="D217">IFERROR(INDEX(FinishedData!$C:$C,MATCH(D214,FinishedData!$A:$A,0)),"")</f>
        <v>775</v>
      </c>
      <c r="E217" s="45">
        <f t="array" ref="E217">IFERROR(INDEX(FinishedData!$C:$C,MATCH(E214,FinishedData!$A:$A,0)),"")</f>
        <v>770</v>
      </c>
      <c r="F217" s="45">
        <f t="array" ref="F217">IFERROR(INDEX(FinishedData!$C:$C,MATCH(F214,FinishedData!$A:$A,0)),"")</f>
        <v>720</v>
      </c>
      <c r="G217" s="45">
        <f t="array" ref="G217">IFERROR(INDEX(FinishedData!$C:$C,MATCH(G214,FinishedData!$A:$A,0)),"")</f>
        <v>860</v>
      </c>
      <c r="H217" s="2"/>
      <c r="I217" s="46" t="str">
        <f>IF(A214="","","CHANGE")</f>
        <v>CHANGE</v>
      </c>
      <c r="J217" s="47">
        <f>IFERROR(IF(A214="","",(J216-I216)/I216),"")</f>
        <v>-0.01226993865</v>
      </c>
      <c r="K217" s="2"/>
      <c r="L217" s="2"/>
      <c r="M217" s="2"/>
      <c r="N217" s="2"/>
      <c r="O217" s="2"/>
      <c r="P217" s="2"/>
      <c r="Q217" s="2"/>
      <c r="R217" s="2"/>
      <c r="S217" s="2"/>
      <c r="T217" s="2"/>
      <c r="U217" s="2"/>
      <c r="V217" s="2"/>
      <c r="W217" s="2"/>
      <c r="X217" s="2"/>
      <c r="Y217" s="2"/>
      <c r="Z217" s="2"/>
    </row>
    <row r="218" ht="22.5" customHeight="1">
      <c r="A218" s="49">
        <f>IF(G214&gt;=$D$3,"",G214+1)</f>
        <v>44906</v>
      </c>
      <c r="B218" s="49">
        <f t="shared" ref="B218:G218" si="54">IF(A218&gt;=$D$3,"",A218+1)</f>
        <v>44907</v>
      </c>
      <c r="C218" s="49">
        <f t="shared" si="54"/>
        <v>44908</v>
      </c>
      <c r="D218" s="49">
        <f t="shared" si="54"/>
        <v>44909</v>
      </c>
      <c r="E218" s="49">
        <f t="shared" si="54"/>
        <v>44910</v>
      </c>
      <c r="F218" s="49">
        <f t="shared" si="54"/>
        <v>44911</v>
      </c>
      <c r="G218" s="49">
        <f t="shared" si="54"/>
        <v>44912</v>
      </c>
      <c r="H218" s="2"/>
      <c r="I218" s="7"/>
      <c r="J218" s="7"/>
      <c r="K218" s="2"/>
      <c r="L218" s="2"/>
      <c r="M218" s="2"/>
      <c r="N218" s="2"/>
      <c r="O218" s="2"/>
      <c r="P218" s="2"/>
      <c r="Q218" s="2"/>
      <c r="R218" s="2"/>
      <c r="S218" s="2"/>
      <c r="T218" s="2"/>
      <c r="U218" s="2"/>
      <c r="V218" s="2"/>
      <c r="W218" s="2"/>
      <c r="X218" s="2"/>
      <c r="Y218" s="2"/>
      <c r="Z218" s="2"/>
    </row>
    <row r="219" ht="22.5" customHeight="1">
      <c r="A219" s="42" t="str">
        <f t="array" ref="A219">IFERROR(INDEX(Lists!$B:$B,MATCH(A220,Lists!$A:$A,0)),"")</f>
        <v/>
      </c>
      <c r="B219" s="42" t="str">
        <f t="array" ref="B219">IFERROR(INDEX(Lists!$B:$B,MATCH(B220,Lists!$A:$A,0)),"")</f>
        <v/>
      </c>
      <c r="C219" s="42" t="str">
        <f t="array" ref="C219">IFERROR(INDEX(Lists!$B:$B,MATCH(C220,Lists!$A:$A,0)),"")</f>
        <v/>
      </c>
      <c r="D219" s="42" t="str">
        <f t="array" ref="D219">IFERROR(INDEX(Lists!$B:$B,MATCH(D220,Lists!$A:$A,0)),"")</f>
        <v/>
      </c>
      <c r="E219" s="42" t="str">
        <f t="array" ref="E219">IFERROR(INDEX(Lists!$B:$B,MATCH(E220,Lists!$A:$A,0)),"")</f>
        <v/>
      </c>
      <c r="F219" s="42" t="str">
        <f t="array" ref="F219">IFERROR(INDEX(Lists!$B:$B,MATCH(F220,Lists!$A:$A,0)),"")</f>
        <v/>
      </c>
      <c r="G219" s="42" t="str">
        <f t="array" ref="G219">IFERROR(INDEX(Lists!$B:$B,MATCH(G220,Lists!$A:$A,0)),"")</f>
        <v/>
      </c>
      <c r="H219" s="2"/>
      <c r="I219" s="43" t="str">
        <f>IF(A218="","","Week of "&amp;TEXT(A218-7,"MM/DD"))</f>
        <v>Week of 12/04</v>
      </c>
      <c r="J219" s="43" t="str">
        <f>IF(A218="","","Week of "&amp;TEXT(A218,"MM/DD"))</f>
        <v>Week of 12/11</v>
      </c>
      <c r="K219" s="2"/>
      <c r="L219" s="2"/>
      <c r="M219" s="2"/>
      <c r="N219" s="2"/>
      <c r="O219" s="2"/>
      <c r="P219" s="2"/>
      <c r="Q219" s="2"/>
      <c r="R219" s="2"/>
      <c r="S219" s="2"/>
      <c r="T219" s="2"/>
      <c r="U219" s="2"/>
      <c r="V219" s="2"/>
      <c r="W219" s="2"/>
      <c r="X219" s="2"/>
      <c r="Y219" s="2"/>
      <c r="Z219" s="2"/>
    </row>
    <row r="220" ht="22.5" customHeight="1">
      <c r="A220" s="42" t="str">
        <f t="array" ref="A220">IFERROR(INDEX(FinishedData!$B:$B,MATCH(A218,FinishedData!$A:$A,0)),"")</f>
        <v>Game</v>
      </c>
      <c r="B220" s="42" t="str">
        <f t="array" ref="B220">IFERROR(INDEX(FinishedData!$B:$B,MATCH(B218,FinishedData!$A:$A,0)),"")</f>
        <v>Practice</v>
      </c>
      <c r="C220" s="42" t="str">
        <f t="array" ref="C220">IFERROR(INDEX(FinishedData!$B:$B,MATCH(C218,FinishedData!$A:$A,0)),"")</f>
        <v>Game</v>
      </c>
      <c r="D220" s="42" t="str">
        <f t="array" ref="D220">IFERROR(INDEX(FinishedData!$B:$B,MATCH(D218,FinishedData!$A:$A,0)),"")</f>
        <v>Off</v>
      </c>
      <c r="E220" s="42" t="str">
        <f t="array" ref="E220">IFERROR(INDEX(FinishedData!$B:$B,MATCH(E218,FinishedData!$A:$A,0)),"")</f>
        <v>Gym</v>
      </c>
      <c r="F220" s="42" t="str">
        <f t="array" ref="F220">IFERROR(INDEX(FinishedData!$B:$B,MATCH(F218,FinishedData!$A:$A,0)),"")</f>
        <v>Practice</v>
      </c>
      <c r="G220" s="42" t="str">
        <f t="array" ref="G220">IFERROR(INDEX(FinishedData!$B:$B,MATCH(G218,FinishedData!$A:$A,0)),"")</f>
        <v>Practice</v>
      </c>
      <c r="H220" s="2"/>
      <c r="I220" s="13">
        <f>IFERROR(IF(A218="","",IF(G218="",SUMIFS(FinishedData!$C:$C,FinishedData!$A:$A,"&gt;="&amp;MIN($A218:$G218)-7,FinishedData!$A:$A,"&lt;="&amp;MAX($A218:$G218)+(7-COUNT($A218:$G218)-7)),
SUMIFS(FinishedData!$C:$C,FinishedData!$A:$A,"&gt;="&amp;MIN($A218:$G218)-7,FinishedData!$A:$A,"&lt;="&amp;MAX($A218:$G218)-7))),"")</f>
        <v>4830</v>
      </c>
      <c r="J220" s="13">
        <f>IFERROR(IF(A218="","",SUMIFS(FinishedData!$C:$C,FinishedData!$A:$A,"&gt;="&amp;MIN($A218:$G218),FinishedData!$A:$A,"&lt;="&amp;MAX($A218:$G218))),"")</f>
        <v>4250</v>
      </c>
      <c r="K220" s="2"/>
      <c r="L220" s="2"/>
      <c r="M220" s="2"/>
      <c r="N220" s="2"/>
      <c r="O220" s="2"/>
      <c r="P220" s="2"/>
      <c r="Q220" s="2"/>
      <c r="R220" s="2"/>
      <c r="S220" s="2"/>
      <c r="T220" s="2"/>
      <c r="U220" s="2"/>
      <c r="V220" s="2"/>
      <c r="W220" s="2"/>
      <c r="X220" s="2"/>
      <c r="Y220" s="2"/>
      <c r="Z220" s="2"/>
    </row>
    <row r="221" ht="22.5" customHeight="1">
      <c r="A221" s="45">
        <f t="array" ref="A221">IFERROR(INDEX(FinishedData!$C:$C,MATCH(A218,FinishedData!$A:$A,0)),"")</f>
        <v>825</v>
      </c>
      <c r="B221" s="45">
        <f t="array" ref="B221">IFERROR(INDEX(FinishedData!$C:$C,MATCH(B218,FinishedData!$A:$A,0)),"")</f>
        <v>660</v>
      </c>
      <c r="C221" s="45">
        <f t="array" ref="C221">IFERROR(INDEX(FinishedData!$C:$C,MATCH(C218,FinishedData!$A:$A,0)),"")</f>
        <v>730</v>
      </c>
      <c r="D221" s="45" t="str">
        <f t="array" ref="D221">IFERROR(INDEX(FinishedData!$C:$C,MATCH(D218,FinishedData!$A:$A,0)),"")</f>
        <v/>
      </c>
      <c r="E221" s="45">
        <f t="array" ref="E221">IFERROR(INDEX(FinishedData!$C:$C,MATCH(E218,FinishedData!$A:$A,0)),"")</f>
        <v>575</v>
      </c>
      <c r="F221" s="45">
        <f t="array" ref="F221">IFERROR(INDEX(FinishedData!$C:$C,MATCH(F218,FinishedData!$A:$A,0)),"")</f>
        <v>670</v>
      </c>
      <c r="G221" s="45">
        <f t="array" ref="G221">IFERROR(INDEX(FinishedData!$C:$C,MATCH(G218,FinishedData!$A:$A,0)),"")</f>
        <v>790</v>
      </c>
      <c r="H221" s="2"/>
      <c r="I221" s="46" t="str">
        <f>IF(A218="","","CHANGE")</f>
        <v>CHANGE</v>
      </c>
      <c r="J221" s="47">
        <f>IFERROR(IF(A218="","",(J220-I220)/I220),"")</f>
        <v>-0.1200828157</v>
      </c>
      <c r="K221" s="2"/>
      <c r="L221" s="2"/>
      <c r="M221" s="2"/>
      <c r="N221" s="2"/>
      <c r="O221" s="2"/>
      <c r="P221" s="2"/>
      <c r="Q221" s="2"/>
      <c r="R221" s="2"/>
      <c r="S221" s="2"/>
      <c r="T221" s="2"/>
      <c r="U221" s="2"/>
      <c r="V221" s="2"/>
      <c r="W221" s="2"/>
      <c r="X221" s="2"/>
      <c r="Y221" s="2"/>
      <c r="Z221" s="2"/>
    </row>
    <row r="222" ht="22.5" customHeight="1">
      <c r="A222" s="49">
        <f>IF(G218&gt;=$D$3,"",G218+1)</f>
        <v>44913</v>
      </c>
      <c r="B222" s="49">
        <f t="shared" ref="B222:G222" si="55">IF(A222&gt;=$D$3,"",A222+1)</f>
        <v>44914</v>
      </c>
      <c r="C222" s="49">
        <f t="shared" si="55"/>
        <v>44915</v>
      </c>
      <c r="D222" s="49">
        <f t="shared" si="55"/>
        <v>44916</v>
      </c>
      <c r="E222" s="49">
        <f t="shared" si="55"/>
        <v>44917</v>
      </c>
      <c r="F222" s="49">
        <f t="shared" si="55"/>
        <v>44918</v>
      </c>
      <c r="G222" s="49">
        <f t="shared" si="55"/>
        <v>44919</v>
      </c>
      <c r="H222" s="2"/>
      <c r="I222" s="2"/>
      <c r="J222" s="2"/>
      <c r="K222" s="2"/>
      <c r="L222" s="2"/>
      <c r="M222" s="2"/>
      <c r="N222" s="2"/>
      <c r="O222" s="2"/>
      <c r="P222" s="2"/>
      <c r="Q222" s="2"/>
      <c r="R222" s="2"/>
      <c r="S222" s="2"/>
      <c r="T222" s="2"/>
      <c r="U222" s="2"/>
      <c r="V222" s="2"/>
      <c r="W222" s="2"/>
      <c r="X222" s="2"/>
      <c r="Y222" s="2"/>
      <c r="Z222" s="2"/>
    </row>
    <row r="223" ht="22.5" customHeight="1">
      <c r="A223" s="42" t="str">
        <f t="array" ref="A223">IFERROR(INDEX(Lists!$B:$B,MATCH(A224,Lists!$A:$A,0)),"")</f>
        <v/>
      </c>
      <c r="B223" s="42" t="str">
        <f t="array" ref="B223">IFERROR(INDEX(Lists!$B:$B,MATCH(B224,Lists!$A:$A,0)),"")</f>
        <v/>
      </c>
      <c r="C223" s="42" t="str">
        <f t="array" ref="C223">IFERROR(INDEX(Lists!$B:$B,MATCH(C224,Lists!$A:$A,0)),"")</f>
        <v/>
      </c>
      <c r="D223" s="42" t="str">
        <f t="array" ref="D223">IFERROR(INDEX(Lists!$B:$B,MATCH(D224,Lists!$A:$A,0)),"")</f>
        <v/>
      </c>
      <c r="E223" s="42" t="str">
        <f t="array" ref="E223">IFERROR(INDEX(Lists!$B:$B,MATCH(E224,Lists!$A:$A,0)),"")</f>
        <v/>
      </c>
      <c r="F223" s="42" t="str">
        <f t="array" ref="F223">IFERROR(INDEX(Lists!$B:$B,MATCH(F224,Lists!$A:$A,0)),"")</f>
        <v/>
      </c>
      <c r="G223" s="42" t="str">
        <f t="array" ref="G223">IFERROR(INDEX(Lists!$B:$B,MATCH(G224,Lists!$A:$A,0)),"")</f>
        <v/>
      </c>
      <c r="H223" s="2"/>
      <c r="I223" s="43" t="str">
        <f>IF(A222="","","Week of "&amp;TEXT(A222-7,"MM/DD"))</f>
        <v>Week of 12/11</v>
      </c>
      <c r="J223" s="43" t="str">
        <f>IF(A222="","","Week of "&amp;TEXT(A222,"MM/DD"))</f>
        <v>Week of 12/18</v>
      </c>
      <c r="K223" s="2"/>
      <c r="L223" s="2"/>
      <c r="M223" s="2"/>
      <c r="N223" s="2"/>
      <c r="O223" s="2"/>
      <c r="P223" s="2"/>
      <c r="Q223" s="2"/>
      <c r="R223" s="2"/>
      <c r="S223" s="2"/>
      <c r="T223" s="2"/>
      <c r="U223" s="2"/>
      <c r="V223" s="2"/>
      <c r="W223" s="2"/>
      <c r="X223" s="2"/>
      <c r="Y223" s="2"/>
      <c r="Z223" s="2"/>
    </row>
    <row r="224" ht="22.5" customHeight="1">
      <c r="A224" s="42" t="str">
        <f t="array" ref="A224">IFERROR(INDEX(FinishedData!$B:$B,MATCH(A222,FinishedData!$A:$A,0)),"")</f>
        <v>Practice</v>
      </c>
      <c r="B224" s="42" t="str">
        <f t="array" ref="B224">IFERROR(INDEX(FinishedData!$B:$B,MATCH(B222,FinishedData!$A:$A,0)),"")</f>
        <v>Game</v>
      </c>
      <c r="C224" s="42" t="str">
        <f t="array" ref="C224">IFERROR(INDEX(FinishedData!$B:$B,MATCH(C222,FinishedData!$A:$A,0)),"")</f>
        <v>Game</v>
      </c>
      <c r="D224" s="42" t="str">
        <f t="array" ref="D224">IFERROR(INDEX(FinishedData!$B:$B,MATCH(D222,FinishedData!$A:$A,0)),"")</f>
        <v>Off</v>
      </c>
      <c r="E224" s="42" t="str">
        <f t="array" ref="E224">IFERROR(INDEX(FinishedData!$B:$B,MATCH(E222,FinishedData!$A:$A,0)),"")</f>
        <v>Practice</v>
      </c>
      <c r="F224" s="42" t="str">
        <f t="array" ref="F224">IFERROR(INDEX(FinishedData!$B:$B,MATCH(F222,FinishedData!$A:$A,0)),"")</f>
        <v>Game</v>
      </c>
      <c r="G224" s="42" t="str">
        <f t="array" ref="G224">IFERROR(INDEX(FinishedData!$B:$B,MATCH(G222,FinishedData!$A:$A,0)),"")</f>
        <v>Practice</v>
      </c>
      <c r="H224" s="2"/>
      <c r="I224" s="13">
        <f>IFERROR(IF(A222="","",IF(G222="",SUMIFS(FinishedData!$C:$C,FinishedData!$A:$A,"&gt;="&amp;MIN($A222:$G222)-7,FinishedData!$A:$A,"&lt;="&amp;MAX($A222:$G222)+(7-COUNT($A222:$G222)-7)),
SUMIFS(FinishedData!$C:$C,FinishedData!$A:$A,"&gt;="&amp;MIN($A222:$G222)-7,FinishedData!$A:$A,"&lt;="&amp;MAX($A222:$G222)-7))),"")</f>
        <v>4250</v>
      </c>
      <c r="J224" s="13">
        <f>IFERROR(IF(A222="","",SUMIFS(FinishedData!$C:$C,FinishedData!$A:$A,"&gt;="&amp;MIN($A222:$G222),FinishedData!$A:$A,"&lt;="&amp;MAX($A222:$G222))),"")</f>
        <v>4255</v>
      </c>
      <c r="K224" s="2"/>
      <c r="L224" s="2"/>
      <c r="M224" s="2"/>
      <c r="N224" s="2"/>
      <c r="O224" s="2"/>
      <c r="P224" s="2"/>
      <c r="Q224" s="2"/>
      <c r="R224" s="2"/>
      <c r="S224" s="2"/>
      <c r="T224" s="2"/>
      <c r="U224" s="2"/>
      <c r="V224" s="2"/>
      <c r="W224" s="2"/>
      <c r="X224" s="2"/>
      <c r="Y224" s="2"/>
      <c r="Z224" s="2"/>
    </row>
    <row r="225" ht="22.5" customHeight="1">
      <c r="A225" s="45">
        <f t="array" ref="A225">IFERROR(INDEX(FinishedData!$C:$C,MATCH(A222,FinishedData!$A:$A,0)),"")</f>
        <v>570</v>
      </c>
      <c r="B225" s="45">
        <f t="array" ref="B225">IFERROR(INDEX(FinishedData!$C:$C,MATCH(B222,FinishedData!$A:$A,0)),"")</f>
        <v>790</v>
      </c>
      <c r="C225" s="45">
        <f t="array" ref="C225">IFERROR(INDEX(FinishedData!$C:$C,MATCH(C222,FinishedData!$A:$A,0)),"")</f>
        <v>735</v>
      </c>
      <c r="D225" s="45" t="str">
        <f t="array" ref="D225">IFERROR(INDEX(FinishedData!$C:$C,MATCH(D222,FinishedData!$A:$A,0)),"")</f>
        <v/>
      </c>
      <c r="E225" s="45">
        <f t="array" ref="E225">IFERROR(INDEX(FinishedData!$C:$C,MATCH(E222,FinishedData!$A:$A,0)),"")</f>
        <v>605</v>
      </c>
      <c r="F225" s="45">
        <f t="array" ref="F225">IFERROR(INDEX(FinishedData!$C:$C,MATCH(F222,FinishedData!$A:$A,0)),"")</f>
        <v>835</v>
      </c>
      <c r="G225" s="45">
        <f t="array" ref="G225">IFERROR(INDEX(FinishedData!$C:$C,MATCH(G222,FinishedData!$A:$A,0)),"")</f>
        <v>720</v>
      </c>
      <c r="H225" s="2"/>
      <c r="I225" s="46" t="str">
        <f>IF(A222="","","CHANGE")</f>
        <v>CHANGE</v>
      </c>
      <c r="J225" s="47">
        <f>IFERROR(IF(A222="","",(J224-I224)/I224),"")</f>
        <v>0.001176470588</v>
      </c>
      <c r="K225" s="2"/>
      <c r="L225" s="2"/>
      <c r="M225" s="2"/>
      <c r="N225" s="2"/>
      <c r="O225" s="2"/>
      <c r="P225" s="2"/>
      <c r="Q225" s="2"/>
      <c r="R225" s="2"/>
      <c r="S225" s="2"/>
      <c r="T225" s="2"/>
      <c r="U225" s="2"/>
      <c r="V225" s="2"/>
      <c r="W225" s="2"/>
      <c r="X225" s="2"/>
      <c r="Y225" s="2"/>
      <c r="Z225" s="2"/>
    </row>
    <row r="226" ht="22.5" customHeight="1">
      <c r="A226" s="49">
        <f>IF(G222&gt;=$D$3,"",G222+1)</f>
        <v>44920</v>
      </c>
      <c r="B226" s="49">
        <f t="shared" ref="B226:G226" si="56">IF(A226&gt;=$D$3,"",A226+1)</f>
        <v>44921</v>
      </c>
      <c r="C226" s="49">
        <f t="shared" si="56"/>
        <v>44922</v>
      </c>
      <c r="D226" s="49">
        <f t="shared" si="56"/>
        <v>44923</v>
      </c>
      <c r="E226" s="49">
        <f t="shared" si="56"/>
        <v>44924</v>
      </c>
      <c r="F226" s="49">
        <f t="shared" si="56"/>
        <v>44925</v>
      </c>
      <c r="G226" s="49">
        <f t="shared" si="56"/>
        <v>44926</v>
      </c>
      <c r="H226" s="2"/>
      <c r="I226" s="7"/>
      <c r="J226" s="7"/>
      <c r="K226" s="2"/>
      <c r="L226" s="2"/>
      <c r="M226" s="2"/>
      <c r="N226" s="2"/>
      <c r="O226" s="2"/>
      <c r="P226" s="2"/>
      <c r="Q226" s="2"/>
      <c r="R226" s="2"/>
      <c r="S226" s="2"/>
      <c r="T226" s="2"/>
      <c r="U226" s="2"/>
      <c r="V226" s="2"/>
      <c r="W226" s="2"/>
      <c r="X226" s="2"/>
      <c r="Y226" s="2"/>
      <c r="Z226" s="2"/>
    </row>
    <row r="227" ht="22.5" customHeight="1">
      <c r="A227" s="42" t="str">
        <f t="array" ref="A227">IFERROR(INDEX(Lists!$B:$B,MATCH(A228,Lists!$A:$A,0)),"")</f>
        <v/>
      </c>
      <c r="B227" s="42" t="str">
        <f t="array" ref="B227">IFERROR(INDEX(Lists!$B:$B,MATCH(B228,Lists!$A:$A,0)),"")</f>
        <v/>
      </c>
      <c r="C227" s="42" t="str">
        <f t="array" ref="C227">IFERROR(INDEX(Lists!$B:$B,MATCH(C228,Lists!$A:$A,0)),"")</f>
        <v/>
      </c>
      <c r="D227" s="42" t="str">
        <f t="array" ref="D227">IFERROR(INDEX(Lists!$B:$B,MATCH(D228,Lists!$A:$A,0)),"")</f>
        <v/>
      </c>
      <c r="E227" s="42" t="str">
        <f t="array" ref="E227">IFERROR(INDEX(Lists!$B:$B,MATCH(E228,Lists!$A:$A,0)),"")</f>
        <v/>
      </c>
      <c r="F227" s="42" t="str">
        <f t="array" ref="F227">IFERROR(INDEX(Lists!$B:$B,MATCH(F228,Lists!$A:$A,0)),"")</f>
        <v/>
      </c>
      <c r="G227" s="42" t="str">
        <f t="array" ref="G227">IFERROR(INDEX(Lists!$B:$B,MATCH(G228,Lists!$A:$A,0)),"")</f>
        <v/>
      </c>
      <c r="H227" s="2"/>
      <c r="I227" s="43" t="str">
        <f>IF(A226="","","Week of "&amp;TEXT(A226-7,"MM/DD"))</f>
        <v>Week of 12/18</v>
      </c>
      <c r="J227" s="43" t="str">
        <f>IF(A226="","","Week of "&amp;TEXT(A226,"MM/DD"))</f>
        <v>Week of 12/25</v>
      </c>
      <c r="K227" s="2"/>
      <c r="L227" s="2"/>
      <c r="M227" s="2"/>
      <c r="N227" s="2"/>
      <c r="O227" s="2"/>
      <c r="P227" s="2"/>
      <c r="Q227" s="2"/>
      <c r="R227" s="2"/>
      <c r="S227" s="2"/>
      <c r="T227" s="2"/>
      <c r="U227" s="2"/>
      <c r="V227" s="2"/>
      <c r="W227" s="2"/>
      <c r="X227" s="2"/>
      <c r="Y227" s="2"/>
      <c r="Z227" s="2"/>
    </row>
    <row r="228" ht="22.5" customHeight="1">
      <c r="A228" s="42" t="str">
        <f t="array" ref="A228">IFERROR(INDEX(FinishedData!$B:$B,MATCH(A226,FinishedData!$A:$A,0)),"")</f>
        <v>Practice</v>
      </c>
      <c r="B228" s="42" t="str">
        <f t="array" ref="B228">IFERROR(INDEX(FinishedData!$B:$B,MATCH(B226,FinishedData!$A:$A,0)),"")</f>
        <v>Practice</v>
      </c>
      <c r="C228" s="42" t="str">
        <f t="array" ref="C228">IFERROR(INDEX(FinishedData!$B:$B,MATCH(C226,FinishedData!$A:$A,0)),"")</f>
        <v>Game</v>
      </c>
      <c r="D228" s="42" t="str">
        <f t="array" ref="D228">IFERROR(INDEX(FinishedData!$B:$B,MATCH(D226,FinishedData!$A:$A,0)),"")</f>
        <v>Practice</v>
      </c>
      <c r="E228" s="42" t="str">
        <f t="array" ref="E228">IFERROR(INDEX(FinishedData!$B:$B,MATCH(E226,FinishedData!$A:$A,0)),"")</f>
        <v>Practice</v>
      </c>
      <c r="F228" s="42" t="str">
        <f t="array" ref="F228">IFERROR(INDEX(FinishedData!$B:$B,MATCH(F226,FinishedData!$A:$A,0)),"")</f>
        <v>Game</v>
      </c>
      <c r="G228" s="42" t="str">
        <f t="array" ref="G228">IFERROR(INDEX(FinishedData!$B:$B,MATCH(G226,FinishedData!$A:$A,0)),"")</f>
        <v>Off</v>
      </c>
      <c r="H228" s="2"/>
      <c r="I228" s="13">
        <f>IFERROR(IF(A226="","",IF(G226="",SUMIFS(FinishedData!$C:$C,FinishedData!$A:$A,"&gt;="&amp;MIN($A226:$G226)-7,FinishedData!$A:$A,"&lt;="&amp;MAX($A226:$G226)+(7-COUNT($A226:$G226)-7)),
SUMIFS(FinishedData!$C:$C,FinishedData!$A:$A,"&gt;="&amp;MIN($A226:$G226)-7,FinishedData!$A:$A,"&lt;="&amp;MAX($A226:$G226)-7))),"")</f>
        <v>4255</v>
      </c>
      <c r="J228" s="13">
        <f>IFERROR(IF(A226="","",SUMIFS(FinishedData!$C:$C,FinishedData!$A:$A,"&gt;="&amp;MIN($A226:$G226),FinishedData!$A:$A,"&lt;="&amp;MAX($A226:$G226))),"")</f>
        <v>4310</v>
      </c>
      <c r="K228" s="2"/>
      <c r="L228" s="2"/>
      <c r="M228" s="2"/>
      <c r="N228" s="2"/>
      <c r="O228" s="2"/>
      <c r="P228" s="2"/>
      <c r="Q228" s="2"/>
      <c r="R228" s="2"/>
      <c r="S228" s="2"/>
      <c r="T228" s="2"/>
      <c r="U228" s="2"/>
      <c r="V228" s="2"/>
      <c r="W228" s="2"/>
      <c r="X228" s="2"/>
      <c r="Y228" s="2"/>
      <c r="Z228" s="2"/>
    </row>
    <row r="229" ht="22.5" customHeight="1">
      <c r="A229" s="45">
        <f t="array" ref="A229">IFERROR(INDEX(FinishedData!$C:$C,MATCH(A226,FinishedData!$A:$A,0)),"")</f>
        <v>645</v>
      </c>
      <c r="B229" s="45">
        <f t="array" ref="B229">IFERROR(INDEX(FinishedData!$C:$C,MATCH(B226,FinishedData!$A:$A,0)),"")</f>
        <v>565</v>
      </c>
      <c r="C229" s="45">
        <f t="array" ref="C229">IFERROR(INDEX(FinishedData!$C:$C,MATCH(C226,FinishedData!$A:$A,0)),"")</f>
        <v>755</v>
      </c>
      <c r="D229" s="45">
        <f t="array" ref="D229">IFERROR(INDEX(FinishedData!$C:$C,MATCH(D226,FinishedData!$A:$A,0)),"")</f>
        <v>810</v>
      </c>
      <c r="E229" s="45">
        <f t="array" ref="E229">IFERROR(INDEX(FinishedData!$C:$C,MATCH(E226,FinishedData!$A:$A,0)),"")</f>
        <v>660</v>
      </c>
      <c r="F229" s="45">
        <f t="array" ref="F229">IFERROR(INDEX(FinishedData!$C:$C,MATCH(F226,FinishedData!$A:$A,0)),"")</f>
        <v>875</v>
      </c>
      <c r="G229" s="45" t="str">
        <f t="array" ref="G229">IFERROR(INDEX(FinishedData!$C:$C,MATCH(G226,FinishedData!$A:$A,0)),"")</f>
        <v/>
      </c>
      <c r="H229" s="2"/>
      <c r="I229" s="46" t="str">
        <f>IF(A226="","","CHANGE")</f>
        <v>CHANGE</v>
      </c>
      <c r="J229" s="47">
        <f>IFERROR(IF(A226="","",(J228-I228)/I228),"")</f>
        <v>0.01292596945</v>
      </c>
      <c r="K229" s="2"/>
      <c r="L229" s="2"/>
      <c r="M229" s="2"/>
      <c r="N229" s="2"/>
      <c r="O229" s="2"/>
      <c r="P229" s="2"/>
      <c r="Q229" s="2"/>
      <c r="R229" s="2"/>
      <c r="S229" s="2"/>
      <c r="T229" s="2"/>
      <c r="U229" s="2"/>
      <c r="V229" s="2"/>
      <c r="W229" s="2"/>
      <c r="X229" s="2"/>
      <c r="Y229" s="2"/>
      <c r="Z229" s="2"/>
    </row>
    <row r="230" ht="22.5" customHeight="1">
      <c r="A230" s="49">
        <f>IF(G226&gt;=$D$3,"",G226+1)</f>
        <v>44927</v>
      </c>
      <c r="B230" s="49">
        <f t="shared" ref="B230:G230" si="57">IF(A230&gt;=$D$3,"",A230+1)</f>
        <v>44928</v>
      </c>
      <c r="C230" s="49">
        <f t="shared" si="57"/>
        <v>44929</v>
      </c>
      <c r="D230" s="49">
        <f t="shared" si="57"/>
        <v>44930</v>
      </c>
      <c r="E230" s="49">
        <f t="shared" si="57"/>
        <v>44931</v>
      </c>
      <c r="F230" s="49">
        <f t="shared" si="57"/>
        <v>44932</v>
      </c>
      <c r="G230" s="49">
        <f t="shared" si="57"/>
        <v>44933</v>
      </c>
      <c r="H230" s="2"/>
      <c r="I230" s="7"/>
      <c r="J230" s="7"/>
      <c r="K230" s="2"/>
      <c r="L230" s="2"/>
      <c r="M230" s="2"/>
      <c r="N230" s="2"/>
      <c r="O230" s="2"/>
      <c r="P230" s="2"/>
      <c r="Q230" s="2"/>
      <c r="R230" s="2"/>
      <c r="S230" s="2"/>
      <c r="T230" s="2"/>
      <c r="U230" s="2"/>
      <c r="V230" s="2"/>
      <c r="W230" s="2"/>
      <c r="X230" s="2"/>
      <c r="Y230" s="2"/>
      <c r="Z230" s="2"/>
    </row>
    <row r="231" ht="22.5" customHeight="1">
      <c r="A231" s="42" t="str">
        <f t="array" ref="A231">IFERROR(INDEX(Lists!$B:$B,MATCH(A232,Lists!$A:$A,0)),"")</f>
        <v/>
      </c>
      <c r="B231" s="42" t="str">
        <f t="array" ref="B231">IFERROR(INDEX(Lists!$B:$B,MATCH(B232,Lists!$A:$A,0)),"")</f>
        <v/>
      </c>
      <c r="C231" s="42" t="str">
        <f t="array" ref="C231">IFERROR(INDEX(Lists!$B:$B,MATCH(C232,Lists!$A:$A,0)),"")</f>
        <v/>
      </c>
      <c r="D231" s="42" t="str">
        <f t="array" ref="D231">IFERROR(INDEX(Lists!$B:$B,MATCH(D232,Lists!$A:$A,0)),"")</f>
        <v/>
      </c>
      <c r="E231" s="42" t="str">
        <f t="array" ref="E231">IFERROR(INDEX(Lists!$B:$B,MATCH(E232,Lists!$A:$A,0)),"")</f>
        <v/>
      </c>
      <c r="F231" s="42" t="str">
        <f t="array" ref="F231">IFERROR(INDEX(Lists!$B:$B,MATCH(F232,Lists!$A:$A,0)),"")</f>
        <v/>
      </c>
      <c r="G231" s="42" t="str">
        <f t="array" ref="G231">IFERROR(INDEX(Lists!$B:$B,MATCH(G232,Lists!$A:$A,0)),"")</f>
        <v/>
      </c>
      <c r="H231" s="2"/>
      <c r="I231" s="43" t="str">
        <f>IF(A230="","","Week of "&amp;TEXT(A230-7,"MM/DD"))</f>
        <v>Week of 12/25</v>
      </c>
      <c r="J231" s="43" t="str">
        <f>IF(A230="","","Week of "&amp;TEXT(A230,"MM/DD"))</f>
        <v>Week of 01/01</v>
      </c>
      <c r="K231" s="2"/>
      <c r="L231" s="2"/>
      <c r="M231" s="2"/>
      <c r="N231" s="2"/>
      <c r="O231" s="2"/>
      <c r="P231" s="2"/>
      <c r="Q231" s="2"/>
      <c r="R231" s="2"/>
      <c r="S231" s="2"/>
      <c r="T231" s="2"/>
      <c r="U231" s="2"/>
      <c r="V231" s="2"/>
      <c r="W231" s="2"/>
      <c r="X231" s="2"/>
      <c r="Y231" s="2"/>
      <c r="Z231" s="2"/>
    </row>
    <row r="232" ht="22.5" customHeight="1">
      <c r="A232" s="42" t="str">
        <f t="array" ref="A232">IFERROR(INDEX(FinishedData!$B:$B,MATCH(A230,FinishedData!$A:$A,0)),"")</f>
        <v>Practice</v>
      </c>
      <c r="B232" s="42" t="str">
        <f t="array" ref="B232">IFERROR(INDEX(FinishedData!$B:$B,MATCH(B230,FinishedData!$A:$A,0)),"")</f>
        <v>Gym</v>
      </c>
      <c r="C232" s="42" t="str">
        <f t="array" ref="C232">IFERROR(INDEX(FinishedData!$B:$B,MATCH(C230,FinishedData!$A:$A,0)),"")</f>
        <v>Practice</v>
      </c>
      <c r="D232" s="42" t="str">
        <f t="array" ref="D232">IFERROR(INDEX(FinishedData!$B:$B,MATCH(D230,FinishedData!$A:$A,0)),"")</f>
        <v>Practice</v>
      </c>
      <c r="E232" s="42" t="str">
        <f t="array" ref="E232">IFERROR(INDEX(FinishedData!$B:$B,MATCH(E230,FinishedData!$A:$A,0)),"")</f>
        <v>Practice</v>
      </c>
      <c r="F232" s="42" t="str">
        <f t="array" ref="F232">IFERROR(INDEX(FinishedData!$B:$B,MATCH(F230,FinishedData!$A:$A,0)),"")</f>
        <v>Game</v>
      </c>
      <c r="G232" s="42" t="str">
        <f t="array" ref="G232">IFERROR(INDEX(FinishedData!$B:$B,MATCH(G230,FinishedData!$A:$A,0)),"")</f>
        <v>Off</v>
      </c>
      <c r="H232" s="2"/>
      <c r="I232" s="13">
        <f>IFERROR(IF(A230="","",IF(G230="",SUMIFS(FinishedData!$C:$C,FinishedData!$A:$A,"&gt;="&amp;MIN($A230:$G230)-7,FinishedData!$A:$A,"&lt;="&amp;MAX($A230:$G230)+(7-COUNT($A230:$G230)-7)),
SUMIFS(FinishedData!$C:$C,FinishedData!$A:$A,"&gt;="&amp;MIN($A230:$G230)-7,FinishedData!$A:$A,"&lt;="&amp;MAX($A230:$G230)-7))),"")</f>
        <v>4310</v>
      </c>
      <c r="J232" s="13">
        <f>IFERROR(IF(A230="","",SUMIFS(FinishedData!$C:$C,FinishedData!$A:$A,"&gt;="&amp;MIN($A230:$G230),FinishedData!$A:$A,"&lt;="&amp;MAX($A230:$G230))),"")</f>
        <v>4750</v>
      </c>
      <c r="K232" s="2"/>
      <c r="L232" s="2"/>
      <c r="M232" s="2"/>
      <c r="N232" s="2"/>
      <c r="O232" s="2"/>
      <c r="P232" s="2"/>
      <c r="Q232" s="2"/>
      <c r="R232" s="2"/>
      <c r="S232" s="2"/>
      <c r="T232" s="2"/>
      <c r="U232" s="2"/>
      <c r="V232" s="2"/>
      <c r="W232" s="2"/>
      <c r="X232" s="2"/>
      <c r="Y232" s="2"/>
      <c r="Z232" s="2"/>
    </row>
    <row r="233" ht="22.5" customHeight="1">
      <c r="A233" s="45">
        <f t="array" ref="A233">IFERROR(INDEX(FinishedData!$C:$C,MATCH(A230,FinishedData!$A:$A,0)),"")</f>
        <v>555</v>
      </c>
      <c r="B233" s="45">
        <f t="array" ref="B233">IFERROR(INDEX(FinishedData!$C:$C,MATCH(B230,FinishedData!$A:$A,0)),"")</f>
        <v>875</v>
      </c>
      <c r="C233" s="45">
        <f t="array" ref="C233">IFERROR(INDEX(FinishedData!$C:$C,MATCH(C230,FinishedData!$A:$A,0)),"")</f>
        <v>820</v>
      </c>
      <c r="D233" s="45">
        <f t="array" ref="D233">IFERROR(INDEX(FinishedData!$C:$C,MATCH(D230,FinishedData!$A:$A,0)),"")</f>
        <v>725</v>
      </c>
      <c r="E233" s="45">
        <f t="array" ref="E233">IFERROR(INDEX(FinishedData!$C:$C,MATCH(E230,FinishedData!$A:$A,0)),"")</f>
        <v>850</v>
      </c>
      <c r="F233" s="45">
        <f t="array" ref="F233">IFERROR(INDEX(FinishedData!$C:$C,MATCH(F230,FinishedData!$A:$A,0)),"")</f>
        <v>925</v>
      </c>
      <c r="G233" s="45" t="str">
        <f t="array" ref="G233">IFERROR(INDEX(FinishedData!$C:$C,MATCH(G230,FinishedData!$A:$A,0)),"")</f>
        <v/>
      </c>
      <c r="H233" s="2"/>
      <c r="I233" s="46" t="str">
        <f>IF(A230="","","CHANGE")</f>
        <v>CHANGE</v>
      </c>
      <c r="J233" s="47">
        <f>IFERROR(IF(A230="","",(J232-I232)/I232),"")</f>
        <v>0.1020881671</v>
      </c>
      <c r="K233" s="2"/>
      <c r="L233" s="2"/>
      <c r="M233" s="2"/>
      <c r="N233" s="2"/>
      <c r="O233" s="2"/>
      <c r="P233" s="2"/>
      <c r="Q233" s="2"/>
      <c r="R233" s="2"/>
      <c r="S233" s="2"/>
      <c r="T233" s="2"/>
      <c r="U233" s="2"/>
      <c r="V233" s="2"/>
      <c r="W233" s="2"/>
      <c r="X233" s="2"/>
      <c r="Y233" s="2"/>
      <c r="Z233" s="2"/>
    </row>
    <row r="234" ht="22.5" customHeight="1">
      <c r="A234" s="49">
        <f>IF(G230&gt;=$D$3,"",G230+1)</f>
        <v>44934</v>
      </c>
      <c r="B234" s="49">
        <f t="shared" ref="B234:G234" si="58">IF(A234&gt;=$D$3,"",A234+1)</f>
        <v>44935</v>
      </c>
      <c r="C234" s="49">
        <f t="shared" si="58"/>
        <v>44936</v>
      </c>
      <c r="D234" s="49">
        <f t="shared" si="58"/>
        <v>44937</v>
      </c>
      <c r="E234" s="49">
        <f t="shared" si="58"/>
        <v>44938</v>
      </c>
      <c r="F234" s="49">
        <f t="shared" si="58"/>
        <v>44939</v>
      </c>
      <c r="G234" s="49">
        <f t="shared" si="58"/>
        <v>44940</v>
      </c>
      <c r="H234" s="2"/>
      <c r="I234" s="7"/>
      <c r="J234" s="7"/>
      <c r="K234" s="2"/>
      <c r="L234" s="2"/>
      <c r="M234" s="2"/>
      <c r="N234" s="2"/>
      <c r="O234" s="2"/>
      <c r="P234" s="2"/>
      <c r="Q234" s="2"/>
      <c r="R234" s="2"/>
      <c r="S234" s="2"/>
      <c r="T234" s="2"/>
      <c r="U234" s="2"/>
      <c r="V234" s="2"/>
      <c r="W234" s="2"/>
      <c r="X234" s="2"/>
      <c r="Y234" s="2"/>
      <c r="Z234" s="2"/>
    </row>
    <row r="235" ht="22.5" customHeight="1">
      <c r="A235" s="42" t="str">
        <f t="array" ref="A235">IFERROR(INDEX(Lists!$B:$B,MATCH(A236,Lists!$A:$A,0)),"")</f>
        <v/>
      </c>
      <c r="B235" s="42" t="str">
        <f t="array" ref="B235">IFERROR(INDEX(Lists!$B:$B,MATCH(B236,Lists!$A:$A,0)),"")</f>
        <v/>
      </c>
      <c r="C235" s="42" t="str">
        <f t="array" ref="C235">IFERROR(INDEX(Lists!$B:$B,MATCH(C236,Lists!$A:$A,0)),"")</f>
        <v/>
      </c>
      <c r="D235" s="42" t="str">
        <f t="array" ref="D235">IFERROR(INDEX(Lists!$B:$B,MATCH(D236,Lists!$A:$A,0)),"")</f>
        <v/>
      </c>
      <c r="E235" s="42" t="str">
        <f t="array" ref="E235">IFERROR(INDEX(Lists!$B:$B,MATCH(E236,Lists!$A:$A,0)),"")</f>
        <v/>
      </c>
      <c r="F235" s="42" t="str">
        <f t="array" ref="F235">IFERROR(INDEX(Lists!$B:$B,MATCH(F236,Lists!$A:$A,0)),"")</f>
        <v/>
      </c>
      <c r="G235" s="42" t="str">
        <f t="array" ref="G235">IFERROR(INDEX(Lists!$B:$B,MATCH(G236,Lists!$A:$A,0)),"")</f>
        <v/>
      </c>
      <c r="H235" s="2"/>
      <c r="I235" s="43" t="str">
        <f>IF(A234="","","Week of "&amp;TEXT(A234-7,"MM/DD"))</f>
        <v>Week of 01/01</v>
      </c>
      <c r="J235" s="43" t="str">
        <f>IF(A234="","","Week of "&amp;TEXT(A234,"MM/DD"))</f>
        <v>Week of 01/08</v>
      </c>
      <c r="K235" s="2"/>
      <c r="L235" s="2"/>
      <c r="M235" s="2"/>
      <c r="N235" s="2"/>
      <c r="O235" s="2"/>
      <c r="P235" s="2"/>
      <c r="Q235" s="2"/>
      <c r="R235" s="2"/>
      <c r="S235" s="2"/>
      <c r="T235" s="2"/>
      <c r="U235" s="2"/>
      <c r="V235" s="2"/>
      <c r="W235" s="2"/>
      <c r="X235" s="2"/>
      <c r="Y235" s="2"/>
      <c r="Z235" s="2"/>
    </row>
    <row r="236" ht="22.5" customHeight="1">
      <c r="A236" s="42" t="str">
        <f t="array" ref="A236">IFERROR(INDEX(FinishedData!$B:$B,MATCH(A234,FinishedData!$A:$A,0)),"")</f>
        <v>Gym</v>
      </c>
      <c r="B236" s="42" t="str">
        <f t="array" ref="B236">IFERROR(INDEX(FinishedData!$B:$B,MATCH(B234,FinishedData!$A:$A,0)),"")</f>
        <v>Practice</v>
      </c>
      <c r="C236" s="42" t="str">
        <f t="array" ref="C236">IFERROR(INDEX(FinishedData!$B:$B,MATCH(C234,FinishedData!$A:$A,0)),"")</f>
        <v>Practice</v>
      </c>
      <c r="D236" s="42" t="str">
        <f t="array" ref="D236">IFERROR(INDEX(FinishedData!$B:$B,MATCH(D234,FinishedData!$A:$A,0)),"")</f>
        <v>Game</v>
      </c>
      <c r="E236" s="42" t="str">
        <f t="array" ref="E236">IFERROR(INDEX(FinishedData!$B:$B,MATCH(E234,FinishedData!$A:$A,0)),"")</f>
        <v>Game</v>
      </c>
      <c r="F236" s="42" t="str">
        <f t="array" ref="F236">IFERROR(INDEX(FinishedData!$B:$B,MATCH(F234,FinishedData!$A:$A,0)),"")</f>
        <v>Off</v>
      </c>
      <c r="G236" s="42" t="str">
        <f t="array" ref="G236">IFERROR(INDEX(FinishedData!$B:$B,MATCH(G234,FinishedData!$A:$A,0)),"")</f>
        <v>Practice</v>
      </c>
      <c r="H236" s="2"/>
      <c r="I236" s="13">
        <f>IFERROR(IF(A234="","",IF(G234="",SUMIFS(FinishedData!$C:$C,FinishedData!$A:$A,"&gt;="&amp;MIN($A234:$G234)-7,FinishedData!$A:$A,"&lt;="&amp;MAX($A234:$G234)+(7-COUNT($A234:$G234)-7)),
SUMIFS(FinishedData!$C:$C,FinishedData!$A:$A,"&gt;="&amp;MIN($A234:$G234)-7,FinishedData!$A:$A,"&lt;="&amp;MAX($A234:$G234)-7))),"")</f>
        <v>4750</v>
      </c>
      <c r="J236" s="13">
        <f>IFERROR(IF(A234="","",SUMIFS(FinishedData!$C:$C,FinishedData!$A:$A,"&gt;="&amp;MIN($A234:$G234),FinishedData!$A:$A,"&lt;="&amp;MAX($A234:$G234))),"")</f>
        <v>5195</v>
      </c>
      <c r="K236" s="2"/>
      <c r="L236" s="2"/>
      <c r="M236" s="2"/>
      <c r="N236" s="2"/>
      <c r="O236" s="2"/>
      <c r="P236" s="2"/>
      <c r="Q236" s="2"/>
      <c r="R236" s="2"/>
      <c r="S236" s="2"/>
      <c r="T236" s="2"/>
      <c r="U236" s="2"/>
      <c r="V236" s="2"/>
      <c r="W236" s="2"/>
      <c r="X236" s="2"/>
      <c r="Y236" s="2"/>
      <c r="Z236" s="2"/>
    </row>
    <row r="237" ht="22.5" customHeight="1">
      <c r="A237" s="45">
        <f t="array" ref="A237">IFERROR(INDEX(FinishedData!$C:$C,MATCH(A234,FinishedData!$A:$A,0)),"")</f>
        <v>985</v>
      </c>
      <c r="B237" s="45">
        <f t="array" ref="B237">IFERROR(INDEX(FinishedData!$C:$C,MATCH(B234,FinishedData!$A:$A,0)),"")</f>
        <v>795</v>
      </c>
      <c r="C237" s="45">
        <f t="array" ref="C237">IFERROR(INDEX(FinishedData!$C:$C,MATCH(C234,FinishedData!$A:$A,0)),"")</f>
        <v>830</v>
      </c>
      <c r="D237" s="45">
        <f t="array" ref="D237">IFERROR(INDEX(FinishedData!$C:$C,MATCH(D234,FinishedData!$A:$A,0)),"")</f>
        <v>985</v>
      </c>
      <c r="E237" s="45">
        <f t="array" ref="E237">IFERROR(INDEX(FinishedData!$C:$C,MATCH(E234,FinishedData!$A:$A,0)),"")</f>
        <v>855</v>
      </c>
      <c r="F237" s="45" t="str">
        <f t="array" ref="F237">IFERROR(INDEX(FinishedData!$C:$C,MATCH(F234,FinishedData!$A:$A,0)),"")</f>
        <v/>
      </c>
      <c r="G237" s="45">
        <f t="array" ref="G237">IFERROR(INDEX(FinishedData!$C:$C,MATCH(G234,FinishedData!$A:$A,0)),"")</f>
        <v>745</v>
      </c>
      <c r="H237" s="2"/>
      <c r="I237" s="46" t="str">
        <f>IF(A234="","","CHANGE")</f>
        <v>CHANGE</v>
      </c>
      <c r="J237" s="47">
        <f>IFERROR(IF(A234="","",(J236-I236)/I236),"")</f>
        <v>0.09368421053</v>
      </c>
      <c r="K237" s="2"/>
      <c r="L237" s="2"/>
      <c r="M237" s="2"/>
      <c r="N237" s="2"/>
      <c r="O237" s="2"/>
      <c r="P237" s="2"/>
      <c r="Q237" s="2"/>
      <c r="R237" s="2"/>
      <c r="S237" s="2"/>
      <c r="T237" s="2"/>
      <c r="U237" s="2"/>
      <c r="V237" s="2"/>
      <c r="W237" s="2"/>
      <c r="X237" s="2"/>
      <c r="Y237" s="2"/>
      <c r="Z237" s="2"/>
    </row>
    <row r="238" ht="22.5" customHeight="1">
      <c r="A238" s="49">
        <f>IF(G234&gt;=$D$3,"",G234+1)</f>
        <v>44941</v>
      </c>
      <c r="B238" s="49">
        <f t="shared" ref="B238:G238" si="59">IF(A238&gt;=$D$3,"",A238+1)</f>
        <v>44942</v>
      </c>
      <c r="C238" s="49">
        <f t="shared" si="59"/>
        <v>44943</v>
      </c>
      <c r="D238" s="49">
        <f t="shared" si="59"/>
        <v>44944</v>
      </c>
      <c r="E238" s="49">
        <f t="shared" si="59"/>
        <v>44945</v>
      </c>
      <c r="F238" s="49">
        <f t="shared" si="59"/>
        <v>44946</v>
      </c>
      <c r="G238" s="49">
        <f t="shared" si="59"/>
        <v>44947</v>
      </c>
      <c r="H238" s="2"/>
      <c r="I238" s="7"/>
      <c r="J238" s="7"/>
      <c r="K238" s="2"/>
      <c r="L238" s="2"/>
      <c r="M238" s="2"/>
      <c r="N238" s="2"/>
      <c r="O238" s="2"/>
      <c r="P238" s="2"/>
      <c r="Q238" s="2"/>
      <c r="R238" s="2"/>
      <c r="S238" s="2"/>
      <c r="T238" s="2"/>
      <c r="U238" s="2"/>
      <c r="V238" s="2"/>
      <c r="W238" s="2"/>
      <c r="X238" s="2"/>
      <c r="Y238" s="2"/>
      <c r="Z238" s="2"/>
    </row>
    <row r="239" ht="22.5" customHeight="1">
      <c r="A239" s="42" t="str">
        <f t="array" ref="A239">IFERROR(INDEX(Lists!$B:$B,MATCH(A240,Lists!$A:$A,0)),"")</f>
        <v/>
      </c>
      <c r="B239" s="42" t="str">
        <f t="array" ref="B239">IFERROR(INDEX(Lists!$B:$B,MATCH(B240,Lists!$A:$A,0)),"")</f>
        <v/>
      </c>
      <c r="C239" s="42" t="str">
        <f t="array" ref="C239">IFERROR(INDEX(Lists!$B:$B,MATCH(C240,Lists!$A:$A,0)),"")</f>
        <v/>
      </c>
      <c r="D239" s="42" t="str">
        <f t="array" ref="D239">IFERROR(INDEX(Lists!$B:$B,MATCH(D240,Lists!$A:$A,0)),"")</f>
        <v/>
      </c>
      <c r="E239" s="42" t="str">
        <f t="array" ref="E239">IFERROR(INDEX(Lists!$B:$B,MATCH(E240,Lists!$A:$A,0)),"")</f>
        <v/>
      </c>
      <c r="F239" s="42" t="str">
        <f t="array" ref="F239">IFERROR(INDEX(Lists!$B:$B,MATCH(F240,Lists!$A:$A,0)),"")</f>
        <v/>
      </c>
      <c r="G239" s="42" t="str">
        <f t="array" ref="G239">IFERROR(INDEX(Lists!$B:$B,MATCH(G240,Lists!$A:$A,0)),"")</f>
        <v/>
      </c>
      <c r="H239" s="2"/>
      <c r="I239" s="43" t="str">
        <f>IF(A238="","","Week of "&amp;TEXT(A238-7,"MM/DD"))</f>
        <v>Week of 01/08</v>
      </c>
      <c r="J239" s="43" t="str">
        <f>IF(A238="","","Week of "&amp;TEXT(A238,"MM/DD"))</f>
        <v>Week of 01/15</v>
      </c>
      <c r="K239" s="2"/>
      <c r="L239" s="2"/>
      <c r="M239" s="2"/>
      <c r="N239" s="2"/>
      <c r="O239" s="2"/>
      <c r="P239" s="2"/>
      <c r="Q239" s="2"/>
      <c r="R239" s="2"/>
      <c r="S239" s="2"/>
      <c r="T239" s="2"/>
      <c r="U239" s="2"/>
      <c r="V239" s="2"/>
      <c r="W239" s="2"/>
      <c r="X239" s="2"/>
      <c r="Y239" s="2"/>
      <c r="Z239" s="2"/>
    </row>
    <row r="240" ht="22.5" customHeight="1">
      <c r="A240" s="42" t="str">
        <f t="array" ref="A240">IFERROR(INDEX(FinishedData!$B:$B,MATCH(A238,FinishedData!$A:$A,0)),"")</f>
        <v>Practice</v>
      </c>
      <c r="B240" s="42" t="str">
        <f t="array" ref="B240">IFERROR(INDEX(FinishedData!$B:$B,MATCH(B238,FinishedData!$A:$A,0)),"")</f>
        <v>Gym</v>
      </c>
      <c r="C240" s="42" t="str">
        <f t="array" ref="C240">IFERROR(INDEX(FinishedData!$B:$B,MATCH(C238,FinishedData!$A:$A,0)),"")</f>
        <v>Practice</v>
      </c>
      <c r="D240" s="42" t="str">
        <f t="array" ref="D240">IFERROR(INDEX(FinishedData!$B:$B,MATCH(D238,FinishedData!$A:$A,0)),"")</f>
        <v>Practice</v>
      </c>
      <c r="E240" s="42" t="str">
        <f t="array" ref="E240">IFERROR(INDEX(FinishedData!$B:$B,MATCH(E238,FinishedData!$A:$A,0)),"")</f>
        <v>Game</v>
      </c>
      <c r="F240" s="42" t="str">
        <f t="array" ref="F240">IFERROR(INDEX(FinishedData!$B:$B,MATCH(F238,FinishedData!$A:$A,0)),"")</f>
        <v>Practice</v>
      </c>
      <c r="G240" s="42" t="str">
        <f t="array" ref="G240">IFERROR(INDEX(FinishedData!$B:$B,MATCH(G238,FinishedData!$A:$A,0)),"")</f>
        <v>Game</v>
      </c>
      <c r="H240" s="2"/>
      <c r="I240" s="13">
        <f>IFERROR(IF(A238="","",IF(G238="",SUMIFS(FinishedData!$C:$C,FinishedData!$A:$A,"&gt;="&amp;MIN($A238:$G238)-7,FinishedData!$A:$A,"&lt;="&amp;MAX($A238:$G238)+(7-COUNT($A238:$G238)-7)),
SUMIFS(FinishedData!$C:$C,FinishedData!$A:$A,"&gt;="&amp;MIN($A238:$G238)-7,FinishedData!$A:$A,"&lt;="&amp;MAX($A238:$G238)-7))),"")</f>
        <v>5195</v>
      </c>
      <c r="J240" s="13">
        <f>IFERROR(IF(A238="","",SUMIFS(FinishedData!$C:$C,FinishedData!$A:$A,"&gt;="&amp;MIN($A238:$G238),FinishedData!$A:$A,"&lt;="&amp;MAX($A238:$G238))),"")</f>
        <v>5445</v>
      </c>
      <c r="K240" s="2"/>
      <c r="L240" s="2"/>
      <c r="M240" s="2"/>
      <c r="N240" s="2"/>
      <c r="O240" s="2"/>
      <c r="P240" s="2"/>
      <c r="Q240" s="2"/>
      <c r="R240" s="2"/>
      <c r="S240" s="2"/>
      <c r="T240" s="2"/>
      <c r="U240" s="2"/>
      <c r="V240" s="2"/>
      <c r="W240" s="2"/>
      <c r="X240" s="2"/>
      <c r="Y240" s="2"/>
      <c r="Z240" s="2"/>
    </row>
    <row r="241" ht="22.5" customHeight="1">
      <c r="A241" s="45">
        <f t="array" ref="A241">IFERROR(INDEX(FinishedData!$C:$C,MATCH(A238,FinishedData!$A:$A,0)),"")</f>
        <v>715</v>
      </c>
      <c r="B241" s="45">
        <f t="array" ref="B241">IFERROR(INDEX(FinishedData!$C:$C,MATCH(B238,FinishedData!$A:$A,0)),"")</f>
        <v>615</v>
      </c>
      <c r="C241" s="45">
        <f t="array" ref="C241">IFERROR(INDEX(FinishedData!$C:$C,MATCH(C238,FinishedData!$A:$A,0)),"")</f>
        <v>900</v>
      </c>
      <c r="D241" s="45">
        <f t="array" ref="D241">IFERROR(INDEX(FinishedData!$C:$C,MATCH(D238,FinishedData!$A:$A,0)),"")</f>
        <v>640</v>
      </c>
      <c r="E241" s="45">
        <f t="array" ref="E241">IFERROR(INDEX(FinishedData!$C:$C,MATCH(E238,FinishedData!$A:$A,0)),"")</f>
        <v>775</v>
      </c>
      <c r="F241" s="45">
        <f t="array" ref="F241">IFERROR(INDEX(FinishedData!$C:$C,MATCH(F238,FinishedData!$A:$A,0)),"")</f>
        <v>850</v>
      </c>
      <c r="G241" s="45">
        <f t="array" ref="G241">IFERROR(INDEX(FinishedData!$C:$C,MATCH(G238,FinishedData!$A:$A,0)),"")</f>
        <v>950</v>
      </c>
      <c r="H241" s="2"/>
      <c r="I241" s="46" t="str">
        <f>IF(A238="","","CHANGE")</f>
        <v>CHANGE</v>
      </c>
      <c r="J241" s="47">
        <f>IFERROR(IF(A238="","",(J240-I240)/I240),"")</f>
        <v>0.04812319538</v>
      </c>
      <c r="K241" s="2"/>
      <c r="L241" s="2"/>
      <c r="M241" s="2"/>
      <c r="N241" s="2"/>
      <c r="O241" s="2"/>
      <c r="P241" s="2"/>
      <c r="Q241" s="2"/>
      <c r="R241" s="2"/>
      <c r="S241" s="2"/>
      <c r="T241" s="2"/>
      <c r="U241" s="2"/>
      <c r="V241" s="2"/>
      <c r="W241" s="2"/>
      <c r="X241" s="2"/>
      <c r="Y241" s="2"/>
      <c r="Z241" s="2"/>
    </row>
    <row r="242" ht="22.5" customHeight="1">
      <c r="A242" s="49">
        <f>IF(G238&gt;=$D$3,"",G238+1)</f>
        <v>44948</v>
      </c>
      <c r="B242" s="49">
        <f t="shared" ref="B242:G242" si="60">IF(A242&gt;=$D$3,"",A242+1)</f>
        <v>44949</v>
      </c>
      <c r="C242" s="49">
        <f t="shared" si="60"/>
        <v>44950</v>
      </c>
      <c r="D242" s="49">
        <f t="shared" si="60"/>
        <v>44951</v>
      </c>
      <c r="E242" s="49">
        <f t="shared" si="60"/>
        <v>44952</v>
      </c>
      <c r="F242" s="49">
        <f t="shared" si="60"/>
        <v>44953</v>
      </c>
      <c r="G242" s="49">
        <f t="shared" si="60"/>
        <v>44954</v>
      </c>
      <c r="H242" s="2"/>
      <c r="I242" s="7"/>
      <c r="J242" s="7"/>
      <c r="K242" s="2"/>
      <c r="L242" s="2"/>
      <c r="M242" s="2"/>
      <c r="N242" s="2"/>
      <c r="O242" s="2"/>
      <c r="P242" s="2"/>
      <c r="Q242" s="2"/>
      <c r="R242" s="2"/>
      <c r="S242" s="2"/>
      <c r="T242" s="2"/>
      <c r="U242" s="2"/>
      <c r="V242" s="2"/>
      <c r="W242" s="2"/>
      <c r="X242" s="2"/>
      <c r="Y242" s="2"/>
      <c r="Z242" s="2"/>
    </row>
    <row r="243" ht="22.5" customHeight="1">
      <c r="A243" s="42" t="str">
        <f t="array" ref="A243">IFERROR(INDEX(Lists!$B:$B,MATCH(A244,Lists!$A:$A,0)),"")</f>
        <v/>
      </c>
      <c r="B243" s="42" t="str">
        <f t="array" ref="B243">IFERROR(INDEX(Lists!$B:$B,MATCH(B244,Lists!$A:$A,0)),"")</f>
        <v/>
      </c>
      <c r="C243" s="42" t="str">
        <f t="array" ref="C243">IFERROR(INDEX(Lists!$B:$B,MATCH(C244,Lists!$A:$A,0)),"")</f>
        <v/>
      </c>
      <c r="D243" s="42" t="str">
        <f t="array" ref="D243">IFERROR(INDEX(Lists!$B:$B,MATCH(D244,Lists!$A:$A,0)),"")</f>
        <v/>
      </c>
      <c r="E243" s="42" t="str">
        <f t="array" ref="E243">IFERROR(INDEX(Lists!$B:$B,MATCH(E244,Lists!$A:$A,0)),"")</f>
        <v/>
      </c>
      <c r="F243" s="42" t="str">
        <f t="array" ref="F243">IFERROR(INDEX(Lists!$B:$B,MATCH(F244,Lists!$A:$A,0)),"")</f>
        <v/>
      </c>
      <c r="G243" s="42" t="str">
        <f t="array" ref="G243">IFERROR(INDEX(Lists!$B:$B,MATCH(G244,Lists!$A:$A,0)),"")</f>
        <v/>
      </c>
      <c r="H243" s="2"/>
      <c r="I243" s="43" t="str">
        <f>IF(A242="","","Week of "&amp;TEXT(A242-7,"MM/DD"))</f>
        <v>Week of 01/15</v>
      </c>
      <c r="J243" s="43" t="str">
        <f>IF(A242="","","Week of "&amp;TEXT(A242,"MM/DD"))</f>
        <v>Week of 01/22</v>
      </c>
      <c r="K243" s="2"/>
      <c r="L243" s="2"/>
      <c r="M243" s="2"/>
      <c r="N243" s="2"/>
      <c r="O243" s="2"/>
      <c r="P243" s="2"/>
      <c r="Q243" s="2"/>
      <c r="R243" s="2"/>
      <c r="S243" s="2"/>
      <c r="T243" s="2"/>
      <c r="U243" s="2"/>
      <c r="V243" s="2"/>
      <c r="W243" s="2"/>
      <c r="X243" s="2"/>
      <c r="Y243" s="2"/>
      <c r="Z243" s="2"/>
    </row>
    <row r="244" ht="22.5" customHeight="1">
      <c r="A244" s="42" t="str">
        <f t="array" ref="A244">IFERROR(INDEX(FinishedData!$B:$B,MATCH(A242,FinishedData!$A:$A,0)),"")</f>
        <v>Off</v>
      </c>
      <c r="B244" s="42" t="str">
        <f t="array" ref="B244">IFERROR(INDEX(FinishedData!$B:$B,MATCH(B242,FinishedData!$A:$A,0)),"")</f>
        <v>Practice</v>
      </c>
      <c r="C244" s="42" t="str">
        <f t="array" ref="C244">IFERROR(INDEX(FinishedData!$B:$B,MATCH(C242,FinishedData!$A:$A,0)),"")</f>
        <v>Gym</v>
      </c>
      <c r="D244" s="42" t="str">
        <f t="array" ref="D244">IFERROR(INDEX(FinishedData!$B:$B,MATCH(D242,FinishedData!$A:$A,0)),"")</f>
        <v>Practice</v>
      </c>
      <c r="E244" s="42" t="str">
        <f t="array" ref="E244">IFERROR(INDEX(FinishedData!$B:$B,MATCH(E242,FinishedData!$A:$A,0)),"")</f>
        <v>Practice</v>
      </c>
      <c r="F244" s="42" t="str">
        <f t="array" ref="F244">IFERROR(INDEX(FinishedData!$B:$B,MATCH(F242,FinishedData!$A:$A,0)),"")</f>
        <v>Practice</v>
      </c>
      <c r="G244" s="42" t="str">
        <f t="array" ref="G244">IFERROR(INDEX(FinishedData!$B:$B,MATCH(G242,FinishedData!$A:$A,0)),"")</f>
        <v>Game</v>
      </c>
      <c r="H244" s="2"/>
      <c r="I244" s="13">
        <f>IFERROR(IF(A242="","",IF(G242="",SUMIFS(FinishedData!$C:$C,FinishedData!$A:$A,"&gt;="&amp;MIN($A242:$G242)-7,FinishedData!$A:$A,"&lt;="&amp;MAX($A242:$G242)+(7-COUNT($A242:$G242)-7)),
SUMIFS(FinishedData!$C:$C,FinishedData!$A:$A,"&gt;="&amp;MIN($A242:$G242)-7,FinishedData!$A:$A,"&lt;="&amp;MAX($A242:$G242)-7))),"")</f>
        <v>5445</v>
      </c>
      <c r="J244" s="13">
        <f>IFERROR(IF(A242="","",SUMIFS(FinishedData!$C:$C,FinishedData!$A:$A,"&gt;="&amp;MIN($A242:$G242),FinishedData!$A:$A,"&lt;="&amp;MAX($A242:$G242))),"")</f>
        <v>4550</v>
      </c>
      <c r="K244" s="2"/>
      <c r="L244" s="2"/>
      <c r="M244" s="2"/>
      <c r="N244" s="2"/>
      <c r="O244" s="2"/>
      <c r="P244" s="2"/>
      <c r="Q244" s="2"/>
      <c r="R244" s="2"/>
      <c r="S244" s="2"/>
      <c r="T244" s="2"/>
      <c r="U244" s="2"/>
      <c r="V244" s="2"/>
      <c r="W244" s="2"/>
      <c r="X244" s="2"/>
      <c r="Y244" s="2"/>
      <c r="Z244" s="2"/>
    </row>
    <row r="245" ht="22.5" customHeight="1">
      <c r="A245" s="45" t="str">
        <f t="array" ref="A245">IFERROR(INDEX(FinishedData!$C:$C,MATCH(A242,FinishedData!$A:$A,0)),"")</f>
        <v/>
      </c>
      <c r="B245" s="45">
        <f t="array" ref="B245">IFERROR(INDEX(FinishedData!$C:$C,MATCH(B242,FinishedData!$A:$A,0)),"")</f>
        <v>540</v>
      </c>
      <c r="C245" s="45">
        <f t="array" ref="C245">IFERROR(INDEX(FinishedData!$C:$C,MATCH(C242,FinishedData!$A:$A,0)),"")</f>
        <v>920</v>
      </c>
      <c r="D245" s="45">
        <f t="array" ref="D245">IFERROR(INDEX(FinishedData!$C:$C,MATCH(D242,FinishedData!$A:$A,0)),"")</f>
        <v>650</v>
      </c>
      <c r="E245" s="45">
        <f t="array" ref="E245">IFERROR(INDEX(FinishedData!$C:$C,MATCH(E242,FinishedData!$A:$A,0)),"")</f>
        <v>750</v>
      </c>
      <c r="F245" s="45">
        <f t="array" ref="F245">IFERROR(INDEX(FinishedData!$C:$C,MATCH(F242,FinishedData!$A:$A,0)),"")</f>
        <v>760</v>
      </c>
      <c r="G245" s="45">
        <f t="array" ref="G245">IFERROR(INDEX(FinishedData!$C:$C,MATCH(G242,FinishedData!$A:$A,0)),"")</f>
        <v>930</v>
      </c>
      <c r="H245" s="2"/>
      <c r="I245" s="46" t="str">
        <f>IF(A242="","","CHANGE")</f>
        <v>CHANGE</v>
      </c>
      <c r="J245" s="47">
        <f>IFERROR(IF(A242="","",(J244-I244)/I244),"")</f>
        <v>-0.1643709826</v>
      </c>
      <c r="K245" s="2"/>
      <c r="L245" s="2"/>
      <c r="M245" s="2"/>
      <c r="N245" s="2"/>
      <c r="O245" s="2"/>
      <c r="P245" s="2"/>
      <c r="Q245" s="2"/>
      <c r="R245" s="2"/>
      <c r="S245" s="2"/>
      <c r="T245" s="2"/>
      <c r="U245" s="2"/>
      <c r="V245" s="2"/>
      <c r="W245" s="2"/>
      <c r="X245" s="2"/>
      <c r="Y245" s="2"/>
      <c r="Z245" s="2"/>
    </row>
    <row r="246" ht="22.5" customHeight="1">
      <c r="A246" s="49">
        <f>IF(G242&gt;=$D$3,"",G242+1)</f>
        <v>44955</v>
      </c>
      <c r="B246" s="49">
        <f t="shared" ref="B246:G246" si="61">IF(A246&gt;=$D$3,"",A246+1)</f>
        <v>44956</v>
      </c>
      <c r="C246" s="49">
        <f t="shared" si="61"/>
        <v>44957</v>
      </c>
      <c r="D246" s="49">
        <f t="shared" si="61"/>
        <v>44958</v>
      </c>
      <c r="E246" s="49">
        <f t="shared" si="61"/>
        <v>44959</v>
      </c>
      <c r="F246" s="49">
        <f t="shared" si="61"/>
        <v>44960</v>
      </c>
      <c r="G246" s="49">
        <f t="shared" si="61"/>
        <v>44961</v>
      </c>
      <c r="H246" s="2"/>
      <c r="I246" s="2"/>
      <c r="J246" s="2"/>
      <c r="K246" s="2"/>
      <c r="L246" s="2"/>
      <c r="M246" s="2"/>
      <c r="N246" s="2"/>
      <c r="O246" s="2"/>
      <c r="P246" s="2"/>
      <c r="Q246" s="2"/>
      <c r="R246" s="2"/>
      <c r="S246" s="2"/>
      <c r="T246" s="2"/>
      <c r="U246" s="2"/>
      <c r="V246" s="2"/>
      <c r="W246" s="2"/>
      <c r="X246" s="2"/>
      <c r="Y246" s="2"/>
      <c r="Z246" s="2"/>
    </row>
    <row r="247" ht="22.5" customHeight="1">
      <c r="A247" s="42" t="str">
        <f t="array" ref="A247">IFERROR(INDEX(Lists!$B:$B,MATCH(A248,Lists!$A:$A,0)),"")</f>
        <v/>
      </c>
      <c r="B247" s="42" t="str">
        <f t="array" ref="B247">IFERROR(INDEX(Lists!$B:$B,MATCH(B248,Lists!$A:$A,0)),"")</f>
        <v/>
      </c>
      <c r="C247" s="42" t="str">
        <f t="array" ref="C247">IFERROR(INDEX(Lists!$B:$B,MATCH(C248,Lists!$A:$A,0)),"")</f>
        <v/>
      </c>
      <c r="D247" s="42" t="str">
        <f t="array" ref="D247">IFERROR(INDEX(Lists!$B:$B,MATCH(D248,Lists!$A:$A,0)),"")</f>
        <v/>
      </c>
      <c r="E247" s="42" t="str">
        <f t="array" ref="E247">IFERROR(INDEX(Lists!$B:$B,MATCH(E248,Lists!$A:$A,0)),"")</f>
        <v/>
      </c>
      <c r="F247" s="42" t="str">
        <f t="array" ref="F247">IFERROR(INDEX(Lists!$B:$B,MATCH(F248,Lists!$A:$A,0)),"")</f>
        <v/>
      </c>
      <c r="G247" s="42" t="str">
        <f t="array" ref="G247">IFERROR(INDEX(Lists!$B:$B,MATCH(G248,Lists!$A:$A,0)),"")</f>
        <v/>
      </c>
      <c r="H247" s="2"/>
      <c r="I247" s="43" t="str">
        <f>IF(A246="","","Week of "&amp;TEXT(A246-7,"MM/DD"))</f>
        <v>Week of 01/22</v>
      </c>
      <c r="J247" s="43" t="str">
        <f>IF(A246="","","Week of "&amp;TEXT(A246,"MM/DD"))</f>
        <v>Week of 01/29</v>
      </c>
      <c r="K247" s="2"/>
      <c r="L247" s="2"/>
      <c r="M247" s="2"/>
      <c r="N247" s="2"/>
      <c r="O247" s="2"/>
      <c r="P247" s="2"/>
      <c r="Q247" s="2"/>
      <c r="R247" s="2"/>
      <c r="S247" s="2"/>
      <c r="T247" s="2"/>
      <c r="U247" s="2"/>
      <c r="V247" s="2"/>
      <c r="W247" s="2"/>
      <c r="X247" s="2"/>
      <c r="Y247" s="2"/>
      <c r="Z247" s="2"/>
    </row>
    <row r="248" ht="22.5" customHeight="1">
      <c r="A248" s="42" t="str">
        <f t="array" ref="A248">IFERROR(INDEX(FinishedData!$B:$B,MATCH(A246,FinishedData!$A:$A,0)),"")</f>
        <v>Off</v>
      </c>
      <c r="B248" s="42" t="str">
        <f t="array" ref="B248">IFERROR(INDEX(FinishedData!$B:$B,MATCH(B246,FinishedData!$A:$A,0)),"")</f>
        <v>Practice</v>
      </c>
      <c r="C248" s="42" t="str">
        <f t="array" ref="C248">IFERROR(INDEX(FinishedData!$B:$B,MATCH(C246,FinishedData!$A:$A,0)),"")</f>
        <v>Game</v>
      </c>
      <c r="D248" s="42" t="str">
        <f t="array" ref="D248">IFERROR(INDEX(FinishedData!$B:$B,MATCH(D246,FinishedData!$A:$A,0)),"")</f>
        <v>Practice</v>
      </c>
      <c r="E248" s="42" t="str">
        <f t="array" ref="E248">IFERROR(INDEX(FinishedData!$B:$B,MATCH(E246,FinishedData!$A:$A,0)),"")</f>
        <v>Practice</v>
      </c>
      <c r="F248" s="42" t="str">
        <f t="array" ref="F248">IFERROR(INDEX(FinishedData!$B:$B,MATCH(F246,FinishedData!$A:$A,0)),"")</f>
        <v>Game</v>
      </c>
      <c r="G248" s="42" t="str">
        <f t="array" ref="G248">IFERROR(INDEX(FinishedData!$B:$B,MATCH(G246,FinishedData!$A:$A,0)),"")</f>
        <v>Practice</v>
      </c>
      <c r="H248" s="2"/>
      <c r="I248" s="13">
        <f>IFERROR(IF(A246="","",IF(G246="",SUMIFS(FinishedData!$C:$C,FinishedData!$A:$A,"&gt;="&amp;MIN($A246:$G246)-7,FinishedData!$A:$A,"&lt;="&amp;MAX($A246:$G246)+(7-COUNT($A246:$G246)-7)),
SUMIFS(FinishedData!$C:$C,FinishedData!$A:$A,"&gt;="&amp;MIN($A246:$G246)-7,FinishedData!$A:$A,"&lt;="&amp;MAX($A246:$G246)-7))),"")</f>
        <v>4550</v>
      </c>
      <c r="J248" s="13">
        <f>IFERROR(IF(A246="","",SUMIFS(FinishedData!$C:$C,FinishedData!$A:$A,"&gt;="&amp;MIN($A246:$G246),FinishedData!$A:$A,"&lt;="&amp;MAX($A246:$G246))),"")</f>
        <v>4580</v>
      </c>
      <c r="K248" s="2"/>
      <c r="L248" s="2"/>
      <c r="M248" s="2"/>
      <c r="N248" s="2"/>
      <c r="O248" s="2"/>
      <c r="P248" s="2"/>
      <c r="Q248" s="2"/>
      <c r="R248" s="2"/>
      <c r="S248" s="2"/>
      <c r="T248" s="2"/>
      <c r="U248" s="2"/>
      <c r="V248" s="2"/>
      <c r="W248" s="2"/>
      <c r="X248" s="2"/>
      <c r="Y248" s="2"/>
      <c r="Z248" s="2"/>
    </row>
    <row r="249" ht="22.5" customHeight="1">
      <c r="A249" s="45" t="str">
        <f t="array" ref="A249">IFERROR(INDEX(FinishedData!$C:$C,MATCH(A246,FinishedData!$A:$A,0)),"")</f>
        <v/>
      </c>
      <c r="B249" s="45">
        <f t="array" ref="B249">IFERROR(INDEX(FinishedData!$C:$C,MATCH(B246,FinishedData!$A:$A,0)),"")</f>
        <v>785</v>
      </c>
      <c r="C249" s="45">
        <f t="array" ref="C249">IFERROR(INDEX(FinishedData!$C:$C,MATCH(C246,FinishedData!$A:$A,0)),"")</f>
        <v>810</v>
      </c>
      <c r="D249" s="45">
        <f t="array" ref="D249">IFERROR(INDEX(FinishedData!$C:$C,MATCH(D246,FinishedData!$A:$A,0)),"")</f>
        <v>710</v>
      </c>
      <c r="E249" s="45">
        <f t="array" ref="E249">IFERROR(INDEX(FinishedData!$C:$C,MATCH(E246,FinishedData!$A:$A,0)),"")</f>
        <v>905</v>
      </c>
      <c r="F249" s="45">
        <f t="array" ref="F249">IFERROR(INDEX(FinishedData!$C:$C,MATCH(F246,FinishedData!$A:$A,0)),"")</f>
        <v>630</v>
      </c>
      <c r="G249" s="45">
        <f t="array" ref="G249">IFERROR(INDEX(FinishedData!$C:$C,MATCH(G246,FinishedData!$A:$A,0)),"")</f>
        <v>740</v>
      </c>
      <c r="H249" s="2"/>
      <c r="I249" s="46" t="str">
        <f>IF(A246="","","CHANGE")</f>
        <v>CHANGE</v>
      </c>
      <c r="J249" s="47">
        <f>IFERROR(IF(A246="","",(J248-I248)/I248),"")</f>
        <v>0.006593406593</v>
      </c>
      <c r="K249" s="2"/>
      <c r="L249" s="2"/>
      <c r="M249" s="2"/>
      <c r="N249" s="2"/>
      <c r="O249" s="2"/>
      <c r="P249" s="2"/>
      <c r="Q249" s="2"/>
      <c r="R249" s="2"/>
      <c r="S249" s="2"/>
      <c r="T249" s="2"/>
      <c r="U249" s="2"/>
      <c r="V249" s="2"/>
      <c r="W249" s="2"/>
      <c r="X249" s="2"/>
      <c r="Y249" s="2"/>
      <c r="Z249" s="2"/>
    </row>
    <row r="250" ht="22.5" customHeight="1">
      <c r="A250" s="49">
        <f>IF(G246&gt;=$D$3,"",G246+1)</f>
        <v>44962</v>
      </c>
      <c r="B250" s="49">
        <f t="shared" ref="B250:G250" si="62">IF(A250&gt;=$D$3,"",A250+1)</f>
        <v>44963</v>
      </c>
      <c r="C250" s="49">
        <f t="shared" si="62"/>
        <v>44964</v>
      </c>
      <c r="D250" s="49">
        <f t="shared" si="62"/>
        <v>44965</v>
      </c>
      <c r="E250" s="49">
        <f t="shared" si="62"/>
        <v>44966</v>
      </c>
      <c r="F250" s="49">
        <f t="shared" si="62"/>
        <v>44967</v>
      </c>
      <c r="G250" s="49">
        <f t="shared" si="62"/>
        <v>44968</v>
      </c>
      <c r="H250" s="2"/>
      <c r="I250" s="7"/>
      <c r="J250" s="7"/>
      <c r="K250" s="2"/>
      <c r="L250" s="2"/>
      <c r="M250" s="2"/>
      <c r="N250" s="2"/>
      <c r="O250" s="2"/>
      <c r="P250" s="2"/>
      <c r="Q250" s="2"/>
      <c r="R250" s="2"/>
      <c r="S250" s="2"/>
      <c r="T250" s="2"/>
      <c r="U250" s="2"/>
      <c r="V250" s="2"/>
      <c r="W250" s="2"/>
      <c r="X250" s="2"/>
      <c r="Y250" s="2"/>
      <c r="Z250" s="2"/>
    </row>
    <row r="251" ht="22.5" customHeight="1">
      <c r="A251" s="42" t="str">
        <f t="array" ref="A251">IFERROR(INDEX(Lists!$B:$B,MATCH(A252,Lists!$A:$A,0)),"")</f>
        <v/>
      </c>
      <c r="B251" s="42" t="str">
        <f t="array" ref="B251">IFERROR(INDEX(Lists!$B:$B,MATCH(B252,Lists!$A:$A,0)),"")</f>
        <v/>
      </c>
      <c r="C251" s="42" t="str">
        <f t="array" ref="C251">IFERROR(INDEX(Lists!$B:$B,MATCH(C252,Lists!$A:$A,0)),"")</f>
        <v/>
      </c>
      <c r="D251" s="42" t="str">
        <f t="array" ref="D251">IFERROR(INDEX(Lists!$B:$B,MATCH(D252,Lists!$A:$A,0)),"")</f>
        <v/>
      </c>
      <c r="E251" s="42" t="str">
        <f t="array" ref="E251">IFERROR(INDEX(Lists!$B:$B,MATCH(E252,Lists!$A:$A,0)),"")</f>
        <v/>
      </c>
      <c r="F251" s="42" t="str">
        <f t="array" ref="F251">IFERROR(INDEX(Lists!$B:$B,MATCH(F252,Lists!$A:$A,0)),"")</f>
        <v/>
      </c>
      <c r="G251" s="42" t="str">
        <f t="array" ref="G251">IFERROR(INDEX(Lists!$B:$B,MATCH(G252,Lists!$A:$A,0)),"")</f>
        <v/>
      </c>
      <c r="H251" s="2"/>
      <c r="I251" s="43" t="str">
        <f>IF(A250="","","Week of "&amp;TEXT(A250-7,"MM/DD"))</f>
        <v>Week of 01/29</v>
      </c>
      <c r="J251" s="43" t="str">
        <f>IF(A250="","","Week of "&amp;TEXT(A250,"MM/DD"))</f>
        <v>Week of 02/05</v>
      </c>
      <c r="K251" s="2"/>
      <c r="L251" s="2"/>
      <c r="M251" s="2"/>
      <c r="N251" s="2"/>
      <c r="O251" s="2"/>
      <c r="P251" s="2"/>
      <c r="Q251" s="2"/>
      <c r="R251" s="2"/>
      <c r="S251" s="2"/>
      <c r="T251" s="2"/>
      <c r="U251" s="2"/>
      <c r="V251" s="2"/>
      <c r="W251" s="2"/>
      <c r="X251" s="2"/>
      <c r="Y251" s="2"/>
      <c r="Z251" s="2"/>
    </row>
    <row r="252" ht="22.5" customHeight="1">
      <c r="A252" s="42" t="str">
        <f t="array" ref="A252">IFERROR(INDEX(FinishedData!$B:$B,MATCH(A250,FinishedData!$A:$A,0)),"")</f>
        <v>Gym</v>
      </c>
      <c r="B252" s="42" t="str">
        <f t="array" ref="B252">IFERROR(INDEX(FinishedData!$B:$B,MATCH(B250,FinishedData!$A:$A,0)),"")</f>
        <v>Off</v>
      </c>
      <c r="C252" s="42" t="str">
        <f t="array" ref="C252">IFERROR(INDEX(FinishedData!$B:$B,MATCH(C250,FinishedData!$A:$A,0)),"")</f>
        <v>Practice</v>
      </c>
      <c r="D252" s="42" t="str">
        <f t="array" ref="D252">IFERROR(INDEX(FinishedData!$B:$B,MATCH(D250,FinishedData!$A:$A,0)),"")</f>
        <v>Practice</v>
      </c>
      <c r="E252" s="42" t="str">
        <f t="array" ref="E252">IFERROR(INDEX(FinishedData!$B:$B,MATCH(E250,FinishedData!$A:$A,0)),"")</f>
        <v>Game</v>
      </c>
      <c r="F252" s="42" t="str">
        <f t="array" ref="F252">IFERROR(INDEX(FinishedData!$B:$B,MATCH(F250,FinishedData!$A:$A,0)),"")</f>
        <v>Game</v>
      </c>
      <c r="G252" s="42" t="str">
        <f t="array" ref="G252">IFERROR(INDEX(FinishedData!$B:$B,MATCH(G250,FinishedData!$A:$A,0)),"")</f>
        <v>Off</v>
      </c>
      <c r="H252" s="2"/>
      <c r="I252" s="13">
        <f>IFERROR(IF(A250="","",IF(G250="",SUMIFS(FinishedData!$C:$C,FinishedData!$A:$A,"&gt;="&amp;MIN($A250:$G250)-7,FinishedData!$A:$A,"&lt;="&amp;MAX($A250:$G250)+(7-COUNT($A250:$G250)-7)),
SUMIFS(FinishedData!$C:$C,FinishedData!$A:$A,"&gt;="&amp;MIN($A250:$G250)-7,FinishedData!$A:$A,"&lt;="&amp;MAX($A250:$G250)-7))),"")</f>
        <v>4580</v>
      </c>
      <c r="J252" s="13">
        <f>IFERROR(IF(A250="","",SUMIFS(FinishedData!$C:$C,FinishedData!$A:$A,"&gt;="&amp;MIN($A250:$G250),FinishedData!$A:$A,"&lt;="&amp;MAX($A250:$G250))),"")</f>
        <v>3850</v>
      </c>
      <c r="K252" s="2"/>
      <c r="L252" s="2"/>
      <c r="M252" s="2"/>
      <c r="N252" s="2"/>
      <c r="O252" s="2"/>
      <c r="P252" s="2"/>
      <c r="Q252" s="2"/>
      <c r="R252" s="2"/>
      <c r="S252" s="2"/>
      <c r="T252" s="2"/>
      <c r="U252" s="2"/>
      <c r="V252" s="2"/>
      <c r="W252" s="2"/>
      <c r="X252" s="2"/>
      <c r="Y252" s="2"/>
      <c r="Z252" s="2"/>
    </row>
    <row r="253" ht="22.5" customHeight="1">
      <c r="A253" s="45">
        <f t="array" ref="A253">IFERROR(INDEX(FinishedData!$C:$C,MATCH(A250,FinishedData!$A:$A,0)),"")</f>
        <v>505</v>
      </c>
      <c r="B253" s="45" t="str">
        <f t="array" ref="B253">IFERROR(INDEX(FinishedData!$C:$C,MATCH(B250,FinishedData!$A:$A,0)),"")</f>
        <v/>
      </c>
      <c r="C253" s="45">
        <f t="array" ref="C253">IFERROR(INDEX(FinishedData!$C:$C,MATCH(C250,FinishedData!$A:$A,0)),"")</f>
        <v>625</v>
      </c>
      <c r="D253" s="45">
        <f t="array" ref="D253">IFERROR(INDEX(FinishedData!$C:$C,MATCH(D250,FinishedData!$A:$A,0)),"")</f>
        <v>880</v>
      </c>
      <c r="E253" s="45">
        <f t="array" ref="E253">IFERROR(INDEX(FinishedData!$C:$C,MATCH(E250,FinishedData!$A:$A,0)),"")</f>
        <v>915</v>
      </c>
      <c r="F253" s="45">
        <f t="array" ref="F253">IFERROR(INDEX(FinishedData!$C:$C,MATCH(F250,FinishedData!$A:$A,0)),"")</f>
        <v>925</v>
      </c>
      <c r="G253" s="45" t="str">
        <f t="array" ref="G253">IFERROR(INDEX(FinishedData!$C:$C,MATCH(G250,FinishedData!$A:$A,0)),"")</f>
        <v/>
      </c>
      <c r="H253" s="2"/>
      <c r="I253" s="46" t="str">
        <f>IF(A250="","","CHANGE")</f>
        <v>CHANGE</v>
      </c>
      <c r="J253" s="47">
        <f>IFERROR(IF(A250="","",(J252-I252)/I252),"")</f>
        <v>-0.1593886463</v>
      </c>
      <c r="K253" s="2"/>
      <c r="L253" s="2"/>
      <c r="M253" s="2"/>
      <c r="N253" s="2"/>
      <c r="O253" s="2"/>
      <c r="P253" s="2"/>
      <c r="Q253" s="2"/>
      <c r="R253" s="2"/>
      <c r="S253" s="2"/>
      <c r="T253" s="2"/>
      <c r="U253" s="2"/>
      <c r="V253" s="2"/>
      <c r="W253" s="2"/>
      <c r="X253" s="2"/>
      <c r="Y253" s="2"/>
      <c r="Z253" s="2"/>
    </row>
    <row r="254" ht="22.5" customHeight="1">
      <c r="A254" s="49">
        <f>IF(G250&gt;=$D$3,"",G250+1)</f>
        <v>44969</v>
      </c>
      <c r="B254" s="49">
        <f t="shared" ref="B254:G254" si="63">IF(A254&gt;=$D$3,"",A254+1)</f>
        <v>44970</v>
      </c>
      <c r="C254" s="49">
        <f t="shared" si="63"/>
        <v>44971</v>
      </c>
      <c r="D254" s="49">
        <f t="shared" si="63"/>
        <v>44972</v>
      </c>
      <c r="E254" s="49">
        <f t="shared" si="63"/>
        <v>44973</v>
      </c>
      <c r="F254" s="49">
        <f t="shared" si="63"/>
        <v>44974</v>
      </c>
      <c r="G254" s="49">
        <f t="shared" si="63"/>
        <v>44975</v>
      </c>
      <c r="H254" s="2"/>
      <c r="I254" s="7"/>
      <c r="J254" s="7"/>
      <c r="K254" s="2"/>
      <c r="L254" s="2"/>
      <c r="M254" s="2"/>
      <c r="N254" s="2"/>
      <c r="O254" s="2"/>
      <c r="P254" s="2"/>
      <c r="Q254" s="2"/>
      <c r="R254" s="2"/>
      <c r="S254" s="2"/>
      <c r="T254" s="2"/>
      <c r="U254" s="2"/>
      <c r="V254" s="2"/>
      <c r="W254" s="2"/>
      <c r="X254" s="2"/>
      <c r="Y254" s="2"/>
      <c r="Z254" s="2"/>
    </row>
    <row r="255" ht="22.5" customHeight="1">
      <c r="A255" s="42" t="str">
        <f t="array" ref="A255">IFERROR(INDEX(Lists!$B:$B,MATCH(A256,Lists!$A:$A,0)),"")</f>
        <v/>
      </c>
      <c r="B255" s="42" t="str">
        <f t="array" ref="B255">IFERROR(INDEX(Lists!$B:$B,MATCH(B256,Lists!$A:$A,0)),"")</f>
        <v/>
      </c>
      <c r="C255" s="42" t="str">
        <f t="array" ref="C255">IFERROR(INDEX(Lists!$B:$B,MATCH(C256,Lists!$A:$A,0)),"")</f>
        <v/>
      </c>
      <c r="D255" s="42" t="str">
        <f t="array" ref="D255">IFERROR(INDEX(Lists!$B:$B,MATCH(D256,Lists!$A:$A,0)),"")</f>
        <v/>
      </c>
      <c r="E255" s="42" t="str">
        <f t="array" ref="E255">IFERROR(INDEX(Lists!$B:$B,MATCH(E256,Lists!$A:$A,0)),"")</f>
        <v/>
      </c>
      <c r="F255" s="42" t="str">
        <f t="array" ref="F255">IFERROR(INDEX(Lists!$B:$B,MATCH(F256,Lists!$A:$A,0)),"")</f>
        <v/>
      </c>
      <c r="G255" s="42" t="str">
        <f t="array" ref="G255">IFERROR(INDEX(Lists!$B:$B,MATCH(G256,Lists!$A:$A,0)),"")</f>
        <v/>
      </c>
      <c r="H255" s="2"/>
      <c r="I255" s="43" t="str">
        <f>IF(A254="","","Week of "&amp;TEXT(A254-7,"MM/DD"))</f>
        <v>Week of 02/05</v>
      </c>
      <c r="J255" s="43" t="str">
        <f>IF(A254="","","Week of "&amp;TEXT(A254,"MM/DD"))</f>
        <v>Week of 02/12</v>
      </c>
      <c r="K255" s="2"/>
      <c r="L255" s="2"/>
      <c r="M255" s="2"/>
      <c r="N255" s="2"/>
      <c r="O255" s="2"/>
      <c r="P255" s="2"/>
      <c r="Q255" s="2"/>
      <c r="R255" s="2"/>
      <c r="S255" s="2"/>
      <c r="T255" s="2"/>
      <c r="U255" s="2"/>
      <c r="V255" s="2"/>
      <c r="W255" s="2"/>
      <c r="X255" s="2"/>
      <c r="Y255" s="2"/>
      <c r="Z255" s="2"/>
    </row>
    <row r="256" ht="22.5" customHeight="1">
      <c r="A256" s="42" t="str">
        <f t="array" ref="A256">IFERROR(INDEX(FinishedData!$B:$B,MATCH(A254,FinishedData!$A:$A,0)),"")</f>
        <v>Practice</v>
      </c>
      <c r="B256" s="42" t="str">
        <f t="array" ref="B256">IFERROR(INDEX(FinishedData!$B:$B,MATCH(B254,FinishedData!$A:$A,0)),"")</f>
        <v>Gym</v>
      </c>
      <c r="C256" s="42" t="str">
        <f t="array" ref="C256">IFERROR(INDEX(FinishedData!$B:$B,MATCH(C254,FinishedData!$A:$A,0)),"")</f>
        <v>Practice</v>
      </c>
      <c r="D256" s="42" t="str">
        <f t="array" ref="D256">IFERROR(INDEX(FinishedData!$B:$B,MATCH(D254,FinishedData!$A:$A,0)),"")</f>
        <v>Practice</v>
      </c>
      <c r="E256" s="42" t="str">
        <f t="array" ref="E256">IFERROR(INDEX(FinishedData!$B:$B,MATCH(E254,FinishedData!$A:$A,0)),"")</f>
        <v>Game</v>
      </c>
      <c r="F256" s="42" t="str">
        <f t="array" ref="F256">IFERROR(INDEX(FinishedData!$B:$B,MATCH(F254,FinishedData!$A:$A,0)),"")</f>
        <v>Practice</v>
      </c>
      <c r="G256" s="42" t="str">
        <f t="array" ref="G256">IFERROR(INDEX(FinishedData!$B:$B,MATCH(G254,FinishedData!$A:$A,0)),"")</f>
        <v>Game</v>
      </c>
      <c r="H256" s="2"/>
      <c r="I256" s="13">
        <f>IFERROR(IF(A254="","",IF(G254="",SUMIFS(FinishedData!$C:$C,FinishedData!$A:$A,"&gt;="&amp;MIN($A254:$G254)-7,FinishedData!$A:$A,"&lt;="&amp;MAX($A254:$G254)+(7-COUNT($A254:$G254)-7)),
SUMIFS(FinishedData!$C:$C,FinishedData!$A:$A,"&gt;="&amp;MIN($A254:$G254)-7,FinishedData!$A:$A,"&lt;="&amp;MAX($A254:$G254)-7))),"")</f>
        <v>3850</v>
      </c>
      <c r="J256" s="13">
        <f>IFERROR(IF(A254="","",SUMIFS(FinishedData!$C:$C,FinishedData!$A:$A,"&gt;="&amp;MIN($A254:$G254),FinishedData!$A:$A,"&lt;="&amp;MAX($A254:$G254))),"")</f>
        <v>4875</v>
      </c>
      <c r="K256" s="2"/>
      <c r="L256" s="2"/>
      <c r="M256" s="2"/>
      <c r="N256" s="2"/>
      <c r="O256" s="2"/>
      <c r="P256" s="2"/>
      <c r="Q256" s="2"/>
      <c r="R256" s="2"/>
      <c r="S256" s="2"/>
      <c r="T256" s="2"/>
      <c r="U256" s="2"/>
      <c r="V256" s="2"/>
      <c r="W256" s="2"/>
      <c r="X256" s="2"/>
      <c r="Y256" s="2"/>
      <c r="Z256" s="2"/>
    </row>
    <row r="257" ht="22.5" customHeight="1">
      <c r="A257" s="45">
        <f t="array" ref="A257">IFERROR(INDEX(FinishedData!$C:$C,MATCH(A254,FinishedData!$A:$A,0)),"")</f>
        <v>650</v>
      </c>
      <c r="B257" s="45">
        <f t="array" ref="B257">IFERROR(INDEX(FinishedData!$C:$C,MATCH(B254,FinishedData!$A:$A,0)),"")</f>
        <v>685</v>
      </c>
      <c r="C257" s="45">
        <f t="array" ref="C257">IFERROR(INDEX(FinishedData!$C:$C,MATCH(C254,FinishedData!$A:$A,0)),"")</f>
        <v>815</v>
      </c>
      <c r="D257" s="45">
        <f t="array" ref="D257">IFERROR(INDEX(FinishedData!$C:$C,MATCH(D254,FinishedData!$A:$A,0)),"")</f>
        <v>525</v>
      </c>
      <c r="E257" s="45">
        <f t="array" ref="E257">IFERROR(INDEX(FinishedData!$C:$C,MATCH(E254,FinishedData!$A:$A,0)),"")</f>
        <v>900</v>
      </c>
      <c r="F257" s="45">
        <f t="array" ref="F257">IFERROR(INDEX(FinishedData!$C:$C,MATCH(F254,FinishedData!$A:$A,0)),"")</f>
        <v>765</v>
      </c>
      <c r="G257" s="45">
        <f t="array" ref="G257">IFERROR(INDEX(FinishedData!$C:$C,MATCH(G254,FinishedData!$A:$A,0)),"")</f>
        <v>535</v>
      </c>
      <c r="H257" s="2"/>
      <c r="I257" s="46" t="str">
        <f>IF(A254="","","CHANGE")</f>
        <v>CHANGE</v>
      </c>
      <c r="J257" s="47">
        <f>IFERROR(IF(A254="","",(J256-I256)/I256),"")</f>
        <v>0.2662337662</v>
      </c>
      <c r="K257" s="2"/>
      <c r="L257" s="2"/>
      <c r="M257" s="2"/>
      <c r="N257" s="2"/>
      <c r="O257" s="2"/>
      <c r="P257" s="2"/>
      <c r="Q257" s="2"/>
      <c r="R257" s="2"/>
      <c r="S257" s="2"/>
      <c r="T257" s="2"/>
      <c r="U257" s="2"/>
      <c r="V257" s="2"/>
      <c r="W257" s="2"/>
      <c r="X257" s="2"/>
      <c r="Y257" s="2"/>
      <c r="Z257" s="2"/>
    </row>
    <row r="258" ht="22.5" customHeight="1">
      <c r="A258" s="49">
        <f>IF(G254&gt;=$D$3,"",G254+1)</f>
        <v>44976</v>
      </c>
      <c r="B258" s="49">
        <f t="shared" ref="B258:G258" si="64">IF(A258&gt;=$D$3,"",A258+1)</f>
        <v>44977</v>
      </c>
      <c r="C258" s="49">
        <f t="shared" si="64"/>
        <v>44978</v>
      </c>
      <c r="D258" s="49">
        <f t="shared" si="64"/>
        <v>44979</v>
      </c>
      <c r="E258" s="49">
        <f t="shared" si="64"/>
        <v>44980</v>
      </c>
      <c r="F258" s="49">
        <f t="shared" si="64"/>
        <v>44981</v>
      </c>
      <c r="G258" s="49">
        <f t="shared" si="64"/>
        <v>44982</v>
      </c>
      <c r="H258" s="2"/>
      <c r="I258" s="7"/>
      <c r="J258" s="7"/>
      <c r="K258" s="2"/>
      <c r="L258" s="2"/>
      <c r="M258" s="2"/>
      <c r="N258" s="2"/>
      <c r="O258" s="2"/>
      <c r="P258" s="2"/>
      <c r="Q258" s="2"/>
      <c r="R258" s="2"/>
      <c r="S258" s="2"/>
      <c r="T258" s="2"/>
      <c r="U258" s="2"/>
      <c r="V258" s="2"/>
      <c r="W258" s="2"/>
      <c r="X258" s="2"/>
      <c r="Y258" s="2"/>
      <c r="Z258" s="2"/>
    </row>
    <row r="259" ht="22.5" customHeight="1">
      <c r="A259" s="42" t="str">
        <f t="array" ref="A259">IFERROR(INDEX(Lists!$B:$B,MATCH(A260,Lists!$A:$A,0)),"")</f>
        <v/>
      </c>
      <c r="B259" s="42" t="str">
        <f t="array" ref="B259">IFERROR(INDEX(Lists!$B:$B,MATCH(B260,Lists!$A:$A,0)),"")</f>
        <v/>
      </c>
      <c r="C259" s="42" t="str">
        <f t="array" ref="C259">IFERROR(INDEX(Lists!$B:$B,MATCH(C260,Lists!$A:$A,0)),"")</f>
        <v/>
      </c>
      <c r="D259" s="42" t="str">
        <f t="array" ref="D259">IFERROR(INDEX(Lists!$B:$B,MATCH(D260,Lists!$A:$A,0)),"")</f>
        <v/>
      </c>
      <c r="E259" s="42" t="str">
        <f t="array" ref="E259">IFERROR(INDEX(Lists!$B:$B,MATCH(E260,Lists!$A:$A,0)),"")</f>
        <v/>
      </c>
      <c r="F259" s="42" t="str">
        <f t="array" ref="F259">IFERROR(INDEX(Lists!$B:$B,MATCH(F260,Lists!$A:$A,0)),"")</f>
        <v/>
      </c>
      <c r="G259" s="42" t="str">
        <f t="array" ref="G259">IFERROR(INDEX(Lists!$B:$B,MATCH(G260,Lists!$A:$A,0)),"")</f>
        <v/>
      </c>
      <c r="H259" s="2"/>
      <c r="I259" s="43" t="str">
        <f>IF(A258="","","Week of "&amp;TEXT(A258-7,"MM/DD"))</f>
        <v>Week of 02/12</v>
      </c>
      <c r="J259" s="43" t="str">
        <f>IF(A258="","","Week of "&amp;TEXT(A258,"MM/DD"))</f>
        <v>Week of 02/19</v>
      </c>
      <c r="K259" s="2"/>
      <c r="L259" s="2"/>
      <c r="M259" s="2"/>
      <c r="N259" s="2"/>
      <c r="O259" s="2"/>
      <c r="P259" s="2"/>
      <c r="Q259" s="2"/>
      <c r="R259" s="2"/>
      <c r="S259" s="2"/>
      <c r="T259" s="2"/>
      <c r="U259" s="2"/>
      <c r="V259" s="2"/>
      <c r="W259" s="2"/>
      <c r="X259" s="2"/>
      <c r="Y259" s="2"/>
      <c r="Z259" s="2"/>
    </row>
    <row r="260" ht="22.5" customHeight="1">
      <c r="A260" s="42" t="str">
        <f t="array" ref="A260">IFERROR(INDEX(FinishedData!$B:$B,MATCH(A258,FinishedData!$A:$A,0)),"")</f>
        <v>Off</v>
      </c>
      <c r="B260" s="42" t="str">
        <f t="array" ref="B260">IFERROR(INDEX(FinishedData!$B:$B,MATCH(B258,FinishedData!$A:$A,0)),"")</f>
        <v>Gym</v>
      </c>
      <c r="C260" s="42" t="str">
        <f t="array" ref="C260">IFERROR(INDEX(FinishedData!$B:$B,MATCH(C258,FinishedData!$A:$A,0)),"")</f>
        <v>Practice</v>
      </c>
      <c r="D260" s="42" t="str">
        <f t="array" ref="D260">IFERROR(INDEX(FinishedData!$B:$B,MATCH(D258,FinishedData!$A:$A,0)),"")</f>
        <v>Practice</v>
      </c>
      <c r="E260" s="42" t="str">
        <f t="array" ref="E260">IFERROR(INDEX(FinishedData!$B:$B,MATCH(E258,FinishedData!$A:$A,0)),"")</f>
        <v>Practice</v>
      </c>
      <c r="F260" s="42" t="str">
        <f t="array" ref="F260">IFERROR(INDEX(FinishedData!$B:$B,MATCH(F258,FinishedData!$A:$A,0)),"")</f>
        <v>Game</v>
      </c>
      <c r="G260" s="42" t="str">
        <f t="array" ref="G260">IFERROR(INDEX(FinishedData!$B:$B,MATCH(G258,FinishedData!$A:$A,0)),"")</f>
        <v>Game</v>
      </c>
      <c r="H260" s="2"/>
      <c r="I260" s="13">
        <f>IFERROR(IF(A258="","",IF(G258="",SUMIFS(FinishedData!$C:$C,FinishedData!$A:$A,"&gt;="&amp;MIN($A258:$G258)-7,FinishedData!$A:$A,"&lt;="&amp;MAX($A258:$G258)+(7-COUNT($A258:$G258)-7)),
SUMIFS(FinishedData!$C:$C,FinishedData!$A:$A,"&gt;="&amp;MIN($A258:$G258)-7,FinishedData!$A:$A,"&lt;="&amp;MAX($A258:$G258)-7))),"")</f>
        <v>4875</v>
      </c>
      <c r="J260" s="13">
        <f>IFERROR(IF(A258="","",SUMIFS(FinishedData!$C:$C,FinishedData!$A:$A,"&gt;="&amp;MIN($A258:$G258),FinishedData!$A:$A,"&lt;="&amp;MAX($A258:$G258))),"")</f>
        <v>4485</v>
      </c>
      <c r="K260" s="2"/>
      <c r="L260" s="2"/>
      <c r="M260" s="2"/>
      <c r="N260" s="2"/>
      <c r="O260" s="2"/>
      <c r="P260" s="2"/>
      <c r="Q260" s="2"/>
      <c r="R260" s="2"/>
      <c r="S260" s="2"/>
      <c r="T260" s="2"/>
      <c r="U260" s="2"/>
      <c r="V260" s="2"/>
      <c r="W260" s="2"/>
      <c r="X260" s="2"/>
      <c r="Y260" s="2"/>
      <c r="Z260" s="2"/>
    </row>
    <row r="261" ht="22.5" customHeight="1">
      <c r="A261" s="45" t="str">
        <f t="array" ref="A261">IFERROR(INDEX(FinishedData!$C:$C,MATCH(A258,FinishedData!$A:$A,0)),"")</f>
        <v/>
      </c>
      <c r="B261" s="45">
        <f t="array" ref="B261">IFERROR(INDEX(FinishedData!$C:$C,MATCH(B258,FinishedData!$A:$A,0)),"")</f>
        <v>570</v>
      </c>
      <c r="C261" s="45">
        <f t="array" ref="C261">IFERROR(INDEX(FinishedData!$C:$C,MATCH(C258,FinishedData!$A:$A,0)),"")</f>
        <v>935</v>
      </c>
      <c r="D261" s="45">
        <f t="array" ref="D261">IFERROR(INDEX(FinishedData!$C:$C,MATCH(D258,FinishedData!$A:$A,0)),"")</f>
        <v>980</v>
      </c>
      <c r="E261" s="45">
        <f t="array" ref="E261">IFERROR(INDEX(FinishedData!$C:$C,MATCH(E258,FinishedData!$A:$A,0)),"")</f>
        <v>620</v>
      </c>
      <c r="F261" s="45">
        <f t="array" ref="F261">IFERROR(INDEX(FinishedData!$C:$C,MATCH(F258,FinishedData!$A:$A,0)),"")</f>
        <v>825</v>
      </c>
      <c r="G261" s="45">
        <f t="array" ref="G261">IFERROR(INDEX(FinishedData!$C:$C,MATCH(G258,FinishedData!$A:$A,0)),"")</f>
        <v>555</v>
      </c>
      <c r="H261" s="2"/>
      <c r="I261" s="46" t="str">
        <f>IF(A258="","","CHANGE")</f>
        <v>CHANGE</v>
      </c>
      <c r="J261" s="47">
        <f>IFERROR(IF(A258="","",(J260-I260)/I260),"")</f>
        <v>-0.08</v>
      </c>
      <c r="K261" s="2"/>
      <c r="L261" s="2"/>
      <c r="M261" s="2"/>
      <c r="N261" s="2"/>
      <c r="O261" s="2"/>
      <c r="P261" s="2"/>
      <c r="Q261" s="2"/>
      <c r="R261" s="2"/>
      <c r="S261" s="2"/>
      <c r="T261" s="2"/>
      <c r="U261" s="2"/>
      <c r="V261" s="2"/>
      <c r="W261" s="2"/>
      <c r="X261" s="2"/>
      <c r="Y261" s="2"/>
      <c r="Z261" s="2"/>
    </row>
    <row r="262" ht="22.5" customHeight="1">
      <c r="A262" s="49">
        <f>IF(G258&gt;=$D$3,"",G258+1)</f>
        <v>44983</v>
      </c>
      <c r="B262" s="49">
        <f t="shared" ref="B262:G262" si="65">IF(A262&gt;=$D$3,"",A262+1)</f>
        <v>44984</v>
      </c>
      <c r="C262" s="49">
        <f t="shared" si="65"/>
        <v>44985</v>
      </c>
      <c r="D262" s="49">
        <f t="shared" si="65"/>
        <v>44986</v>
      </c>
      <c r="E262" s="49">
        <f t="shared" si="65"/>
        <v>44987</v>
      </c>
      <c r="F262" s="49">
        <f t="shared" si="65"/>
        <v>44988</v>
      </c>
      <c r="G262" s="49">
        <f t="shared" si="65"/>
        <v>44989</v>
      </c>
      <c r="H262" s="2"/>
      <c r="I262" s="7"/>
      <c r="J262" s="7"/>
      <c r="K262" s="2"/>
      <c r="L262" s="2"/>
      <c r="M262" s="2"/>
      <c r="N262" s="2"/>
      <c r="O262" s="2"/>
      <c r="P262" s="2"/>
      <c r="Q262" s="2"/>
      <c r="R262" s="2"/>
      <c r="S262" s="2"/>
      <c r="T262" s="2"/>
      <c r="U262" s="2"/>
      <c r="V262" s="2"/>
      <c r="W262" s="2"/>
      <c r="X262" s="2"/>
      <c r="Y262" s="2"/>
      <c r="Z262" s="2"/>
    </row>
    <row r="263" ht="22.5" customHeight="1">
      <c r="A263" s="42" t="str">
        <f t="array" ref="A263">IFERROR(INDEX(Lists!$B:$B,MATCH(A264,Lists!$A:$A,0)),"")</f>
        <v/>
      </c>
      <c r="B263" s="42" t="str">
        <f t="array" ref="B263">IFERROR(INDEX(Lists!$B:$B,MATCH(B264,Lists!$A:$A,0)),"")</f>
        <v/>
      </c>
      <c r="C263" s="42" t="str">
        <f t="array" ref="C263">IFERROR(INDEX(Lists!$B:$B,MATCH(C264,Lists!$A:$A,0)),"")</f>
        <v/>
      </c>
      <c r="D263" s="42" t="str">
        <f t="array" ref="D263">IFERROR(INDEX(Lists!$B:$B,MATCH(D264,Lists!$A:$A,0)),"")</f>
        <v/>
      </c>
      <c r="E263" s="42" t="str">
        <f t="array" ref="E263">IFERROR(INDEX(Lists!$B:$B,MATCH(E264,Lists!$A:$A,0)),"")</f>
        <v/>
      </c>
      <c r="F263" s="42" t="str">
        <f t="array" ref="F263">IFERROR(INDEX(Lists!$B:$B,MATCH(F264,Lists!$A:$A,0)),"")</f>
        <v/>
      </c>
      <c r="G263" s="42" t="str">
        <f t="array" ref="G263">IFERROR(INDEX(Lists!$B:$B,MATCH(G264,Lists!$A:$A,0)),"")</f>
        <v/>
      </c>
      <c r="H263" s="2"/>
      <c r="I263" s="43" t="str">
        <f>IF(A262="","","Week of "&amp;TEXT(A262-7,"MM/DD"))</f>
        <v>Week of 02/19</v>
      </c>
      <c r="J263" s="43" t="str">
        <f>IF(A262="","","Week of "&amp;TEXT(A262,"MM/DD"))</f>
        <v>Week of 02/26</v>
      </c>
      <c r="K263" s="2"/>
      <c r="L263" s="2"/>
      <c r="M263" s="2"/>
      <c r="N263" s="2"/>
      <c r="O263" s="2"/>
      <c r="P263" s="2"/>
      <c r="Q263" s="2"/>
      <c r="R263" s="2"/>
      <c r="S263" s="2"/>
      <c r="T263" s="2"/>
      <c r="U263" s="2"/>
      <c r="V263" s="2"/>
      <c r="W263" s="2"/>
      <c r="X263" s="2"/>
      <c r="Y263" s="2"/>
      <c r="Z263" s="2"/>
    </row>
    <row r="264" ht="22.5" customHeight="1">
      <c r="A264" s="42" t="str">
        <f t="array" ref="A264">IFERROR(INDEX(FinishedData!$B:$B,MATCH(A262,FinishedData!$A:$A,0)),"")</f>
        <v>Off</v>
      </c>
      <c r="B264" s="42" t="str">
        <f t="array" ref="B264">IFERROR(INDEX(FinishedData!$B:$B,MATCH(B262,FinishedData!$A:$A,0)),"")</f>
        <v>Practice</v>
      </c>
      <c r="C264" s="42" t="str">
        <f t="array" ref="C264">IFERROR(INDEX(FinishedData!$B:$B,MATCH(C262,FinishedData!$A:$A,0)),"")</f>
        <v>Game</v>
      </c>
      <c r="D264" s="42" t="str">
        <f t="array" ref="D264">IFERROR(INDEX(FinishedData!$B:$B,MATCH(D262,FinishedData!$A:$A,0)),"")</f>
        <v>Practice</v>
      </c>
      <c r="E264" s="42" t="str">
        <f t="array" ref="E264">IFERROR(INDEX(FinishedData!$B:$B,MATCH(E262,FinishedData!$A:$A,0)),"")</f>
        <v>Practice</v>
      </c>
      <c r="F264" s="42" t="str">
        <f t="array" ref="F264">IFERROR(INDEX(FinishedData!$B:$B,MATCH(F262,FinishedData!$A:$A,0)),"")</f>
        <v>Practice</v>
      </c>
      <c r="G264" s="42" t="str">
        <f t="array" ref="G264">IFERROR(INDEX(FinishedData!$B:$B,MATCH(G262,FinishedData!$A:$A,0)),"")</f>
        <v>Game</v>
      </c>
      <c r="H264" s="2"/>
      <c r="I264" s="13">
        <f>IFERROR(IF(A262="","",IF(G262="",SUMIFS(FinishedData!$C:$C,FinishedData!$A:$A,"&gt;="&amp;MIN($A262:$G262)-7,FinishedData!$A:$A,"&lt;="&amp;MAX($A262:$G262)+(7-COUNT($A262:$G262)-7)),
SUMIFS(FinishedData!$C:$C,FinishedData!$A:$A,"&gt;="&amp;MIN($A262:$G262)-7,FinishedData!$A:$A,"&lt;="&amp;MAX($A262:$G262)-7))),"")</f>
        <v>4485</v>
      </c>
      <c r="J264" s="13">
        <f>IFERROR(IF(A262="","",SUMIFS(FinishedData!$C:$C,FinishedData!$A:$A,"&gt;="&amp;MIN($A262:$G262),FinishedData!$A:$A,"&lt;="&amp;MAX($A262:$G262))),"")</f>
        <v>5300</v>
      </c>
      <c r="K264" s="2"/>
      <c r="L264" s="2"/>
      <c r="M264" s="2"/>
      <c r="N264" s="2"/>
      <c r="O264" s="2"/>
      <c r="P264" s="2"/>
      <c r="Q264" s="2"/>
      <c r="R264" s="2"/>
      <c r="S264" s="2"/>
      <c r="T264" s="2"/>
      <c r="U264" s="2"/>
      <c r="V264" s="2"/>
      <c r="W264" s="2"/>
      <c r="X264" s="2"/>
      <c r="Y264" s="2"/>
      <c r="Z264" s="2"/>
    </row>
    <row r="265" ht="22.5" customHeight="1">
      <c r="A265" s="45" t="str">
        <f t="array" ref="A265">IFERROR(INDEX(FinishedData!$C:$C,MATCH(A262,FinishedData!$A:$A,0)),"")</f>
        <v/>
      </c>
      <c r="B265" s="45">
        <f t="array" ref="B265">IFERROR(INDEX(FinishedData!$C:$C,MATCH(B262,FinishedData!$A:$A,0)),"")</f>
        <v>935</v>
      </c>
      <c r="C265" s="45">
        <f t="array" ref="C265">IFERROR(INDEX(FinishedData!$C:$C,MATCH(C262,FinishedData!$A:$A,0)),"")</f>
        <v>960</v>
      </c>
      <c r="D265" s="45">
        <f t="array" ref="D265">IFERROR(INDEX(FinishedData!$C:$C,MATCH(D262,FinishedData!$A:$A,0)),"")</f>
        <v>850</v>
      </c>
      <c r="E265" s="45">
        <f t="array" ref="E265">IFERROR(INDEX(FinishedData!$C:$C,MATCH(E262,FinishedData!$A:$A,0)),"")</f>
        <v>770</v>
      </c>
      <c r="F265" s="45">
        <f t="array" ref="F265">IFERROR(INDEX(FinishedData!$C:$C,MATCH(F262,FinishedData!$A:$A,0)),"")</f>
        <v>960</v>
      </c>
      <c r="G265" s="45">
        <f t="array" ref="G265">IFERROR(INDEX(FinishedData!$C:$C,MATCH(G262,FinishedData!$A:$A,0)),"")</f>
        <v>825</v>
      </c>
      <c r="H265" s="2"/>
      <c r="I265" s="46" t="str">
        <f>IF(A262="","","CHANGE")</f>
        <v>CHANGE</v>
      </c>
      <c r="J265" s="47">
        <f>IFERROR(IF(A262="","",(J264-I264)/I264),"")</f>
        <v>0.1817168339</v>
      </c>
      <c r="K265" s="2"/>
      <c r="L265" s="2"/>
      <c r="M265" s="2"/>
      <c r="N265" s="2"/>
      <c r="O265" s="2"/>
      <c r="P265" s="2"/>
      <c r="Q265" s="2"/>
      <c r="R265" s="2"/>
      <c r="S265" s="2"/>
      <c r="T265" s="2"/>
      <c r="U265" s="2"/>
      <c r="V265" s="2"/>
      <c r="W265" s="2"/>
      <c r="X265" s="2"/>
      <c r="Y265" s="2"/>
      <c r="Z265" s="2"/>
    </row>
    <row r="266" ht="22.5" customHeight="1">
      <c r="A266" s="49">
        <f>IF(G262&gt;=$D$3,"",G262+1)</f>
        <v>44990</v>
      </c>
      <c r="B266" s="49">
        <f t="shared" ref="B266:G266" si="66">IF(A266&gt;=$D$3,"",A266+1)</f>
        <v>44991</v>
      </c>
      <c r="C266" s="49">
        <f t="shared" si="66"/>
        <v>44992</v>
      </c>
      <c r="D266" s="49">
        <f t="shared" si="66"/>
        <v>44993</v>
      </c>
      <c r="E266" s="49">
        <f t="shared" si="66"/>
        <v>44994</v>
      </c>
      <c r="F266" s="49">
        <f t="shared" si="66"/>
        <v>44995</v>
      </c>
      <c r="G266" s="49">
        <f t="shared" si="66"/>
        <v>44996</v>
      </c>
      <c r="H266" s="2"/>
      <c r="I266" s="7"/>
      <c r="J266" s="7"/>
      <c r="K266" s="2"/>
      <c r="L266" s="2"/>
      <c r="M266" s="2"/>
      <c r="N266" s="2"/>
      <c r="O266" s="2"/>
      <c r="P266" s="2"/>
      <c r="Q266" s="2"/>
      <c r="R266" s="2"/>
      <c r="S266" s="2"/>
      <c r="T266" s="2"/>
      <c r="U266" s="2"/>
      <c r="V266" s="2"/>
      <c r="W266" s="2"/>
      <c r="X266" s="2"/>
      <c r="Y266" s="2"/>
      <c r="Z266" s="2"/>
    </row>
    <row r="267" ht="22.5" customHeight="1">
      <c r="A267" s="42" t="str">
        <f t="array" ref="A267">IFERROR(INDEX(Lists!$B:$B,MATCH(A268,Lists!$A:$A,0)),"")</f>
        <v/>
      </c>
      <c r="B267" s="42" t="str">
        <f t="array" ref="B267">IFERROR(INDEX(Lists!$B:$B,MATCH(B268,Lists!$A:$A,0)),"")</f>
        <v/>
      </c>
      <c r="C267" s="42" t="str">
        <f t="array" ref="C267">IFERROR(INDEX(Lists!$B:$B,MATCH(C268,Lists!$A:$A,0)),"")</f>
        <v/>
      </c>
      <c r="D267" s="42" t="str">
        <f t="array" ref="D267">IFERROR(INDEX(Lists!$B:$B,MATCH(D268,Lists!$A:$A,0)),"")</f>
        <v/>
      </c>
      <c r="E267" s="42" t="str">
        <f t="array" ref="E267">IFERROR(INDEX(Lists!$B:$B,MATCH(E268,Lists!$A:$A,0)),"")</f>
        <v/>
      </c>
      <c r="F267" s="42" t="str">
        <f t="array" ref="F267">IFERROR(INDEX(Lists!$B:$B,MATCH(F268,Lists!$A:$A,0)),"")</f>
        <v/>
      </c>
      <c r="G267" s="42" t="str">
        <f t="array" ref="G267">IFERROR(INDEX(Lists!$B:$B,MATCH(G268,Lists!$A:$A,0)),"")</f>
        <v/>
      </c>
      <c r="H267" s="2"/>
      <c r="I267" s="43" t="str">
        <f>IF(A266="","","Week of "&amp;TEXT(A266-7,"MM/DD"))</f>
        <v>Week of 02/26</v>
      </c>
      <c r="J267" s="43" t="str">
        <f>IF(A266="","","Week of "&amp;TEXT(A266,"MM/DD"))</f>
        <v>Week of 03/05</v>
      </c>
      <c r="K267" s="2"/>
      <c r="L267" s="2"/>
      <c r="M267" s="2"/>
      <c r="N267" s="2"/>
      <c r="O267" s="2"/>
      <c r="P267" s="2"/>
      <c r="Q267" s="2"/>
      <c r="R267" s="2"/>
      <c r="S267" s="2"/>
      <c r="T267" s="2"/>
      <c r="U267" s="2"/>
      <c r="V267" s="2"/>
      <c r="W267" s="2"/>
      <c r="X267" s="2"/>
      <c r="Y267" s="2"/>
      <c r="Z267" s="2"/>
    </row>
    <row r="268" ht="22.5" customHeight="1">
      <c r="A268" s="42" t="str">
        <f t="array" ref="A268">IFERROR(INDEX(FinishedData!$B:$B,MATCH(A266,FinishedData!$A:$A,0)),"")</f>
        <v>Practice</v>
      </c>
      <c r="B268" s="42" t="str">
        <f t="array" ref="B268">IFERROR(INDEX(FinishedData!$B:$B,MATCH(B266,FinishedData!$A:$A,0)),"")</f>
        <v>Practice</v>
      </c>
      <c r="C268" s="42" t="str">
        <f t="array" ref="C268">IFERROR(INDEX(FinishedData!$B:$B,MATCH(C266,FinishedData!$A:$A,0)),"")</f>
        <v>Game</v>
      </c>
      <c r="D268" s="42" t="str">
        <f t="array" ref="D268">IFERROR(INDEX(FinishedData!$B:$B,MATCH(D266,FinishedData!$A:$A,0)),"")</f>
        <v>Off</v>
      </c>
      <c r="E268" s="42" t="str">
        <f t="array" ref="E268">IFERROR(INDEX(FinishedData!$B:$B,MATCH(E266,FinishedData!$A:$A,0)),"")</f>
        <v>Practice</v>
      </c>
      <c r="F268" s="42" t="str">
        <f t="array" ref="F268">IFERROR(INDEX(FinishedData!$B:$B,MATCH(F266,FinishedData!$A:$A,0)),"")</f>
        <v>Gym</v>
      </c>
      <c r="G268" s="42" t="str">
        <f t="array" ref="G268">IFERROR(INDEX(FinishedData!$B:$B,MATCH(G266,FinishedData!$A:$A,0)),"")</f>
        <v>Practice</v>
      </c>
      <c r="H268" s="2"/>
      <c r="I268" s="13">
        <f>IFERROR(IF(A266="","",IF(G266="",SUMIFS(FinishedData!$C:$C,FinishedData!$A:$A,"&gt;="&amp;MIN($A266:$G266)-7,FinishedData!$A:$A,"&lt;="&amp;MAX($A266:$G266)+(7-COUNT($A266:$G266)-7)),
SUMIFS(FinishedData!$C:$C,FinishedData!$A:$A,"&gt;="&amp;MIN($A266:$G266)-7,FinishedData!$A:$A,"&lt;="&amp;MAX($A266:$G266)-7))),"")</f>
        <v>5300</v>
      </c>
      <c r="J268" s="13">
        <f>IFERROR(IF(A266="","",SUMIFS(FinishedData!$C:$C,FinishedData!$A:$A,"&gt;="&amp;MIN($A266:$G266),FinishedData!$A:$A,"&lt;="&amp;MAX($A266:$G266))),"")</f>
        <v>4350</v>
      </c>
      <c r="K268" s="2"/>
      <c r="L268" s="2"/>
      <c r="M268" s="2"/>
      <c r="N268" s="2"/>
      <c r="O268" s="2"/>
      <c r="P268" s="2"/>
      <c r="Q268" s="2"/>
      <c r="R268" s="2"/>
      <c r="S268" s="2"/>
      <c r="T268" s="2"/>
      <c r="U268" s="2"/>
      <c r="V268" s="2"/>
      <c r="W268" s="2"/>
      <c r="X268" s="2"/>
      <c r="Y268" s="2"/>
      <c r="Z268" s="2"/>
    </row>
    <row r="269" ht="22.5" customHeight="1">
      <c r="A269" s="45">
        <f t="array" ref="A269">IFERROR(INDEX(FinishedData!$C:$C,MATCH(A266,FinishedData!$A:$A,0)),"")</f>
        <v>660</v>
      </c>
      <c r="B269" s="45">
        <f t="array" ref="B269">IFERROR(INDEX(FinishedData!$C:$C,MATCH(B266,FinishedData!$A:$A,0)),"")</f>
        <v>665</v>
      </c>
      <c r="C269" s="45">
        <f t="array" ref="C269">IFERROR(INDEX(FinishedData!$C:$C,MATCH(C266,FinishedData!$A:$A,0)),"")</f>
        <v>885</v>
      </c>
      <c r="D269" s="45" t="str">
        <f t="array" ref="D269">IFERROR(INDEX(FinishedData!$C:$C,MATCH(D266,FinishedData!$A:$A,0)),"")</f>
        <v/>
      </c>
      <c r="E269" s="45">
        <f t="array" ref="E269">IFERROR(INDEX(FinishedData!$C:$C,MATCH(E266,FinishedData!$A:$A,0)),"")</f>
        <v>535</v>
      </c>
      <c r="F269" s="45">
        <f t="array" ref="F269">IFERROR(INDEX(FinishedData!$C:$C,MATCH(F266,FinishedData!$A:$A,0)),"")</f>
        <v>635</v>
      </c>
      <c r="G269" s="45">
        <f t="array" ref="G269">IFERROR(INDEX(FinishedData!$C:$C,MATCH(G266,FinishedData!$A:$A,0)),"")</f>
        <v>970</v>
      </c>
      <c r="H269" s="2"/>
      <c r="I269" s="46" t="str">
        <f>IF(A266="","","CHANGE")</f>
        <v>CHANGE</v>
      </c>
      <c r="J269" s="47">
        <f>IFERROR(IF(A266="","",(J268-I268)/I268),"")</f>
        <v>-0.179245283</v>
      </c>
      <c r="K269" s="2"/>
      <c r="L269" s="2"/>
      <c r="M269" s="2"/>
      <c r="N269" s="2"/>
      <c r="O269" s="2"/>
      <c r="P269" s="2"/>
      <c r="Q269" s="2"/>
      <c r="R269" s="2"/>
      <c r="S269" s="2"/>
      <c r="T269" s="2"/>
      <c r="U269" s="2"/>
      <c r="V269" s="2"/>
      <c r="W269" s="2"/>
      <c r="X269" s="2"/>
      <c r="Y269" s="2"/>
      <c r="Z269" s="2"/>
    </row>
    <row r="270" ht="22.5" customHeight="1">
      <c r="A270" s="49">
        <f>IF(G266&gt;=$D$3,"",G266+1)</f>
        <v>44997</v>
      </c>
      <c r="B270" s="49">
        <f t="shared" ref="B270:G270" si="67">IF(A270&gt;=$D$3,"",A270+1)</f>
        <v>44998</v>
      </c>
      <c r="C270" s="49">
        <f t="shared" si="67"/>
        <v>44999</v>
      </c>
      <c r="D270" s="49">
        <f t="shared" si="67"/>
        <v>45000</v>
      </c>
      <c r="E270" s="49">
        <f t="shared" si="67"/>
        <v>45001</v>
      </c>
      <c r="F270" s="49">
        <f t="shared" si="67"/>
        <v>45002</v>
      </c>
      <c r="G270" s="49">
        <f t="shared" si="67"/>
        <v>45003</v>
      </c>
      <c r="H270" s="2"/>
      <c r="I270" s="2"/>
      <c r="J270" s="2"/>
      <c r="K270" s="2"/>
      <c r="L270" s="2"/>
      <c r="M270" s="2"/>
      <c r="N270" s="2"/>
      <c r="O270" s="2"/>
      <c r="P270" s="2"/>
      <c r="Q270" s="2"/>
      <c r="R270" s="2"/>
      <c r="S270" s="2"/>
      <c r="T270" s="2"/>
      <c r="U270" s="2"/>
      <c r="V270" s="2"/>
      <c r="W270" s="2"/>
      <c r="X270" s="2"/>
      <c r="Y270" s="2"/>
      <c r="Z270" s="2"/>
    </row>
    <row r="271" ht="22.5" customHeight="1">
      <c r="A271" s="42" t="str">
        <f t="array" ref="A271">IFERROR(INDEX(Lists!$B:$B,MATCH(A272,Lists!$A:$A,0)),"")</f>
        <v/>
      </c>
      <c r="B271" s="42" t="str">
        <f t="array" ref="B271">IFERROR(INDEX(Lists!$B:$B,MATCH(B272,Lists!$A:$A,0)),"")</f>
        <v/>
      </c>
      <c r="C271" s="42" t="str">
        <f t="array" ref="C271">IFERROR(INDEX(Lists!$B:$B,MATCH(C272,Lists!$A:$A,0)),"")</f>
        <v/>
      </c>
      <c r="D271" s="42" t="str">
        <f t="array" ref="D271">IFERROR(INDEX(Lists!$B:$B,MATCH(D272,Lists!$A:$A,0)),"")</f>
        <v/>
      </c>
      <c r="E271" s="42" t="str">
        <f t="array" ref="E271">IFERROR(INDEX(Lists!$B:$B,MATCH(E272,Lists!$A:$A,0)),"")</f>
        <v/>
      </c>
      <c r="F271" s="42" t="str">
        <f t="array" ref="F271">IFERROR(INDEX(Lists!$B:$B,MATCH(F272,Lists!$A:$A,0)),"")</f>
        <v/>
      </c>
      <c r="G271" s="42" t="str">
        <f t="array" ref="G271">IFERROR(INDEX(Lists!$B:$B,MATCH(G272,Lists!$A:$A,0)),"")</f>
        <v/>
      </c>
      <c r="H271" s="2"/>
      <c r="I271" s="43" t="str">
        <f>IF(A270="","","Week of "&amp;TEXT(A270-7,"MM/DD"))</f>
        <v>Week of 03/05</v>
      </c>
      <c r="J271" s="43" t="str">
        <f>IF(A270="","","Week of "&amp;TEXT(A270,"MM/DD"))</f>
        <v>Week of 03/12</v>
      </c>
      <c r="K271" s="2"/>
      <c r="L271" s="2"/>
      <c r="M271" s="2"/>
      <c r="N271" s="2"/>
      <c r="O271" s="2"/>
      <c r="P271" s="2"/>
      <c r="Q271" s="2"/>
      <c r="R271" s="2"/>
      <c r="S271" s="2"/>
      <c r="T271" s="2"/>
      <c r="U271" s="2"/>
      <c r="V271" s="2"/>
      <c r="W271" s="2"/>
      <c r="X271" s="2"/>
      <c r="Y271" s="2"/>
      <c r="Z271" s="2"/>
    </row>
    <row r="272" ht="22.5" customHeight="1">
      <c r="A272" s="42" t="str">
        <f t="array" ref="A272">IFERROR(INDEX(FinishedData!$B:$B,MATCH(A270,FinishedData!$A:$A,0)),"")</f>
        <v>Practice</v>
      </c>
      <c r="B272" s="42" t="str">
        <f t="array" ref="B272">IFERROR(INDEX(FinishedData!$B:$B,MATCH(B270,FinishedData!$A:$A,0)),"")</f>
        <v>Practice</v>
      </c>
      <c r="C272" s="42" t="str">
        <f t="array" ref="C272">IFERROR(INDEX(FinishedData!$B:$B,MATCH(C270,FinishedData!$A:$A,0)),"")</f>
        <v>Game</v>
      </c>
      <c r="D272" s="42" t="str">
        <f t="array" ref="D272">IFERROR(INDEX(FinishedData!$B:$B,MATCH(D270,FinishedData!$A:$A,0)),"")</f>
        <v>Off</v>
      </c>
      <c r="E272" s="42" t="str">
        <f t="array" ref="E272">IFERROR(INDEX(FinishedData!$B:$B,MATCH(E270,FinishedData!$A:$A,0)),"")</f>
        <v>Practice</v>
      </c>
      <c r="F272" s="42" t="str">
        <f t="array" ref="F272">IFERROR(INDEX(FinishedData!$B:$B,MATCH(F270,FinishedData!$A:$A,0)),"")</f>
        <v>Practice</v>
      </c>
      <c r="G272" s="42" t="str">
        <f t="array" ref="G272">IFERROR(INDEX(FinishedData!$B:$B,MATCH(G270,FinishedData!$A:$A,0)),"")</f>
        <v>Practice</v>
      </c>
      <c r="H272" s="2"/>
      <c r="I272" s="13">
        <f>IFERROR(IF(A270="","",IF(G270="",SUMIFS(FinishedData!$C:$C,FinishedData!$A:$A,"&gt;="&amp;MIN($A270:$G270)-7,FinishedData!$A:$A,"&lt;="&amp;MAX($A270:$G270)+(7-COUNT($A270:$G270)-7)),
SUMIFS(FinishedData!$C:$C,FinishedData!$A:$A,"&gt;="&amp;MIN($A270:$G270)-7,FinishedData!$A:$A,"&lt;="&amp;MAX($A270:$G270)-7))),"")</f>
        <v>4350</v>
      </c>
      <c r="J272" s="13">
        <f>IFERROR(IF(A270="","",SUMIFS(FinishedData!$C:$C,FinishedData!$A:$A,"&gt;="&amp;MIN($A270:$G270),FinishedData!$A:$A,"&lt;="&amp;MAX($A270:$G270))),"")</f>
        <v>4680</v>
      </c>
      <c r="K272" s="2"/>
      <c r="L272" s="2"/>
      <c r="M272" s="2"/>
      <c r="N272" s="2"/>
      <c r="O272" s="2"/>
      <c r="P272" s="2"/>
      <c r="Q272" s="2"/>
      <c r="R272" s="2"/>
      <c r="S272" s="2"/>
      <c r="T272" s="2"/>
      <c r="U272" s="2"/>
      <c r="V272" s="2"/>
      <c r="W272" s="2"/>
      <c r="X272" s="2"/>
      <c r="Y272" s="2"/>
      <c r="Z272" s="2"/>
    </row>
    <row r="273" ht="22.5" customHeight="1">
      <c r="A273" s="45">
        <f t="array" ref="A273">IFERROR(INDEX(FinishedData!$C:$C,MATCH(A270,FinishedData!$A:$A,0)),"")</f>
        <v>770</v>
      </c>
      <c r="B273" s="45">
        <f t="array" ref="B273">IFERROR(INDEX(FinishedData!$C:$C,MATCH(B270,FinishedData!$A:$A,0)),"")</f>
        <v>750</v>
      </c>
      <c r="C273" s="45">
        <f t="array" ref="C273">IFERROR(INDEX(FinishedData!$C:$C,MATCH(C270,FinishedData!$A:$A,0)),"")</f>
        <v>535</v>
      </c>
      <c r="D273" s="45" t="str">
        <f t="array" ref="D273">IFERROR(INDEX(FinishedData!$C:$C,MATCH(D270,FinishedData!$A:$A,0)),"")</f>
        <v/>
      </c>
      <c r="E273" s="45">
        <f t="array" ref="E273">IFERROR(INDEX(FinishedData!$C:$C,MATCH(E270,FinishedData!$A:$A,0)),"")</f>
        <v>930</v>
      </c>
      <c r="F273" s="45">
        <f t="array" ref="F273">IFERROR(INDEX(FinishedData!$C:$C,MATCH(F270,FinishedData!$A:$A,0)),"")</f>
        <v>880</v>
      </c>
      <c r="G273" s="45">
        <f t="array" ref="G273">IFERROR(INDEX(FinishedData!$C:$C,MATCH(G270,FinishedData!$A:$A,0)),"")</f>
        <v>815</v>
      </c>
      <c r="H273" s="2"/>
      <c r="I273" s="46" t="str">
        <f>IF(A270="","","CHANGE")</f>
        <v>CHANGE</v>
      </c>
      <c r="J273" s="47">
        <f>IFERROR(IF(A270="","",(J272-I272)/I272),"")</f>
        <v>0.07586206897</v>
      </c>
      <c r="K273" s="2"/>
      <c r="L273" s="2"/>
      <c r="M273" s="2"/>
      <c r="N273" s="2"/>
      <c r="O273" s="2"/>
      <c r="P273" s="2"/>
      <c r="Q273" s="2"/>
      <c r="R273" s="2"/>
      <c r="S273" s="2"/>
      <c r="T273" s="2"/>
      <c r="U273" s="2"/>
      <c r="V273" s="2"/>
      <c r="W273" s="2"/>
      <c r="X273" s="2"/>
      <c r="Y273" s="2"/>
      <c r="Z273" s="2"/>
    </row>
    <row r="274" ht="22.5" customHeight="1">
      <c r="A274" s="49">
        <f>IF(G270&gt;=$D$3,"",G270+1)</f>
        <v>45004</v>
      </c>
      <c r="B274" s="49">
        <f t="shared" ref="B274:G274" si="68">IF(A274&gt;=$D$3,"",A274+1)</f>
        <v>45005</v>
      </c>
      <c r="C274" s="49">
        <f t="shared" si="68"/>
        <v>45006</v>
      </c>
      <c r="D274" s="49">
        <f t="shared" si="68"/>
        <v>45007</v>
      </c>
      <c r="E274" s="49">
        <f t="shared" si="68"/>
        <v>45008</v>
      </c>
      <c r="F274" s="49">
        <f t="shared" si="68"/>
        <v>45009</v>
      </c>
      <c r="G274" s="49">
        <f t="shared" si="68"/>
        <v>45010</v>
      </c>
      <c r="H274" s="2"/>
      <c r="I274" s="7"/>
      <c r="J274" s="7"/>
      <c r="K274" s="2"/>
      <c r="L274" s="2"/>
      <c r="M274" s="2"/>
      <c r="N274" s="2"/>
      <c r="O274" s="2"/>
      <c r="P274" s="2"/>
      <c r="Q274" s="2"/>
      <c r="R274" s="2"/>
      <c r="S274" s="2"/>
      <c r="T274" s="2"/>
      <c r="U274" s="2"/>
      <c r="V274" s="2"/>
      <c r="W274" s="2"/>
      <c r="X274" s="2"/>
      <c r="Y274" s="2"/>
      <c r="Z274" s="2"/>
    </row>
    <row r="275" ht="22.5" customHeight="1">
      <c r="A275" s="42" t="str">
        <f t="array" ref="A275">IFERROR(INDEX(Lists!$B:$B,MATCH(A276,Lists!$A:$A,0)),"")</f>
        <v/>
      </c>
      <c r="B275" s="42" t="str">
        <f t="array" ref="B275">IFERROR(INDEX(Lists!$B:$B,MATCH(B276,Lists!$A:$A,0)),"")</f>
        <v/>
      </c>
      <c r="C275" s="42" t="str">
        <f t="array" ref="C275">IFERROR(INDEX(Lists!$B:$B,MATCH(C276,Lists!$A:$A,0)),"")</f>
        <v/>
      </c>
      <c r="D275" s="42" t="str">
        <f t="array" ref="D275">IFERROR(INDEX(Lists!$B:$B,MATCH(D276,Lists!$A:$A,0)),"")</f>
        <v/>
      </c>
      <c r="E275" s="42" t="str">
        <f t="array" ref="E275">IFERROR(INDEX(Lists!$B:$B,MATCH(E276,Lists!$A:$A,0)),"")</f>
        <v/>
      </c>
      <c r="F275" s="42" t="str">
        <f t="array" ref="F275">IFERROR(INDEX(Lists!$B:$B,MATCH(F276,Lists!$A:$A,0)),"")</f>
        <v/>
      </c>
      <c r="G275" s="42" t="str">
        <f t="array" ref="G275">IFERROR(INDEX(Lists!$B:$B,MATCH(G276,Lists!$A:$A,0)),"")</f>
        <v/>
      </c>
      <c r="H275" s="2"/>
      <c r="I275" s="43" t="str">
        <f>IF(A274="","","Week of "&amp;TEXT(A274-7,"MM/DD"))</f>
        <v>Week of 03/12</v>
      </c>
      <c r="J275" s="43" t="str">
        <f>IF(A274="","","Week of "&amp;TEXT(A274,"MM/DD"))</f>
        <v>Week of 03/19</v>
      </c>
      <c r="K275" s="2"/>
      <c r="L275" s="2"/>
      <c r="M275" s="2"/>
      <c r="N275" s="2"/>
      <c r="O275" s="2"/>
      <c r="P275" s="2"/>
      <c r="Q275" s="2"/>
      <c r="R275" s="2"/>
      <c r="S275" s="2"/>
      <c r="T275" s="2"/>
      <c r="U275" s="2"/>
      <c r="V275" s="2"/>
      <c r="W275" s="2"/>
      <c r="X275" s="2"/>
      <c r="Y275" s="2"/>
      <c r="Z275" s="2"/>
    </row>
    <row r="276" ht="22.5" customHeight="1">
      <c r="A276" s="42" t="str">
        <f t="array" ref="A276">IFERROR(INDEX(FinishedData!$B:$B,MATCH(A274,FinishedData!$A:$A,0)),"")</f>
        <v>Game</v>
      </c>
      <c r="B276" s="42" t="str">
        <f t="array" ref="B276">IFERROR(INDEX(FinishedData!$B:$B,MATCH(B274,FinishedData!$A:$A,0)),"")</f>
        <v>Off</v>
      </c>
      <c r="C276" s="42" t="str">
        <f t="array" ref="C276">IFERROR(INDEX(FinishedData!$B:$B,MATCH(C274,FinishedData!$A:$A,0)),"")</f>
        <v>Practice</v>
      </c>
      <c r="D276" s="42" t="str">
        <f t="array" ref="D276">IFERROR(INDEX(FinishedData!$B:$B,MATCH(D274,FinishedData!$A:$A,0)),"")</f>
        <v>Practice</v>
      </c>
      <c r="E276" s="42" t="str">
        <f t="array" ref="E276">IFERROR(INDEX(FinishedData!$B:$B,MATCH(E274,FinishedData!$A:$A,0)),"")</f>
        <v>Game</v>
      </c>
      <c r="F276" s="42" t="str">
        <f t="array" ref="F276">IFERROR(INDEX(FinishedData!$B:$B,MATCH(F274,FinishedData!$A:$A,0)),"")</f>
        <v>Game</v>
      </c>
      <c r="G276" s="42" t="str">
        <f t="array" ref="G276">IFERROR(INDEX(FinishedData!$B:$B,MATCH(G274,FinishedData!$A:$A,0)),"")</f>
        <v>Off</v>
      </c>
      <c r="H276" s="2"/>
      <c r="I276" s="13">
        <f>IFERROR(IF(A274="","",IF(G274="",SUMIFS(FinishedData!$C:$C,FinishedData!$A:$A,"&gt;="&amp;MIN($A274:$G274)-7,FinishedData!$A:$A,"&lt;="&amp;MAX($A274:$G274)+(7-COUNT($A274:$G274)-7)),
SUMIFS(FinishedData!$C:$C,FinishedData!$A:$A,"&gt;="&amp;MIN($A274:$G274)-7,FinishedData!$A:$A,"&lt;="&amp;MAX($A274:$G274)-7))),"")</f>
        <v>4680</v>
      </c>
      <c r="J276" s="13">
        <f>IFERROR(IF(A274="","",SUMIFS(FinishedData!$C:$C,FinishedData!$A:$A,"&gt;="&amp;MIN($A274:$G274),FinishedData!$A:$A,"&lt;="&amp;MAX($A274:$G274))),"")</f>
        <v>3810</v>
      </c>
      <c r="K276" s="2"/>
      <c r="L276" s="2"/>
      <c r="M276" s="2"/>
      <c r="N276" s="2"/>
      <c r="O276" s="2"/>
      <c r="P276" s="2"/>
      <c r="Q276" s="2"/>
      <c r="R276" s="2"/>
      <c r="S276" s="2"/>
      <c r="T276" s="2"/>
      <c r="U276" s="2"/>
      <c r="V276" s="2"/>
      <c r="W276" s="2"/>
      <c r="X276" s="2"/>
      <c r="Y276" s="2"/>
      <c r="Z276" s="2"/>
    </row>
    <row r="277" ht="22.5" customHeight="1">
      <c r="A277" s="45">
        <f t="array" ref="A277">IFERROR(INDEX(FinishedData!$C:$C,MATCH(A274,FinishedData!$A:$A,0)),"")</f>
        <v>845</v>
      </c>
      <c r="B277" s="45" t="str">
        <f t="array" ref="B277">IFERROR(INDEX(FinishedData!$C:$C,MATCH(B274,FinishedData!$A:$A,0)),"")</f>
        <v/>
      </c>
      <c r="C277" s="45">
        <f t="array" ref="C277">IFERROR(INDEX(FinishedData!$C:$C,MATCH(C274,FinishedData!$A:$A,0)),"")</f>
        <v>615</v>
      </c>
      <c r="D277" s="45">
        <f t="array" ref="D277">IFERROR(INDEX(FinishedData!$C:$C,MATCH(D274,FinishedData!$A:$A,0)),"")</f>
        <v>925</v>
      </c>
      <c r="E277" s="45">
        <f t="array" ref="E277">IFERROR(INDEX(FinishedData!$C:$C,MATCH(E274,FinishedData!$A:$A,0)),"")</f>
        <v>860</v>
      </c>
      <c r="F277" s="45">
        <f t="array" ref="F277">IFERROR(INDEX(FinishedData!$C:$C,MATCH(F274,FinishedData!$A:$A,0)),"")</f>
        <v>565</v>
      </c>
      <c r="G277" s="45" t="str">
        <f t="array" ref="G277">IFERROR(INDEX(FinishedData!$C:$C,MATCH(G274,FinishedData!$A:$A,0)),"")</f>
        <v/>
      </c>
      <c r="H277" s="2"/>
      <c r="I277" s="46" t="str">
        <f>IF(A274="","","CHANGE")</f>
        <v>CHANGE</v>
      </c>
      <c r="J277" s="47">
        <f>IFERROR(IF(A274="","",(J276-I276)/I276),"")</f>
        <v>-0.1858974359</v>
      </c>
      <c r="K277" s="2"/>
      <c r="L277" s="2"/>
      <c r="M277" s="2"/>
      <c r="N277" s="2"/>
      <c r="O277" s="2"/>
      <c r="P277" s="2"/>
      <c r="Q277" s="2"/>
      <c r="R277" s="2"/>
      <c r="S277" s="2"/>
      <c r="T277" s="2"/>
      <c r="U277" s="2"/>
      <c r="V277" s="2"/>
      <c r="W277" s="2"/>
      <c r="X277" s="2"/>
      <c r="Y277" s="2"/>
      <c r="Z277" s="2"/>
    </row>
    <row r="278" ht="22.5" customHeight="1">
      <c r="A278" s="49">
        <f>IF(G274&gt;=$D$3,"",G274+1)</f>
        <v>45011</v>
      </c>
      <c r="B278" s="49">
        <f t="shared" ref="B278:G278" si="69">IF(A278&gt;=$D$3,"",A278+1)</f>
        <v>45012</v>
      </c>
      <c r="C278" s="49">
        <f t="shared" si="69"/>
        <v>45013</v>
      </c>
      <c r="D278" s="49">
        <f t="shared" si="69"/>
        <v>45014</v>
      </c>
      <c r="E278" s="49">
        <f t="shared" si="69"/>
        <v>45015</v>
      </c>
      <c r="F278" s="49">
        <f t="shared" si="69"/>
        <v>45016</v>
      </c>
      <c r="G278" s="49">
        <f t="shared" si="69"/>
        <v>45017</v>
      </c>
      <c r="H278" s="2"/>
      <c r="I278" s="7"/>
      <c r="J278" s="7"/>
      <c r="K278" s="2"/>
      <c r="L278" s="2"/>
      <c r="M278" s="2"/>
      <c r="N278" s="2"/>
      <c r="O278" s="2"/>
      <c r="P278" s="2"/>
      <c r="Q278" s="2"/>
      <c r="R278" s="2"/>
      <c r="S278" s="2"/>
      <c r="T278" s="2"/>
      <c r="U278" s="2"/>
      <c r="V278" s="2"/>
      <c r="W278" s="2"/>
      <c r="X278" s="2"/>
      <c r="Y278" s="2"/>
      <c r="Z278" s="2"/>
    </row>
    <row r="279" ht="22.5" customHeight="1">
      <c r="A279" s="42" t="str">
        <f t="array" ref="A279">IFERROR(INDEX(Lists!$B:$B,MATCH(A280,Lists!$A:$A,0)),"")</f>
        <v/>
      </c>
      <c r="B279" s="42" t="str">
        <f t="array" ref="B279">IFERROR(INDEX(Lists!$B:$B,MATCH(B280,Lists!$A:$A,0)),"")</f>
        <v/>
      </c>
      <c r="C279" s="42" t="str">
        <f t="array" ref="C279">IFERROR(INDEX(Lists!$B:$B,MATCH(C280,Lists!$A:$A,0)),"")</f>
        <v/>
      </c>
      <c r="D279" s="42" t="str">
        <f t="array" ref="D279">IFERROR(INDEX(Lists!$B:$B,MATCH(D280,Lists!$A:$A,0)),"")</f>
        <v/>
      </c>
      <c r="E279" s="42" t="str">
        <f t="array" ref="E279">IFERROR(INDEX(Lists!$B:$B,MATCH(E280,Lists!$A:$A,0)),"")</f>
        <v/>
      </c>
      <c r="F279" s="42" t="str">
        <f t="array" ref="F279">IFERROR(INDEX(Lists!$B:$B,MATCH(F280,Lists!$A:$A,0)),"")</f>
        <v/>
      </c>
      <c r="G279" s="42" t="str">
        <f t="array" ref="G279">IFERROR(INDEX(Lists!$B:$B,MATCH(G280,Lists!$A:$A,0)),"")</f>
        <v/>
      </c>
      <c r="H279" s="2"/>
      <c r="I279" s="43" t="str">
        <f>IF(A278="","","Week of "&amp;TEXT(A278-7,"MM/DD"))</f>
        <v>Week of 03/19</v>
      </c>
      <c r="J279" s="43" t="str">
        <f>IF(A278="","","Week of "&amp;TEXT(A278,"MM/DD"))</f>
        <v>Week of 03/26</v>
      </c>
      <c r="K279" s="2"/>
      <c r="L279" s="2"/>
      <c r="M279" s="2"/>
      <c r="N279" s="2"/>
      <c r="O279" s="2"/>
      <c r="P279" s="2"/>
      <c r="Q279" s="2"/>
      <c r="R279" s="2"/>
      <c r="S279" s="2"/>
      <c r="T279" s="2"/>
      <c r="U279" s="2"/>
      <c r="V279" s="2"/>
      <c r="W279" s="2"/>
      <c r="X279" s="2"/>
      <c r="Y279" s="2"/>
      <c r="Z279" s="2"/>
    </row>
    <row r="280" ht="22.5" customHeight="1">
      <c r="A280" s="42" t="str">
        <f t="array" ref="A280">IFERROR(INDEX(FinishedData!$B:$B,MATCH(A278,FinishedData!$A:$A,0)),"")</f>
        <v>Practice</v>
      </c>
      <c r="B280" s="42" t="str">
        <f t="array" ref="B280">IFERROR(INDEX(FinishedData!$B:$B,MATCH(B278,FinishedData!$A:$A,0)),"")</f>
        <v>Game</v>
      </c>
      <c r="C280" s="42" t="str">
        <f t="array" ref="C280">IFERROR(INDEX(FinishedData!$B:$B,MATCH(C278,FinishedData!$A:$A,0)),"")</f>
        <v>Practice</v>
      </c>
      <c r="D280" s="42" t="str">
        <f t="array" ref="D280">IFERROR(INDEX(FinishedData!$B:$B,MATCH(D278,FinishedData!$A:$A,0)),"")</f>
        <v>Game</v>
      </c>
      <c r="E280" s="42" t="str">
        <f t="array" ref="E280">IFERROR(INDEX(FinishedData!$B:$B,MATCH(E278,FinishedData!$A:$A,0)),"")</f>
        <v>Practice</v>
      </c>
      <c r="F280" s="42" t="str">
        <f t="array" ref="F280">IFERROR(INDEX(FinishedData!$B:$B,MATCH(F278,FinishedData!$A:$A,0)),"")</f>
        <v>Gym</v>
      </c>
      <c r="G280" s="42" t="str">
        <f t="array" ref="G280">IFERROR(INDEX(FinishedData!$B:$B,MATCH(G278,FinishedData!$A:$A,0)),"")</f>
        <v>Practice</v>
      </c>
      <c r="H280" s="2"/>
      <c r="I280" s="13">
        <f>IFERROR(IF(A278="","",IF(G278="",SUMIFS(FinishedData!$C:$C,FinishedData!$A:$A,"&gt;="&amp;MIN($A278:$G278)-7,FinishedData!$A:$A,"&lt;="&amp;MAX($A278:$G278)+(7-COUNT($A278:$G278)-7)),
SUMIFS(FinishedData!$C:$C,FinishedData!$A:$A,"&gt;="&amp;MIN($A278:$G278)-7,FinishedData!$A:$A,"&lt;="&amp;MAX($A278:$G278)-7))),"")</f>
        <v>3810</v>
      </c>
      <c r="J280" s="13">
        <f>IFERROR(IF(A278="","",SUMIFS(FinishedData!$C:$C,FinishedData!$A:$A,"&gt;="&amp;MIN($A278:$G278),FinishedData!$A:$A,"&lt;="&amp;MAX($A278:$G278))),"")</f>
        <v>5825</v>
      </c>
      <c r="K280" s="2"/>
      <c r="L280" s="2"/>
      <c r="M280" s="2"/>
      <c r="N280" s="2"/>
      <c r="O280" s="2"/>
      <c r="P280" s="2"/>
      <c r="Q280" s="2"/>
      <c r="R280" s="2"/>
      <c r="S280" s="2"/>
      <c r="T280" s="2"/>
      <c r="U280" s="2"/>
      <c r="V280" s="2"/>
      <c r="W280" s="2"/>
      <c r="X280" s="2"/>
      <c r="Y280" s="2"/>
      <c r="Z280" s="2"/>
    </row>
    <row r="281" ht="22.5" customHeight="1">
      <c r="A281" s="45">
        <f t="array" ref="A281">IFERROR(INDEX(FinishedData!$C:$C,MATCH(A278,FinishedData!$A:$A,0)),"")</f>
        <v>865</v>
      </c>
      <c r="B281" s="45">
        <f t="array" ref="B281">IFERROR(INDEX(FinishedData!$C:$C,MATCH(B278,FinishedData!$A:$A,0)),"")</f>
        <v>545</v>
      </c>
      <c r="C281" s="45">
        <f t="array" ref="C281">IFERROR(INDEX(FinishedData!$C:$C,MATCH(C278,FinishedData!$A:$A,0)),"")</f>
        <v>980</v>
      </c>
      <c r="D281" s="45">
        <f t="array" ref="D281">IFERROR(INDEX(FinishedData!$C:$C,MATCH(D278,FinishedData!$A:$A,0)),"")</f>
        <v>805</v>
      </c>
      <c r="E281" s="45">
        <f t="array" ref="E281">IFERROR(INDEX(FinishedData!$C:$C,MATCH(E278,FinishedData!$A:$A,0)),"")</f>
        <v>910</v>
      </c>
      <c r="F281" s="45">
        <f t="array" ref="F281">IFERROR(INDEX(FinishedData!$C:$C,MATCH(F278,FinishedData!$A:$A,0)),"")</f>
        <v>865</v>
      </c>
      <c r="G281" s="45">
        <f t="array" ref="G281">IFERROR(INDEX(FinishedData!$C:$C,MATCH(G278,FinishedData!$A:$A,0)),"")</f>
        <v>855</v>
      </c>
      <c r="H281" s="2"/>
      <c r="I281" s="46" t="str">
        <f>IF(A278="","","CHANGE")</f>
        <v>CHANGE</v>
      </c>
      <c r="J281" s="47">
        <f>IFERROR(IF(A278="","",(J280-I280)/I280),"")</f>
        <v>0.5288713911</v>
      </c>
      <c r="K281" s="2"/>
      <c r="L281" s="2"/>
      <c r="M281" s="2"/>
      <c r="N281" s="2"/>
      <c r="O281" s="2"/>
      <c r="P281" s="2"/>
      <c r="Q281" s="2"/>
      <c r="R281" s="2"/>
      <c r="S281" s="2"/>
      <c r="T281" s="2"/>
      <c r="U281" s="2"/>
      <c r="V281" s="2"/>
      <c r="W281" s="2"/>
      <c r="X281" s="2"/>
      <c r="Y281" s="2"/>
      <c r="Z281" s="2"/>
    </row>
    <row r="282" ht="22.5" customHeight="1">
      <c r="A282" s="49">
        <f>IF(G278&gt;=$D$3,"",G278+1)</f>
        <v>45018</v>
      </c>
      <c r="B282" s="49">
        <f t="shared" ref="B282:G282" si="70">IF(A282&gt;=$D$3,"",A282+1)</f>
        <v>45019</v>
      </c>
      <c r="C282" s="49">
        <f t="shared" si="70"/>
        <v>45020</v>
      </c>
      <c r="D282" s="49">
        <f t="shared" si="70"/>
        <v>45021</v>
      </c>
      <c r="E282" s="49">
        <f t="shared" si="70"/>
        <v>45022</v>
      </c>
      <c r="F282" s="49">
        <f t="shared" si="70"/>
        <v>45023</v>
      </c>
      <c r="G282" s="49">
        <f t="shared" si="70"/>
        <v>45024</v>
      </c>
      <c r="H282" s="2"/>
      <c r="I282" s="7"/>
      <c r="J282" s="7"/>
      <c r="K282" s="2"/>
      <c r="L282" s="2"/>
      <c r="M282" s="2"/>
      <c r="N282" s="2"/>
      <c r="O282" s="2"/>
      <c r="P282" s="2"/>
      <c r="Q282" s="2"/>
      <c r="R282" s="2"/>
      <c r="S282" s="2"/>
      <c r="T282" s="2"/>
      <c r="U282" s="2"/>
      <c r="V282" s="2"/>
      <c r="W282" s="2"/>
      <c r="X282" s="2"/>
      <c r="Y282" s="2"/>
      <c r="Z282" s="2"/>
    </row>
    <row r="283" ht="22.5" customHeight="1">
      <c r="A283" s="42" t="str">
        <f t="array" ref="A283">IFERROR(INDEX(Lists!$B:$B,MATCH(A284,Lists!$A:$A,0)),"")</f>
        <v/>
      </c>
      <c r="B283" s="42" t="str">
        <f t="array" ref="B283">IFERROR(INDEX(Lists!$B:$B,MATCH(B284,Lists!$A:$A,0)),"")</f>
        <v/>
      </c>
      <c r="C283" s="42" t="str">
        <f t="array" ref="C283">IFERROR(INDEX(Lists!$B:$B,MATCH(C284,Lists!$A:$A,0)),"")</f>
        <v/>
      </c>
      <c r="D283" s="42" t="str">
        <f t="array" ref="D283">IFERROR(INDEX(Lists!$B:$B,MATCH(D284,Lists!$A:$A,0)),"")</f>
        <v/>
      </c>
      <c r="E283" s="42" t="str">
        <f t="array" ref="E283">IFERROR(INDEX(Lists!$B:$B,MATCH(E284,Lists!$A:$A,0)),"")</f>
        <v/>
      </c>
      <c r="F283" s="42" t="str">
        <f t="array" ref="F283">IFERROR(INDEX(Lists!$B:$B,MATCH(F284,Lists!$A:$A,0)),"")</f>
        <v/>
      </c>
      <c r="G283" s="42" t="str">
        <f t="array" ref="G283">IFERROR(INDEX(Lists!$B:$B,MATCH(G284,Lists!$A:$A,0)),"")</f>
        <v/>
      </c>
      <c r="H283" s="2"/>
      <c r="I283" s="43" t="str">
        <f>IF(A282="","","Week of "&amp;TEXT(A282-7,"MM/DD"))</f>
        <v>Week of 03/26</v>
      </c>
      <c r="J283" s="43" t="str">
        <f>IF(A282="","","Week of "&amp;TEXT(A282,"MM/DD"))</f>
        <v>Week of 04/02</v>
      </c>
      <c r="K283" s="2"/>
      <c r="L283" s="2"/>
      <c r="M283" s="2"/>
      <c r="N283" s="2"/>
      <c r="O283" s="2"/>
      <c r="P283" s="2"/>
      <c r="Q283" s="2"/>
      <c r="R283" s="2"/>
      <c r="S283" s="2"/>
      <c r="T283" s="2"/>
      <c r="U283" s="2"/>
      <c r="V283" s="2"/>
      <c r="W283" s="2"/>
      <c r="X283" s="2"/>
      <c r="Y283" s="2"/>
      <c r="Z283" s="2"/>
    </row>
    <row r="284" ht="22.5" customHeight="1">
      <c r="A284" s="42" t="str">
        <f t="array" ref="A284">IFERROR(INDEX(FinishedData!$B:$B,MATCH(A282,FinishedData!$A:$A,0)),"")</f>
        <v>Game</v>
      </c>
      <c r="B284" s="42" t="str">
        <f t="array" ref="B284">IFERROR(INDEX(FinishedData!$B:$B,MATCH(B282,FinishedData!$A:$A,0)),"")</f>
        <v>Off</v>
      </c>
      <c r="C284" s="42" t="str">
        <f t="array" ref="C284">IFERROR(INDEX(FinishedData!$B:$B,MATCH(C282,FinishedData!$A:$A,0)),"")</f>
        <v>Practice</v>
      </c>
      <c r="D284" s="42" t="str">
        <f t="array" ref="D284">IFERROR(INDEX(FinishedData!$B:$B,MATCH(D282,FinishedData!$A:$A,0)),"")</f>
        <v>Game</v>
      </c>
      <c r="E284" s="42" t="str">
        <f t="array" ref="E284">IFERROR(INDEX(FinishedData!$B:$B,MATCH(E282,FinishedData!$A:$A,0)),"")</f>
        <v>Practice</v>
      </c>
      <c r="F284" s="42" t="str">
        <f t="array" ref="F284">IFERROR(INDEX(FinishedData!$B:$B,MATCH(F282,FinishedData!$A:$A,0)),"")</f>
        <v>Practice</v>
      </c>
      <c r="G284" s="42" t="str">
        <f t="array" ref="G284">IFERROR(INDEX(FinishedData!$B:$B,MATCH(G282,FinishedData!$A:$A,0)),"")</f>
        <v>Game</v>
      </c>
      <c r="H284" s="2"/>
      <c r="I284" s="13">
        <f>IFERROR(IF(A282="","",IF(G282="",SUMIFS(FinishedData!$C:$C,FinishedData!$A:$A,"&gt;="&amp;MIN($A282:$G282)-7,FinishedData!$A:$A,"&lt;="&amp;MAX($A282:$G282)+(7-COUNT($A282:$G282)-7)),
SUMIFS(FinishedData!$C:$C,FinishedData!$A:$A,"&gt;="&amp;MIN($A282:$G282)-7,FinishedData!$A:$A,"&lt;="&amp;MAX($A282:$G282)-7))),"")</f>
        <v>5825</v>
      </c>
      <c r="J284" s="13">
        <f>IFERROR(IF(A282="","",SUMIFS(FinishedData!$C:$C,FinishedData!$A:$A,"&gt;="&amp;MIN($A282:$G282),FinishedData!$A:$A,"&lt;="&amp;MAX($A282:$G282))),"")</f>
        <v>4660</v>
      </c>
      <c r="K284" s="2"/>
      <c r="L284" s="2"/>
      <c r="M284" s="2"/>
      <c r="N284" s="2"/>
      <c r="O284" s="2"/>
      <c r="P284" s="2"/>
      <c r="Q284" s="2"/>
      <c r="R284" s="2"/>
      <c r="S284" s="2"/>
      <c r="T284" s="2"/>
      <c r="U284" s="2"/>
      <c r="V284" s="2"/>
      <c r="W284" s="2"/>
      <c r="X284" s="2"/>
      <c r="Y284" s="2"/>
      <c r="Z284" s="2"/>
    </row>
    <row r="285" ht="22.5" customHeight="1">
      <c r="A285" s="45">
        <f t="array" ref="A285">IFERROR(INDEX(FinishedData!$C:$C,MATCH(A282,FinishedData!$A:$A,0)),"")</f>
        <v>570</v>
      </c>
      <c r="B285" s="45" t="str">
        <f t="array" ref="B285">IFERROR(INDEX(FinishedData!$C:$C,MATCH(B282,FinishedData!$A:$A,0)),"")</f>
        <v/>
      </c>
      <c r="C285" s="45">
        <f t="array" ref="C285">IFERROR(INDEX(FinishedData!$C:$C,MATCH(C282,FinishedData!$A:$A,0)),"")</f>
        <v>745</v>
      </c>
      <c r="D285" s="45">
        <f t="array" ref="D285">IFERROR(INDEX(FinishedData!$C:$C,MATCH(D282,FinishedData!$A:$A,0)),"")</f>
        <v>685</v>
      </c>
      <c r="E285" s="45">
        <f t="array" ref="E285">IFERROR(INDEX(FinishedData!$C:$C,MATCH(E282,FinishedData!$A:$A,0)),"")</f>
        <v>735</v>
      </c>
      <c r="F285" s="45">
        <f t="array" ref="F285">IFERROR(INDEX(FinishedData!$C:$C,MATCH(F282,FinishedData!$A:$A,0)),"")</f>
        <v>925</v>
      </c>
      <c r="G285" s="45">
        <f t="array" ref="G285">IFERROR(INDEX(FinishedData!$C:$C,MATCH(G282,FinishedData!$A:$A,0)),"")</f>
        <v>1000</v>
      </c>
      <c r="H285" s="2"/>
      <c r="I285" s="46" t="str">
        <f>IF(A282="","","CHANGE")</f>
        <v>CHANGE</v>
      </c>
      <c r="J285" s="47">
        <f>IFERROR(IF(A282="","",(J284-I284)/I284),"")</f>
        <v>-0.2</v>
      </c>
      <c r="K285" s="2"/>
      <c r="L285" s="2"/>
      <c r="M285" s="2"/>
      <c r="N285" s="2"/>
      <c r="O285" s="2"/>
      <c r="P285" s="2"/>
      <c r="Q285" s="2"/>
      <c r="R285" s="2"/>
      <c r="S285" s="2"/>
      <c r="T285" s="2"/>
      <c r="U285" s="2"/>
      <c r="V285" s="2"/>
      <c r="W285" s="2"/>
      <c r="X285" s="2"/>
      <c r="Y285" s="2"/>
      <c r="Z285" s="2"/>
    </row>
    <row r="286" ht="22.5" customHeight="1">
      <c r="A286" s="49">
        <f>IF(G282&gt;=$D$3,"",G282+1)</f>
        <v>45025</v>
      </c>
      <c r="B286" s="49">
        <f t="shared" ref="B286:G286" si="71">IF(A286&gt;=$D$3,"",A286+1)</f>
        <v>45026</v>
      </c>
      <c r="C286" s="49">
        <f t="shared" si="71"/>
        <v>45027</v>
      </c>
      <c r="D286" s="49">
        <f t="shared" si="71"/>
        <v>45028</v>
      </c>
      <c r="E286" s="49">
        <f t="shared" si="71"/>
        <v>45029</v>
      </c>
      <c r="F286" s="49">
        <f t="shared" si="71"/>
        <v>45030</v>
      </c>
      <c r="G286" s="49">
        <f t="shared" si="71"/>
        <v>45031</v>
      </c>
      <c r="H286" s="2"/>
      <c r="I286" s="7"/>
      <c r="J286" s="7"/>
      <c r="K286" s="2"/>
      <c r="L286" s="2"/>
      <c r="M286" s="2"/>
      <c r="N286" s="2"/>
      <c r="O286" s="2"/>
      <c r="P286" s="2"/>
      <c r="Q286" s="2"/>
      <c r="R286" s="2"/>
      <c r="S286" s="2"/>
      <c r="T286" s="2"/>
      <c r="U286" s="2"/>
      <c r="V286" s="2"/>
      <c r="W286" s="2"/>
      <c r="X286" s="2"/>
      <c r="Y286" s="2"/>
      <c r="Z286" s="2"/>
    </row>
    <row r="287" ht="22.5" customHeight="1">
      <c r="A287" s="42" t="str">
        <f t="array" ref="A287">IFERROR(INDEX(Lists!$B:$B,MATCH(A288,Lists!$A:$A,0)),"")</f>
        <v/>
      </c>
      <c r="B287" s="42" t="str">
        <f t="array" ref="B287">IFERROR(INDEX(Lists!$B:$B,MATCH(B288,Lists!$A:$A,0)),"")</f>
        <v/>
      </c>
      <c r="C287" s="42" t="str">
        <f t="array" ref="C287">IFERROR(INDEX(Lists!$B:$B,MATCH(C288,Lists!$A:$A,0)),"")</f>
        <v/>
      </c>
      <c r="D287" s="42" t="str">
        <f t="array" ref="D287">IFERROR(INDEX(Lists!$B:$B,MATCH(D288,Lists!$A:$A,0)),"")</f>
        <v/>
      </c>
      <c r="E287" s="42" t="str">
        <f t="array" ref="E287">IFERROR(INDEX(Lists!$B:$B,MATCH(E288,Lists!$A:$A,0)),"")</f>
        <v/>
      </c>
      <c r="F287" s="42" t="str">
        <f t="array" ref="F287">IFERROR(INDEX(Lists!$B:$B,MATCH(F288,Lists!$A:$A,0)),"")</f>
        <v/>
      </c>
      <c r="G287" s="42" t="str">
        <f t="array" ref="G287">IFERROR(INDEX(Lists!$B:$B,MATCH(G288,Lists!$A:$A,0)),"")</f>
        <v/>
      </c>
      <c r="H287" s="2"/>
      <c r="I287" s="43" t="str">
        <f>IF(A286="","","Week of "&amp;TEXT(A286-7,"MM/DD"))</f>
        <v>Week of 04/02</v>
      </c>
      <c r="J287" s="43" t="str">
        <f>IF(A286="","","Week of "&amp;TEXT(A286,"MM/DD"))</f>
        <v>Week of 04/09</v>
      </c>
      <c r="K287" s="2"/>
      <c r="L287" s="2"/>
      <c r="M287" s="2"/>
      <c r="N287" s="2"/>
      <c r="O287" s="2"/>
      <c r="P287" s="2"/>
      <c r="Q287" s="2"/>
      <c r="R287" s="2"/>
      <c r="S287" s="2"/>
      <c r="T287" s="2"/>
      <c r="U287" s="2"/>
      <c r="V287" s="2"/>
      <c r="W287" s="2"/>
      <c r="X287" s="2"/>
      <c r="Y287" s="2"/>
      <c r="Z287" s="2"/>
    </row>
    <row r="288" ht="22.5" customHeight="1">
      <c r="A288" s="42" t="str">
        <f t="array" ref="A288">IFERROR(INDEX(FinishedData!$B:$B,MATCH(A286,FinishedData!$A:$A,0)),"")</f>
        <v>Practice</v>
      </c>
      <c r="B288" s="42" t="str">
        <f t="array" ref="B288">IFERROR(INDEX(FinishedData!$B:$B,MATCH(B286,FinishedData!$A:$A,0)),"")</f>
        <v>Practice</v>
      </c>
      <c r="C288" s="42" t="str">
        <f t="array" ref="C288">IFERROR(INDEX(FinishedData!$B:$B,MATCH(C286,FinishedData!$A:$A,0)),"")</f>
        <v>Game</v>
      </c>
      <c r="D288" s="42" t="str">
        <f t="array" ref="D288">IFERROR(INDEX(FinishedData!$B:$B,MATCH(D286,FinishedData!$A:$A,0)),"")</f>
        <v>Off</v>
      </c>
      <c r="E288" s="42" t="str">
        <f t="array" ref="E288">IFERROR(INDEX(FinishedData!$B:$B,MATCH(E286,FinishedData!$A:$A,0)),"")</f>
        <v>Off</v>
      </c>
      <c r="F288" s="42" t="str">
        <f t="array" ref="F288">IFERROR(INDEX(FinishedData!$B:$B,MATCH(F286,FinishedData!$A:$A,0)),"")</f>
        <v>Off</v>
      </c>
      <c r="G288" s="42" t="str">
        <f t="array" ref="G288">IFERROR(INDEX(FinishedData!$B:$B,MATCH(G286,FinishedData!$A:$A,0)),"")</f>
        <v>Off</v>
      </c>
      <c r="H288" s="2"/>
      <c r="I288" s="13">
        <f>IFERROR(IF(A286="","",IF(G286="",SUMIFS(FinishedData!$C:$C,FinishedData!$A:$A,"&gt;="&amp;MIN($A286:$G286)-7,FinishedData!$A:$A,"&lt;="&amp;MAX($A286:$G286)+(7-COUNT($A286:$G286)-7)),
SUMIFS(FinishedData!$C:$C,FinishedData!$A:$A,"&gt;="&amp;MIN($A286:$G286)-7,FinishedData!$A:$A,"&lt;="&amp;MAX($A286:$G286)-7))),"")</f>
        <v>4660</v>
      </c>
      <c r="J288" s="13">
        <f>IFERROR(IF(A286="","",SUMIFS(FinishedData!$C:$C,FinishedData!$A:$A,"&gt;="&amp;MIN($A286:$G286),FinishedData!$A:$A,"&lt;="&amp;MAX($A286:$G286))),"")</f>
        <v>1760</v>
      </c>
      <c r="K288" s="2"/>
      <c r="L288" s="2"/>
      <c r="M288" s="2"/>
      <c r="N288" s="2"/>
      <c r="O288" s="2"/>
      <c r="P288" s="2"/>
      <c r="Q288" s="2"/>
      <c r="R288" s="2"/>
      <c r="S288" s="2"/>
      <c r="T288" s="2"/>
      <c r="U288" s="2"/>
      <c r="V288" s="2"/>
      <c r="W288" s="2"/>
      <c r="X288" s="2"/>
      <c r="Y288" s="2"/>
      <c r="Z288" s="2"/>
    </row>
    <row r="289" ht="22.5" customHeight="1">
      <c r="A289" s="45">
        <f t="array" ref="A289">IFERROR(INDEX(FinishedData!$C:$C,MATCH(A286,FinishedData!$A:$A,0)),"")</f>
        <v>615</v>
      </c>
      <c r="B289" s="45">
        <f t="array" ref="B289">IFERROR(INDEX(FinishedData!$C:$C,MATCH(B286,FinishedData!$A:$A,0)),"")</f>
        <v>640</v>
      </c>
      <c r="C289" s="45">
        <f t="array" ref="C289">IFERROR(INDEX(FinishedData!$C:$C,MATCH(C286,FinishedData!$A:$A,0)),"")</f>
        <v>505</v>
      </c>
      <c r="D289" s="45" t="str">
        <f t="array" ref="D289">IFERROR(INDEX(FinishedData!$C:$C,MATCH(D286,FinishedData!$A:$A,0)),"")</f>
        <v/>
      </c>
      <c r="E289" s="45" t="str">
        <f t="array" ref="E289">IFERROR(INDEX(FinishedData!$C:$C,MATCH(E286,FinishedData!$A:$A,0)),"")</f>
        <v/>
      </c>
      <c r="F289" s="45" t="str">
        <f t="array" ref="F289">IFERROR(INDEX(FinishedData!$C:$C,MATCH(F286,FinishedData!$A:$A,0)),"")</f>
        <v/>
      </c>
      <c r="G289" s="45" t="str">
        <f t="array" ref="G289">IFERROR(INDEX(FinishedData!$C:$C,MATCH(G286,FinishedData!$A:$A,0)),"")</f>
        <v/>
      </c>
      <c r="H289" s="2"/>
      <c r="I289" s="46" t="str">
        <f>IF(A286="","","CHANGE")</f>
        <v>CHANGE</v>
      </c>
      <c r="J289" s="47">
        <f>IFERROR(IF(A286="","",(J288-I288)/I288),"")</f>
        <v>-0.6223175966</v>
      </c>
      <c r="K289" s="2"/>
      <c r="L289" s="2"/>
      <c r="M289" s="2"/>
      <c r="N289" s="2"/>
      <c r="O289" s="2"/>
      <c r="P289" s="2"/>
      <c r="Q289" s="2"/>
      <c r="R289" s="2"/>
      <c r="S289" s="2"/>
      <c r="T289" s="2"/>
      <c r="U289" s="2"/>
      <c r="V289" s="2"/>
      <c r="W289" s="2"/>
      <c r="X289" s="2"/>
      <c r="Y289" s="2"/>
      <c r="Z289" s="2"/>
    </row>
    <row r="290" ht="22.5" customHeight="1">
      <c r="A290" s="49">
        <f>IF(G286&gt;=$D$3,"",G286+1)</f>
        <v>45032</v>
      </c>
      <c r="B290" s="49">
        <f t="shared" ref="B290:G290" si="72">IF(A290&gt;=$D$3,"",A290+1)</f>
        <v>45033</v>
      </c>
      <c r="C290" s="49">
        <f t="shared" si="72"/>
        <v>45034</v>
      </c>
      <c r="D290" s="49">
        <f t="shared" si="72"/>
        <v>45035</v>
      </c>
      <c r="E290" s="49">
        <f t="shared" si="72"/>
        <v>45036</v>
      </c>
      <c r="F290" s="49">
        <f t="shared" si="72"/>
        <v>45037</v>
      </c>
      <c r="G290" s="49">
        <f t="shared" si="72"/>
        <v>45038</v>
      </c>
      <c r="H290" s="2"/>
      <c r="I290" s="7"/>
      <c r="J290" s="7"/>
      <c r="K290" s="2"/>
      <c r="L290" s="2"/>
      <c r="M290" s="2"/>
      <c r="N290" s="2"/>
      <c r="O290" s="2"/>
      <c r="P290" s="2"/>
      <c r="Q290" s="2"/>
      <c r="R290" s="2"/>
      <c r="S290" s="2"/>
      <c r="T290" s="2"/>
      <c r="U290" s="2"/>
      <c r="V290" s="2"/>
      <c r="W290" s="2"/>
      <c r="X290" s="2"/>
      <c r="Y290" s="2"/>
      <c r="Z290" s="2"/>
    </row>
    <row r="291" ht="22.5" customHeight="1">
      <c r="A291" s="42" t="str">
        <f t="array" ref="A291">IFERROR(INDEX(Lists!$B:$B,MATCH(A292,Lists!$A:$A,0)),"")</f>
        <v/>
      </c>
      <c r="B291" s="42" t="str">
        <f t="array" ref="B291">IFERROR(INDEX(Lists!$B:$B,MATCH(B292,Lists!$A:$A,0)),"")</f>
        <v/>
      </c>
      <c r="C291" s="42" t="str">
        <f t="array" ref="C291">IFERROR(INDEX(Lists!$B:$B,MATCH(C292,Lists!$A:$A,0)),"")</f>
        <v/>
      </c>
      <c r="D291" s="42" t="str">
        <f t="array" ref="D291">IFERROR(INDEX(Lists!$B:$B,MATCH(D292,Lists!$A:$A,0)),"")</f>
        <v/>
      </c>
      <c r="E291" s="42" t="str">
        <f t="array" ref="E291">IFERROR(INDEX(Lists!$B:$B,MATCH(E292,Lists!$A:$A,0)),"")</f>
        <v/>
      </c>
      <c r="F291" s="42" t="str">
        <f t="array" ref="F291">IFERROR(INDEX(Lists!$B:$B,MATCH(F292,Lists!$A:$A,0)),"")</f>
        <v/>
      </c>
      <c r="G291" s="42" t="str">
        <f t="array" ref="G291">IFERROR(INDEX(Lists!$B:$B,MATCH(G292,Lists!$A:$A,0)),"")</f>
        <v/>
      </c>
      <c r="H291" s="2"/>
      <c r="I291" s="43" t="str">
        <f>IF(A290="","","Week of "&amp;TEXT(A290-7,"MM/DD"))</f>
        <v>Week of 04/09</v>
      </c>
      <c r="J291" s="43" t="str">
        <f>IF(A290="","","Week of "&amp;TEXT(A290,"MM/DD"))</f>
        <v>Week of 04/16</v>
      </c>
      <c r="K291" s="2"/>
      <c r="L291" s="2"/>
      <c r="M291" s="2"/>
      <c r="N291" s="2"/>
      <c r="O291" s="2"/>
      <c r="P291" s="2"/>
      <c r="Q291" s="2"/>
      <c r="R291" s="2"/>
      <c r="S291" s="2"/>
      <c r="T291" s="2"/>
      <c r="U291" s="2"/>
      <c r="V291" s="2"/>
      <c r="W291" s="2"/>
      <c r="X291" s="2"/>
      <c r="Y291" s="2"/>
      <c r="Z291" s="2"/>
    </row>
    <row r="292" ht="22.5" customHeight="1">
      <c r="A292" s="42" t="str">
        <f t="array" ref="A292">IFERROR(INDEX(FinishedData!$B:$B,MATCH(A290,FinishedData!$A:$A,0)),"")</f>
        <v>Off</v>
      </c>
      <c r="B292" s="42" t="str">
        <f t="array" ref="B292">IFERROR(INDEX(FinishedData!$B:$B,MATCH(B290,FinishedData!$A:$A,0)),"")</f>
        <v>Off</v>
      </c>
      <c r="C292" s="42" t="str">
        <f t="array" ref="C292">IFERROR(INDEX(FinishedData!$B:$B,MATCH(C290,FinishedData!$A:$A,0)),"")</f>
        <v>Gym</v>
      </c>
      <c r="D292" s="42" t="str">
        <f t="array" ref="D292">IFERROR(INDEX(FinishedData!$B:$B,MATCH(D290,FinishedData!$A:$A,0)),"")</f>
        <v>Gym</v>
      </c>
      <c r="E292" s="42" t="str">
        <f t="array" ref="E292">IFERROR(INDEX(FinishedData!$B:$B,MATCH(E290,FinishedData!$A:$A,0)),"")</f>
        <v>Practice</v>
      </c>
      <c r="F292" s="42" t="str">
        <f t="array" ref="F292">IFERROR(INDEX(FinishedData!$B:$B,MATCH(F290,FinishedData!$A:$A,0)),"")</f>
        <v>Practice</v>
      </c>
      <c r="G292" s="42" t="str">
        <f t="array" ref="G292">IFERROR(INDEX(FinishedData!$B:$B,MATCH(G290,FinishedData!$A:$A,0)),"")</f>
        <v>Practice</v>
      </c>
      <c r="H292" s="2"/>
      <c r="I292" s="13">
        <f>IFERROR(IF(A290="","",IF(G290="",SUMIFS(FinishedData!$C:$C,FinishedData!$A:$A,"&gt;="&amp;MIN($A290:$G290)-7,FinishedData!$A:$A,"&lt;="&amp;MAX($A290:$G290)+(7-COUNT($A290:$G290)-7)),
SUMIFS(FinishedData!$C:$C,FinishedData!$A:$A,"&gt;="&amp;MIN($A290:$G290)-7,FinishedData!$A:$A,"&lt;="&amp;MAX($A290:$G290)-7))),"")</f>
        <v>1760</v>
      </c>
      <c r="J292" s="13">
        <f>IFERROR(IF(A290="","",SUMIFS(FinishedData!$C:$C,FinishedData!$A:$A,"&gt;="&amp;MIN($A290:$G290),FinishedData!$A:$A,"&lt;="&amp;MAX($A290:$G290))),"")</f>
        <v>3935</v>
      </c>
      <c r="K292" s="2"/>
      <c r="L292" s="2"/>
      <c r="M292" s="2"/>
      <c r="N292" s="2"/>
      <c r="O292" s="2"/>
      <c r="P292" s="2"/>
      <c r="Q292" s="2"/>
      <c r="R292" s="2"/>
      <c r="S292" s="2"/>
      <c r="T292" s="2"/>
      <c r="U292" s="2"/>
      <c r="V292" s="2"/>
      <c r="W292" s="2"/>
      <c r="X292" s="2"/>
      <c r="Y292" s="2"/>
      <c r="Z292" s="2"/>
    </row>
    <row r="293" ht="22.5" customHeight="1">
      <c r="A293" s="45" t="str">
        <f t="array" ref="A293">IFERROR(INDEX(FinishedData!$C:$C,MATCH(A290,FinishedData!$A:$A,0)),"")</f>
        <v/>
      </c>
      <c r="B293" s="45" t="str">
        <f t="array" ref="B293">IFERROR(INDEX(FinishedData!$C:$C,MATCH(B290,FinishedData!$A:$A,0)),"")</f>
        <v/>
      </c>
      <c r="C293" s="45">
        <f t="array" ref="C293">IFERROR(INDEX(FinishedData!$C:$C,MATCH(C290,FinishedData!$A:$A,0)),"")</f>
        <v>720</v>
      </c>
      <c r="D293" s="45">
        <f t="array" ref="D293">IFERROR(INDEX(FinishedData!$C:$C,MATCH(D290,FinishedData!$A:$A,0)),"")</f>
        <v>755</v>
      </c>
      <c r="E293" s="45">
        <f t="array" ref="E293">IFERROR(INDEX(FinishedData!$C:$C,MATCH(E290,FinishedData!$A:$A,0)),"")</f>
        <v>810</v>
      </c>
      <c r="F293" s="45">
        <f t="array" ref="F293">IFERROR(INDEX(FinishedData!$C:$C,MATCH(F290,FinishedData!$A:$A,0)),"")</f>
        <v>670</v>
      </c>
      <c r="G293" s="45">
        <f t="array" ref="G293">IFERROR(INDEX(FinishedData!$C:$C,MATCH(G290,FinishedData!$A:$A,0)),"")</f>
        <v>980</v>
      </c>
      <c r="H293" s="2"/>
      <c r="I293" s="46" t="str">
        <f>IF(A290="","","CHANGE")</f>
        <v>CHANGE</v>
      </c>
      <c r="J293" s="47">
        <f>IFERROR(IF(A290="","",(J292-I292)/I292),"")</f>
        <v>1.235795455</v>
      </c>
      <c r="K293" s="2"/>
      <c r="L293" s="2"/>
      <c r="M293" s="2"/>
      <c r="N293" s="2"/>
      <c r="O293" s="2"/>
      <c r="P293" s="2"/>
      <c r="Q293" s="2"/>
      <c r="R293" s="2"/>
      <c r="S293" s="2"/>
      <c r="T293" s="2"/>
      <c r="U293" s="2"/>
      <c r="V293" s="2"/>
      <c r="W293" s="2"/>
      <c r="X293" s="2"/>
      <c r="Y293" s="2"/>
      <c r="Z293" s="2"/>
    </row>
    <row r="294" ht="22.5" customHeight="1">
      <c r="A294" s="49">
        <f>IF(G290&gt;=$D$3,"",G290+1)</f>
        <v>45039</v>
      </c>
      <c r="B294" s="49">
        <f t="shared" ref="B294:G294" si="73">IF(A294&gt;=$D$3,"",A294+1)</f>
        <v>45040</v>
      </c>
      <c r="C294" s="49">
        <f t="shared" si="73"/>
        <v>45041</v>
      </c>
      <c r="D294" s="49">
        <f t="shared" si="73"/>
        <v>45042</v>
      </c>
      <c r="E294" s="49">
        <f t="shared" si="73"/>
        <v>45043</v>
      </c>
      <c r="F294" s="49">
        <f t="shared" si="73"/>
        <v>45044</v>
      </c>
      <c r="G294" s="49">
        <f t="shared" si="73"/>
        <v>45045</v>
      </c>
      <c r="H294" s="2"/>
      <c r="I294" s="2"/>
      <c r="J294" s="2"/>
      <c r="K294" s="2"/>
      <c r="L294" s="2"/>
      <c r="M294" s="2"/>
      <c r="N294" s="2"/>
      <c r="O294" s="2"/>
      <c r="P294" s="2"/>
      <c r="Q294" s="2"/>
      <c r="R294" s="2"/>
      <c r="S294" s="2"/>
      <c r="T294" s="2"/>
      <c r="U294" s="2"/>
      <c r="V294" s="2"/>
      <c r="W294" s="2"/>
      <c r="X294" s="2"/>
      <c r="Y294" s="2"/>
      <c r="Z294" s="2"/>
    </row>
    <row r="295" ht="22.5" customHeight="1">
      <c r="A295" s="42" t="str">
        <f t="array" ref="A295">IFERROR(INDEX(Lists!$B:$B,MATCH(A296,Lists!$A:$A,0)),"")</f>
        <v/>
      </c>
      <c r="B295" s="42" t="str">
        <f t="array" ref="B295">IFERROR(INDEX(Lists!$B:$B,MATCH(B296,Lists!$A:$A,0)),"")</f>
        <v/>
      </c>
      <c r="C295" s="42" t="str">
        <f t="array" ref="C295">IFERROR(INDEX(Lists!$B:$B,MATCH(C296,Lists!$A:$A,0)),"")</f>
        <v/>
      </c>
      <c r="D295" s="42" t="str">
        <f t="array" ref="D295">IFERROR(INDEX(Lists!$B:$B,MATCH(D296,Lists!$A:$A,0)),"")</f>
        <v/>
      </c>
      <c r="E295" s="42" t="str">
        <f t="array" ref="E295">IFERROR(INDEX(Lists!$B:$B,MATCH(E296,Lists!$A:$A,0)),"")</f>
        <v/>
      </c>
      <c r="F295" s="42" t="str">
        <f t="array" ref="F295">IFERROR(INDEX(Lists!$B:$B,MATCH(F296,Lists!$A:$A,0)),"")</f>
        <v/>
      </c>
      <c r="G295" s="42" t="str">
        <f t="array" ref="G295">IFERROR(INDEX(Lists!$B:$B,MATCH(G296,Lists!$A:$A,0)),"")</f>
        <v/>
      </c>
      <c r="H295" s="2"/>
      <c r="I295" s="43" t="str">
        <f>IF(A294="","","Week of "&amp;TEXT(A294-7,"MM/DD"))</f>
        <v>Week of 04/16</v>
      </c>
      <c r="J295" s="43" t="str">
        <f>IF(A294="","","Week of "&amp;TEXT(A294,"MM/DD"))</f>
        <v>Week of 04/23</v>
      </c>
      <c r="K295" s="2"/>
      <c r="L295" s="2"/>
      <c r="M295" s="2"/>
      <c r="N295" s="2"/>
      <c r="O295" s="2"/>
      <c r="P295" s="2"/>
      <c r="Q295" s="2"/>
      <c r="R295" s="2"/>
      <c r="S295" s="2"/>
      <c r="T295" s="2"/>
      <c r="U295" s="2"/>
      <c r="V295" s="2"/>
      <c r="W295" s="2"/>
      <c r="X295" s="2"/>
      <c r="Y295" s="2"/>
      <c r="Z295" s="2"/>
    </row>
    <row r="296" ht="22.5" customHeight="1">
      <c r="A296" s="42" t="str">
        <f t="array" ref="A296">IFERROR(INDEX(FinishedData!$B:$B,MATCH(A294,FinishedData!$A:$A,0)),"")</f>
        <v>Practice</v>
      </c>
      <c r="B296" s="42" t="str">
        <f t="array" ref="B296">IFERROR(INDEX(FinishedData!$B:$B,MATCH(B294,FinishedData!$A:$A,0)),"")</f>
        <v>Practice</v>
      </c>
      <c r="C296" s="42" t="str">
        <f t="array" ref="C296">IFERROR(INDEX(FinishedData!$B:$B,MATCH(C294,FinishedData!$A:$A,0)),"")</f>
        <v>Practice</v>
      </c>
      <c r="D296" s="42" t="str">
        <f t="array" ref="D296">IFERROR(INDEX(FinishedData!$B:$B,MATCH(D294,FinishedData!$A:$A,0)),"")</f>
        <v>Game</v>
      </c>
      <c r="E296" s="42" t="str">
        <f t="array" ref="E296">IFERROR(INDEX(FinishedData!$B:$B,MATCH(E294,FinishedData!$A:$A,0)),"")</f>
        <v>Practice</v>
      </c>
      <c r="F296" s="42" t="str">
        <f t="array" ref="F296">IFERROR(INDEX(FinishedData!$B:$B,MATCH(F294,FinishedData!$A:$A,0)),"")</f>
        <v>Game</v>
      </c>
      <c r="G296" s="42" t="str">
        <f t="array" ref="G296">IFERROR(INDEX(FinishedData!$B:$B,MATCH(G294,FinishedData!$A:$A,0)),"")</f>
        <v>Off</v>
      </c>
      <c r="H296" s="2"/>
      <c r="I296" s="13">
        <f>IFERROR(IF(A294="","",IF(G294="",SUMIFS(FinishedData!$C:$C,FinishedData!$A:$A,"&gt;="&amp;MIN($A294:$G294)-7,FinishedData!$A:$A,"&lt;="&amp;MAX($A294:$G294)+(7-COUNT($A294:$G294)-7)),
SUMIFS(FinishedData!$C:$C,FinishedData!$A:$A,"&gt;="&amp;MIN($A294:$G294)-7,FinishedData!$A:$A,"&lt;="&amp;MAX($A294:$G294)-7))),"")</f>
        <v>3935</v>
      </c>
      <c r="J296" s="13">
        <f>IFERROR(IF(A294="","",SUMIFS(FinishedData!$C:$C,FinishedData!$A:$A,"&gt;="&amp;MIN($A294:$G294),FinishedData!$A:$A,"&lt;="&amp;MAX($A294:$G294))),"")</f>
        <v>4640</v>
      </c>
      <c r="K296" s="2"/>
      <c r="L296" s="2"/>
      <c r="M296" s="2"/>
      <c r="N296" s="2"/>
      <c r="O296" s="2"/>
      <c r="P296" s="2"/>
      <c r="Q296" s="2"/>
      <c r="R296" s="2"/>
      <c r="S296" s="2"/>
      <c r="T296" s="2"/>
      <c r="U296" s="2"/>
      <c r="V296" s="2"/>
      <c r="W296" s="2"/>
      <c r="X296" s="2"/>
      <c r="Y296" s="2"/>
      <c r="Z296" s="2"/>
    </row>
    <row r="297" ht="22.5" customHeight="1">
      <c r="A297" s="45">
        <f t="array" ref="A297">IFERROR(INDEX(FinishedData!$C:$C,MATCH(A294,FinishedData!$A:$A,0)),"")</f>
        <v>735</v>
      </c>
      <c r="B297" s="45">
        <f t="array" ref="B297">IFERROR(INDEX(FinishedData!$C:$C,MATCH(B294,FinishedData!$A:$A,0)),"")</f>
        <v>555</v>
      </c>
      <c r="C297" s="45">
        <f t="array" ref="C297">IFERROR(INDEX(FinishedData!$C:$C,MATCH(C294,FinishedData!$A:$A,0)),"")</f>
        <v>770</v>
      </c>
      <c r="D297" s="45">
        <f t="array" ref="D297">IFERROR(INDEX(FinishedData!$C:$C,MATCH(D294,FinishedData!$A:$A,0)),"")</f>
        <v>880</v>
      </c>
      <c r="E297" s="45">
        <f t="array" ref="E297">IFERROR(INDEX(FinishedData!$C:$C,MATCH(E294,FinishedData!$A:$A,0)),"")</f>
        <v>830</v>
      </c>
      <c r="F297" s="45">
        <f t="array" ref="F297">IFERROR(INDEX(FinishedData!$C:$C,MATCH(F294,FinishedData!$A:$A,0)),"")</f>
        <v>870</v>
      </c>
      <c r="G297" s="45" t="str">
        <f t="array" ref="G297">IFERROR(INDEX(FinishedData!$C:$C,MATCH(G294,FinishedData!$A:$A,0)),"")</f>
        <v/>
      </c>
      <c r="H297" s="2"/>
      <c r="I297" s="46" t="str">
        <f>IF(A294="","","CHANGE")</f>
        <v>CHANGE</v>
      </c>
      <c r="J297" s="47">
        <f>IFERROR(IF(A294="","",(J296-I296)/I296),"")</f>
        <v>0.1791613723</v>
      </c>
      <c r="K297" s="2"/>
      <c r="L297" s="2"/>
      <c r="M297" s="2"/>
      <c r="N297" s="2"/>
      <c r="O297" s="2"/>
      <c r="P297" s="2"/>
      <c r="Q297" s="2"/>
      <c r="R297" s="2"/>
      <c r="S297" s="2"/>
      <c r="T297" s="2"/>
      <c r="U297" s="2"/>
      <c r="V297" s="2"/>
      <c r="W297" s="2"/>
      <c r="X297" s="2"/>
      <c r="Y297" s="2"/>
      <c r="Z297" s="2"/>
    </row>
    <row r="298" ht="22.5" customHeight="1">
      <c r="A298" s="49">
        <f>IF(G294&gt;=$D$3,"",G294+1)</f>
        <v>45046</v>
      </c>
      <c r="B298" s="49">
        <f t="shared" ref="B298:G298" si="74">IF(A298&gt;=$D$3,"",A298+1)</f>
        <v>45047</v>
      </c>
      <c r="C298" s="49">
        <f t="shared" si="74"/>
        <v>45048</v>
      </c>
      <c r="D298" s="49">
        <f t="shared" si="74"/>
        <v>45049</v>
      </c>
      <c r="E298" s="49">
        <f t="shared" si="74"/>
        <v>45050</v>
      </c>
      <c r="F298" s="49">
        <f t="shared" si="74"/>
        <v>45051</v>
      </c>
      <c r="G298" s="49">
        <f t="shared" si="74"/>
        <v>45052</v>
      </c>
      <c r="H298" s="2"/>
      <c r="I298" s="7"/>
      <c r="J298" s="7"/>
      <c r="K298" s="2"/>
      <c r="L298" s="2"/>
      <c r="M298" s="2"/>
      <c r="N298" s="2"/>
      <c r="O298" s="2"/>
      <c r="P298" s="2"/>
      <c r="Q298" s="2"/>
      <c r="R298" s="2"/>
      <c r="S298" s="2"/>
      <c r="T298" s="2"/>
      <c r="U298" s="2"/>
      <c r="V298" s="2"/>
      <c r="W298" s="2"/>
      <c r="X298" s="2"/>
      <c r="Y298" s="2"/>
      <c r="Z298" s="2"/>
    </row>
    <row r="299" ht="22.5" customHeight="1">
      <c r="A299" s="42" t="str">
        <f t="array" ref="A299">IFERROR(INDEX(Lists!$B:$B,MATCH(A300,Lists!$A:$A,0)),"")</f>
        <v/>
      </c>
      <c r="B299" s="42" t="str">
        <f t="array" ref="B299">IFERROR(INDEX(Lists!$B:$B,MATCH(B300,Lists!$A:$A,0)),"")</f>
        <v/>
      </c>
      <c r="C299" s="42" t="str">
        <f t="array" ref="C299">IFERROR(INDEX(Lists!$B:$B,MATCH(C300,Lists!$A:$A,0)),"")</f>
        <v/>
      </c>
      <c r="D299" s="42" t="str">
        <f t="array" ref="D299">IFERROR(INDEX(Lists!$B:$B,MATCH(D300,Lists!$A:$A,0)),"")</f>
        <v/>
      </c>
      <c r="E299" s="42" t="str">
        <f t="array" ref="E299">IFERROR(INDEX(Lists!$B:$B,MATCH(E300,Lists!$A:$A,0)),"")</f>
        <v/>
      </c>
      <c r="F299" s="42" t="str">
        <f t="array" ref="F299">IFERROR(INDEX(Lists!$B:$B,MATCH(F300,Lists!$A:$A,0)),"")</f>
        <v/>
      </c>
      <c r="G299" s="42" t="str">
        <f t="array" ref="G299">IFERROR(INDEX(Lists!$B:$B,MATCH(G300,Lists!$A:$A,0)),"")</f>
        <v/>
      </c>
      <c r="H299" s="2"/>
      <c r="I299" s="43" t="str">
        <f>IF(A298="","","Week of "&amp;TEXT(A298-7,"MM/DD"))</f>
        <v>Week of 04/23</v>
      </c>
      <c r="J299" s="43" t="str">
        <f>IF(A298="","","Week of "&amp;TEXT(A298,"MM/DD"))</f>
        <v>Week of 04/30</v>
      </c>
      <c r="K299" s="2"/>
      <c r="L299" s="2"/>
      <c r="M299" s="2"/>
      <c r="N299" s="2"/>
      <c r="O299" s="2"/>
      <c r="P299" s="2"/>
      <c r="Q299" s="2"/>
      <c r="R299" s="2"/>
      <c r="S299" s="2"/>
      <c r="T299" s="2"/>
      <c r="U299" s="2"/>
      <c r="V299" s="2"/>
      <c r="W299" s="2"/>
      <c r="X299" s="2"/>
      <c r="Y299" s="2"/>
      <c r="Z299" s="2"/>
    </row>
    <row r="300" ht="22.5" customHeight="1">
      <c r="A300" s="42" t="str">
        <f t="array" ref="A300">IFERROR(INDEX(FinishedData!$B:$B,MATCH(A298,FinishedData!$A:$A,0)),"")</f>
        <v>Practice</v>
      </c>
      <c r="B300" s="42" t="str">
        <f t="array" ref="B300">IFERROR(INDEX(FinishedData!$B:$B,MATCH(B298,FinishedData!$A:$A,0)),"")</f>
        <v>Practice</v>
      </c>
      <c r="C300" s="42" t="str">
        <f t="array" ref="C300">IFERROR(INDEX(FinishedData!$B:$B,MATCH(C298,FinishedData!$A:$A,0)),"")</f>
        <v>Game</v>
      </c>
      <c r="D300" s="42" t="str">
        <f t="array" ref="D300">IFERROR(INDEX(FinishedData!$B:$B,MATCH(D298,FinishedData!$A:$A,0)),"")</f>
        <v>Game</v>
      </c>
      <c r="E300" s="42" t="str">
        <f t="array" ref="E300">IFERROR(INDEX(FinishedData!$B:$B,MATCH(E298,FinishedData!$A:$A,0)),"")</f>
        <v>Off</v>
      </c>
      <c r="F300" s="42" t="str">
        <f t="array" ref="F300">IFERROR(INDEX(FinishedData!$B:$B,MATCH(F298,FinishedData!$A:$A,0)),"")</f>
        <v>Practice</v>
      </c>
      <c r="G300" s="42" t="str">
        <f t="array" ref="G300">IFERROR(INDEX(FinishedData!$B:$B,MATCH(G298,FinishedData!$A:$A,0)),"")</f>
        <v>Game</v>
      </c>
      <c r="H300" s="2"/>
      <c r="I300" s="13">
        <f>IFERROR(IF(A298="","",IF(G298="",SUMIFS(FinishedData!$C:$C,FinishedData!$A:$A,"&gt;="&amp;MIN($A298:$G298)-7,FinishedData!$A:$A,"&lt;="&amp;MAX($A298:$G298)+(7-COUNT($A298:$G298)-7)),
SUMIFS(FinishedData!$C:$C,FinishedData!$A:$A,"&gt;="&amp;MIN($A298:$G298)-7,FinishedData!$A:$A,"&lt;="&amp;MAX($A298:$G298)-7))),"")</f>
        <v>4640</v>
      </c>
      <c r="J300" s="13">
        <f>IFERROR(IF(A298="","",SUMIFS(FinishedData!$C:$C,FinishedData!$A:$A,"&gt;="&amp;MIN($A298:$G298),FinishedData!$A:$A,"&lt;="&amp;MAX($A298:$G298))),"")</f>
        <v>3865</v>
      </c>
      <c r="K300" s="2"/>
      <c r="L300" s="2"/>
      <c r="M300" s="2"/>
      <c r="N300" s="2"/>
      <c r="O300" s="2"/>
      <c r="P300" s="2"/>
      <c r="Q300" s="2"/>
      <c r="R300" s="2"/>
      <c r="S300" s="2"/>
      <c r="T300" s="2"/>
      <c r="U300" s="2"/>
      <c r="V300" s="2"/>
      <c r="W300" s="2"/>
      <c r="X300" s="2"/>
      <c r="Y300" s="2"/>
      <c r="Z300" s="2"/>
    </row>
    <row r="301" ht="22.5" customHeight="1">
      <c r="A301" s="45">
        <f t="array" ref="A301">IFERROR(INDEX(FinishedData!$C:$C,MATCH(A298,FinishedData!$A:$A,0)),"")</f>
        <v>770</v>
      </c>
      <c r="B301" s="45">
        <f t="array" ref="B301">IFERROR(INDEX(FinishedData!$C:$C,MATCH(B298,FinishedData!$A:$A,0)),"")</f>
        <v>525</v>
      </c>
      <c r="C301" s="45">
        <f t="array" ref="C301">IFERROR(INDEX(FinishedData!$C:$C,MATCH(C298,FinishedData!$A:$A,0)),"")</f>
        <v>610</v>
      </c>
      <c r="D301" s="45">
        <f t="array" ref="D301">IFERROR(INDEX(FinishedData!$C:$C,MATCH(D298,FinishedData!$A:$A,0)),"")</f>
        <v>585</v>
      </c>
      <c r="E301" s="45" t="str">
        <f t="array" ref="E301">IFERROR(INDEX(FinishedData!$C:$C,MATCH(E298,FinishedData!$A:$A,0)),"")</f>
        <v/>
      </c>
      <c r="F301" s="45">
        <f t="array" ref="F301">IFERROR(INDEX(FinishedData!$C:$C,MATCH(F298,FinishedData!$A:$A,0)),"")</f>
        <v>760</v>
      </c>
      <c r="G301" s="45">
        <f t="array" ref="G301">IFERROR(INDEX(FinishedData!$C:$C,MATCH(G298,FinishedData!$A:$A,0)),"")</f>
        <v>615</v>
      </c>
      <c r="H301" s="2"/>
      <c r="I301" s="46" t="str">
        <f>IF(A298="","","CHANGE")</f>
        <v>CHANGE</v>
      </c>
      <c r="J301" s="47">
        <f>IFERROR(IF(A298="","",(J300-I300)/I300),"")</f>
        <v>-0.1670258621</v>
      </c>
      <c r="K301" s="2"/>
      <c r="L301" s="2"/>
      <c r="M301" s="2"/>
      <c r="N301" s="2"/>
      <c r="O301" s="2"/>
      <c r="P301" s="2"/>
      <c r="Q301" s="2"/>
      <c r="R301" s="2"/>
      <c r="S301" s="2"/>
      <c r="T301" s="2"/>
      <c r="U301" s="2"/>
      <c r="V301" s="2"/>
      <c r="W301" s="2"/>
      <c r="X301" s="2"/>
      <c r="Y301" s="2"/>
      <c r="Z301" s="2"/>
    </row>
    <row r="302" ht="22.5" customHeight="1">
      <c r="A302" s="49">
        <f>IF(G298&gt;=$D$3,"",G298+1)</f>
        <v>45053</v>
      </c>
      <c r="B302" s="49">
        <f t="shared" ref="B302:G302" si="75">IF(A302&gt;=$D$3,"",A302+1)</f>
        <v>45054</v>
      </c>
      <c r="C302" s="49">
        <f t="shared" si="75"/>
        <v>45055</v>
      </c>
      <c r="D302" s="49">
        <f t="shared" si="75"/>
        <v>45056</v>
      </c>
      <c r="E302" s="49">
        <f t="shared" si="75"/>
        <v>45057</v>
      </c>
      <c r="F302" s="49">
        <f t="shared" si="75"/>
        <v>45058</v>
      </c>
      <c r="G302" s="49">
        <f t="shared" si="75"/>
        <v>45059</v>
      </c>
      <c r="H302" s="2"/>
      <c r="I302" s="7"/>
      <c r="J302" s="7"/>
      <c r="K302" s="2"/>
      <c r="L302" s="2"/>
      <c r="M302" s="2"/>
      <c r="N302" s="2"/>
      <c r="O302" s="2"/>
      <c r="P302" s="2"/>
      <c r="Q302" s="2"/>
      <c r="R302" s="2"/>
      <c r="S302" s="2"/>
      <c r="T302" s="2"/>
      <c r="U302" s="2"/>
      <c r="V302" s="2"/>
      <c r="W302" s="2"/>
      <c r="X302" s="2"/>
      <c r="Y302" s="2"/>
      <c r="Z302" s="2"/>
    </row>
    <row r="303" ht="22.5" customHeight="1">
      <c r="A303" s="42" t="str">
        <f t="array" ref="A303">IFERROR(INDEX(Lists!$B:$B,MATCH(A304,Lists!$A:$A,0)),"")</f>
        <v/>
      </c>
      <c r="B303" s="42" t="str">
        <f t="array" ref="B303">IFERROR(INDEX(Lists!$B:$B,MATCH(B304,Lists!$A:$A,0)),"")</f>
        <v/>
      </c>
      <c r="C303" s="42" t="str">
        <f t="array" ref="C303">IFERROR(INDEX(Lists!$B:$B,MATCH(C304,Lists!$A:$A,0)),"")</f>
        <v/>
      </c>
      <c r="D303" s="42" t="str">
        <f t="array" ref="D303">IFERROR(INDEX(Lists!$B:$B,MATCH(D304,Lists!$A:$A,0)),"")</f>
        <v/>
      </c>
      <c r="E303" s="42" t="str">
        <f t="array" ref="E303">IFERROR(INDEX(Lists!$B:$B,MATCH(E304,Lists!$A:$A,0)),"")</f>
        <v/>
      </c>
      <c r="F303" s="42" t="str">
        <f t="array" ref="F303">IFERROR(INDEX(Lists!$B:$B,MATCH(F304,Lists!$A:$A,0)),"")</f>
        <v/>
      </c>
      <c r="G303" s="42" t="str">
        <f t="array" ref="G303">IFERROR(INDEX(Lists!$B:$B,MATCH(G304,Lists!$A:$A,0)),"")</f>
        <v/>
      </c>
      <c r="H303" s="2"/>
      <c r="I303" s="43" t="str">
        <f>IF(A302="","","Week of "&amp;TEXT(A302-7,"MM/DD"))</f>
        <v>Week of 04/30</v>
      </c>
      <c r="J303" s="43" t="str">
        <f>IF(A302="","","Week of "&amp;TEXT(A302,"MM/DD"))</f>
        <v>Week of 05/07</v>
      </c>
      <c r="K303" s="2"/>
      <c r="L303" s="2"/>
      <c r="M303" s="2"/>
      <c r="N303" s="2"/>
      <c r="O303" s="2"/>
      <c r="P303" s="2"/>
      <c r="Q303" s="2"/>
      <c r="R303" s="2"/>
      <c r="S303" s="2"/>
      <c r="T303" s="2"/>
      <c r="U303" s="2"/>
      <c r="V303" s="2"/>
      <c r="W303" s="2"/>
      <c r="X303" s="2"/>
      <c r="Y303" s="2"/>
      <c r="Z303" s="2"/>
    </row>
    <row r="304" ht="22.5" customHeight="1">
      <c r="A304" s="42" t="str">
        <f t="array" ref="A304">IFERROR(INDEX(FinishedData!$B:$B,MATCH(A302,FinishedData!$A:$A,0)),"")</f>
        <v>Practice</v>
      </c>
      <c r="B304" s="42" t="str">
        <f t="array" ref="B304">IFERROR(INDEX(FinishedData!$B:$B,MATCH(B302,FinishedData!$A:$A,0)),"")</f>
        <v>Practice</v>
      </c>
      <c r="C304" s="42" t="str">
        <f t="array" ref="C304">IFERROR(INDEX(FinishedData!$B:$B,MATCH(C302,FinishedData!$A:$A,0)),"")</f>
        <v>Practice</v>
      </c>
      <c r="D304" s="42" t="str">
        <f t="array" ref="D304">IFERROR(INDEX(FinishedData!$B:$B,MATCH(D302,FinishedData!$A:$A,0)),"")</f>
        <v>Game</v>
      </c>
      <c r="E304" s="42" t="str">
        <f t="array" ref="E304">IFERROR(INDEX(FinishedData!$B:$B,MATCH(E302,FinishedData!$A:$A,0)),"")</f>
        <v>Practice</v>
      </c>
      <c r="F304" s="42" t="str">
        <f t="array" ref="F304">IFERROR(INDEX(FinishedData!$B:$B,MATCH(F302,FinishedData!$A:$A,0)),"")</f>
        <v>Practice</v>
      </c>
      <c r="G304" s="42" t="str">
        <f t="array" ref="G304">IFERROR(INDEX(FinishedData!$B:$B,MATCH(G302,FinishedData!$A:$A,0)),"")</f>
        <v>Game</v>
      </c>
      <c r="H304" s="2"/>
      <c r="I304" s="13">
        <f>IFERROR(IF(A302="","",IF(G302="",SUMIFS(FinishedData!$C:$C,FinishedData!$A:$A,"&gt;="&amp;MIN($A302:$G302)-7,FinishedData!$A:$A,"&lt;="&amp;MAX($A302:$G302)+(7-COUNT($A302:$G302)-7)),
SUMIFS(FinishedData!$C:$C,FinishedData!$A:$A,"&gt;="&amp;MIN($A302:$G302)-7,FinishedData!$A:$A,"&lt;="&amp;MAX($A302:$G302)-7))),"")</f>
        <v>3865</v>
      </c>
      <c r="J304" s="13">
        <f>IFERROR(IF(A302="","",SUMIFS(FinishedData!$C:$C,FinishedData!$A:$A,"&gt;="&amp;MIN($A302:$G302),FinishedData!$A:$A,"&lt;="&amp;MAX($A302:$G302))),"")</f>
        <v>5105</v>
      </c>
      <c r="K304" s="2"/>
      <c r="L304" s="2"/>
      <c r="M304" s="2"/>
      <c r="N304" s="2"/>
      <c r="O304" s="2"/>
      <c r="P304" s="2"/>
      <c r="Q304" s="2"/>
      <c r="R304" s="2"/>
      <c r="S304" s="2"/>
      <c r="T304" s="2"/>
      <c r="U304" s="2"/>
      <c r="V304" s="2"/>
      <c r="W304" s="2"/>
      <c r="X304" s="2"/>
      <c r="Y304" s="2"/>
      <c r="Z304" s="2"/>
    </row>
    <row r="305" ht="22.5" customHeight="1">
      <c r="A305" s="45">
        <f t="array" ref="A305">IFERROR(INDEX(FinishedData!$C:$C,MATCH(A302,FinishedData!$A:$A,0)),"")</f>
        <v>630</v>
      </c>
      <c r="B305" s="45">
        <f t="array" ref="B305">IFERROR(INDEX(FinishedData!$C:$C,MATCH(B302,FinishedData!$A:$A,0)),"")</f>
        <v>795</v>
      </c>
      <c r="C305" s="45">
        <f t="array" ref="C305">IFERROR(INDEX(FinishedData!$C:$C,MATCH(C302,FinishedData!$A:$A,0)),"")</f>
        <v>725</v>
      </c>
      <c r="D305" s="45">
        <f t="array" ref="D305">IFERROR(INDEX(FinishedData!$C:$C,MATCH(D302,FinishedData!$A:$A,0)),"")</f>
        <v>540</v>
      </c>
      <c r="E305" s="45">
        <f t="array" ref="E305">IFERROR(INDEX(FinishedData!$C:$C,MATCH(E302,FinishedData!$A:$A,0)),"")</f>
        <v>910</v>
      </c>
      <c r="F305" s="45">
        <f t="array" ref="F305">IFERROR(INDEX(FinishedData!$C:$C,MATCH(F302,FinishedData!$A:$A,0)),"")</f>
        <v>645</v>
      </c>
      <c r="G305" s="45">
        <f t="array" ref="G305">IFERROR(INDEX(FinishedData!$C:$C,MATCH(G302,FinishedData!$A:$A,0)),"")</f>
        <v>860</v>
      </c>
      <c r="H305" s="2"/>
      <c r="I305" s="46" t="str">
        <f>IF(A302="","","CHANGE")</f>
        <v>CHANGE</v>
      </c>
      <c r="J305" s="47">
        <f>IFERROR(IF(A302="","",(J304-I304)/I304),"")</f>
        <v>0.3208279431</v>
      </c>
      <c r="K305" s="2"/>
      <c r="L305" s="2"/>
      <c r="M305" s="2"/>
      <c r="N305" s="2"/>
      <c r="O305" s="2"/>
      <c r="P305" s="2"/>
      <c r="Q305" s="2"/>
      <c r="R305" s="2"/>
      <c r="S305" s="2"/>
      <c r="T305" s="2"/>
      <c r="U305" s="2"/>
      <c r="V305" s="2"/>
      <c r="W305" s="2"/>
      <c r="X305" s="2"/>
      <c r="Y305" s="2"/>
      <c r="Z305" s="2"/>
    </row>
    <row r="306" ht="22.5" customHeight="1">
      <c r="A306" s="49">
        <f>IF(G302&gt;=$D$3,"",G302+1)</f>
        <v>45060</v>
      </c>
      <c r="B306" s="49">
        <f t="shared" ref="B306:G306" si="76">IF(A306&gt;=$D$3,"",A306+1)</f>
        <v>45061</v>
      </c>
      <c r="C306" s="49">
        <f t="shared" si="76"/>
        <v>45062</v>
      </c>
      <c r="D306" s="49">
        <f t="shared" si="76"/>
        <v>45063</v>
      </c>
      <c r="E306" s="49">
        <f t="shared" si="76"/>
        <v>45064</v>
      </c>
      <c r="F306" s="49">
        <f t="shared" si="76"/>
        <v>45065</v>
      </c>
      <c r="G306" s="49">
        <f t="shared" si="76"/>
        <v>45066</v>
      </c>
      <c r="H306" s="2"/>
      <c r="I306" s="7"/>
      <c r="J306" s="7"/>
      <c r="K306" s="2"/>
      <c r="L306" s="2"/>
      <c r="M306" s="2"/>
      <c r="N306" s="2"/>
      <c r="O306" s="2"/>
      <c r="P306" s="2"/>
      <c r="Q306" s="2"/>
      <c r="R306" s="2"/>
      <c r="S306" s="2"/>
      <c r="T306" s="2"/>
      <c r="U306" s="2"/>
      <c r="V306" s="2"/>
      <c r="W306" s="2"/>
      <c r="X306" s="2"/>
      <c r="Y306" s="2"/>
      <c r="Z306" s="2"/>
    </row>
    <row r="307" ht="22.5" customHeight="1">
      <c r="A307" s="42" t="str">
        <f t="array" ref="A307">IFERROR(INDEX(Lists!$B:$B,MATCH(A308,Lists!$A:$A,0)),"")</f>
        <v/>
      </c>
      <c r="B307" s="42" t="str">
        <f t="array" ref="B307">IFERROR(INDEX(Lists!$B:$B,MATCH(B308,Lists!$A:$A,0)),"")</f>
        <v/>
      </c>
      <c r="C307" s="42" t="str">
        <f t="array" ref="C307">IFERROR(INDEX(Lists!$B:$B,MATCH(C308,Lists!$A:$A,0)),"")</f>
        <v/>
      </c>
      <c r="D307" s="42" t="str">
        <f t="array" ref="D307">IFERROR(INDEX(Lists!$B:$B,MATCH(D308,Lists!$A:$A,0)),"")</f>
        <v/>
      </c>
      <c r="E307" s="42" t="str">
        <f t="array" ref="E307">IFERROR(INDEX(Lists!$B:$B,MATCH(E308,Lists!$A:$A,0)),"")</f>
        <v/>
      </c>
      <c r="F307" s="42" t="str">
        <f t="array" ref="F307">IFERROR(INDEX(Lists!$B:$B,MATCH(F308,Lists!$A:$A,0)),"")</f>
        <v/>
      </c>
      <c r="G307" s="42" t="str">
        <f t="array" ref="G307">IFERROR(INDEX(Lists!$B:$B,MATCH(G308,Lists!$A:$A,0)),"")</f>
        <v/>
      </c>
      <c r="H307" s="2"/>
      <c r="I307" s="43" t="str">
        <f>IF(A306="","","Week of "&amp;TEXT(A306-7,"MM/DD"))</f>
        <v>Week of 05/07</v>
      </c>
      <c r="J307" s="43" t="str">
        <f>IF(A306="","","Week of "&amp;TEXT(A306,"MM/DD"))</f>
        <v>Week of 05/14</v>
      </c>
      <c r="K307" s="2"/>
      <c r="L307" s="2"/>
      <c r="M307" s="2"/>
      <c r="N307" s="2"/>
      <c r="O307" s="2"/>
      <c r="P307" s="2"/>
      <c r="Q307" s="2"/>
      <c r="R307" s="2"/>
      <c r="S307" s="2"/>
      <c r="T307" s="2"/>
      <c r="U307" s="2"/>
      <c r="V307" s="2"/>
      <c r="W307" s="2"/>
      <c r="X307" s="2"/>
      <c r="Y307" s="2"/>
      <c r="Z307" s="2"/>
    </row>
    <row r="308" ht="22.5" customHeight="1">
      <c r="A308" s="42" t="str">
        <f t="array" ref="A308">IFERROR(INDEX(FinishedData!$B:$B,MATCH(A306,FinishedData!$A:$A,0)),"")</f>
        <v>Off</v>
      </c>
      <c r="B308" s="42" t="str">
        <f t="array" ref="B308">IFERROR(INDEX(FinishedData!$B:$B,MATCH(B306,FinishedData!$A:$A,0)),"")</f>
        <v>Practice</v>
      </c>
      <c r="C308" s="42" t="str">
        <f t="array" ref="C308">IFERROR(INDEX(FinishedData!$B:$B,MATCH(C306,FinishedData!$A:$A,0)),"")</f>
        <v>Gym</v>
      </c>
      <c r="D308" s="42" t="str">
        <f t="array" ref="D308">IFERROR(INDEX(FinishedData!$B:$B,MATCH(D306,FinishedData!$A:$A,0)),"")</f>
        <v>Practice</v>
      </c>
      <c r="E308" s="42" t="str">
        <f t="array" ref="E308">IFERROR(INDEX(FinishedData!$B:$B,MATCH(E306,FinishedData!$A:$A,0)),"")</f>
        <v>Practice</v>
      </c>
      <c r="F308" s="42" t="str">
        <f t="array" ref="F308">IFERROR(INDEX(FinishedData!$B:$B,MATCH(F306,FinishedData!$A:$A,0)),"")</f>
        <v>Practice</v>
      </c>
      <c r="G308" s="42" t="str">
        <f t="array" ref="G308">IFERROR(INDEX(FinishedData!$B:$B,MATCH(G306,FinishedData!$A:$A,0)),"")</f>
        <v>Game</v>
      </c>
      <c r="H308" s="2"/>
      <c r="I308" s="13">
        <f>IFERROR(IF(A306="","",IF(G306="",SUMIFS(FinishedData!$C:$C,FinishedData!$A:$A,"&gt;="&amp;MIN($A306:$G306)-7,FinishedData!$A:$A,"&lt;="&amp;MAX($A306:$G306)+(7-COUNT($A306:$G306)-7)),
SUMIFS(FinishedData!$C:$C,FinishedData!$A:$A,"&gt;="&amp;MIN($A306:$G306)-7,FinishedData!$A:$A,"&lt;="&amp;MAX($A306:$G306)-7))),"")</f>
        <v>5105</v>
      </c>
      <c r="J308" s="13">
        <f>IFERROR(IF(A306="","",SUMIFS(FinishedData!$C:$C,FinishedData!$A:$A,"&gt;="&amp;MIN($A306:$G306),FinishedData!$A:$A,"&lt;="&amp;MAX($A306:$G306))),"")</f>
        <v>4370</v>
      </c>
      <c r="K308" s="2"/>
      <c r="L308" s="2"/>
      <c r="M308" s="2"/>
      <c r="N308" s="2"/>
      <c r="O308" s="2"/>
      <c r="P308" s="2"/>
      <c r="Q308" s="2"/>
      <c r="R308" s="2"/>
      <c r="S308" s="2"/>
      <c r="T308" s="2"/>
      <c r="U308" s="2"/>
      <c r="V308" s="2"/>
      <c r="W308" s="2"/>
      <c r="X308" s="2"/>
      <c r="Y308" s="2"/>
      <c r="Z308" s="2"/>
    </row>
    <row r="309" ht="22.5" customHeight="1">
      <c r="A309" s="45" t="str">
        <f t="array" ref="A309">IFERROR(INDEX(FinishedData!$C:$C,MATCH(A306,FinishedData!$A:$A,0)),"")</f>
        <v/>
      </c>
      <c r="B309" s="45">
        <f t="array" ref="B309">IFERROR(INDEX(FinishedData!$C:$C,MATCH(B306,FinishedData!$A:$A,0)),"")</f>
        <v>675</v>
      </c>
      <c r="C309" s="45">
        <f t="array" ref="C309">IFERROR(INDEX(FinishedData!$C:$C,MATCH(C306,FinishedData!$A:$A,0)),"")</f>
        <v>850</v>
      </c>
      <c r="D309" s="45">
        <f t="array" ref="D309">IFERROR(INDEX(FinishedData!$C:$C,MATCH(D306,FinishedData!$A:$A,0)),"")</f>
        <v>500</v>
      </c>
      <c r="E309" s="45">
        <f t="array" ref="E309">IFERROR(INDEX(FinishedData!$C:$C,MATCH(E306,FinishedData!$A:$A,0)),"")</f>
        <v>810</v>
      </c>
      <c r="F309" s="45">
        <f t="array" ref="F309">IFERROR(INDEX(FinishedData!$C:$C,MATCH(F306,FinishedData!$A:$A,0)),"")</f>
        <v>635</v>
      </c>
      <c r="G309" s="45">
        <f t="array" ref="G309">IFERROR(INDEX(FinishedData!$C:$C,MATCH(G306,FinishedData!$A:$A,0)),"")</f>
        <v>900</v>
      </c>
      <c r="H309" s="2"/>
      <c r="I309" s="46" t="str">
        <f>IF(A306="","","CHANGE")</f>
        <v>CHANGE</v>
      </c>
      <c r="J309" s="47">
        <f>IFERROR(IF(A306="","",(J308-I308)/I308),"")</f>
        <v>-0.1439764936</v>
      </c>
      <c r="K309" s="2"/>
      <c r="L309" s="2"/>
      <c r="M309" s="2"/>
      <c r="N309" s="2"/>
      <c r="O309" s="2"/>
      <c r="P309" s="2"/>
      <c r="Q309" s="2"/>
      <c r="R309" s="2"/>
      <c r="S309" s="2"/>
      <c r="T309" s="2"/>
      <c r="U309" s="2"/>
      <c r="V309" s="2"/>
      <c r="W309" s="2"/>
      <c r="X309" s="2"/>
      <c r="Y309" s="2"/>
      <c r="Z309" s="2"/>
    </row>
    <row r="310" ht="22.5" customHeight="1">
      <c r="A310" s="49">
        <f>IF(G306&gt;=$D$3,"",G306+1)</f>
        <v>45067</v>
      </c>
      <c r="B310" s="49">
        <f t="shared" ref="B310:G310" si="77">IF(A310&gt;=$D$3,"",A310+1)</f>
        <v>45068</v>
      </c>
      <c r="C310" s="49">
        <f t="shared" si="77"/>
        <v>45069</v>
      </c>
      <c r="D310" s="49">
        <f t="shared" si="77"/>
        <v>45070</v>
      </c>
      <c r="E310" s="49">
        <f t="shared" si="77"/>
        <v>45071</v>
      </c>
      <c r="F310" s="49">
        <f t="shared" si="77"/>
        <v>45072</v>
      </c>
      <c r="G310" s="49">
        <f t="shared" si="77"/>
        <v>45073</v>
      </c>
      <c r="H310" s="2"/>
      <c r="I310" s="7"/>
      <c r="J310" s="7"/>
      <c r="K310" s="2"/>
      <c r="L310" s="2"/>
      <c r="M310" s="2"/>
      <c r="N310" s="2"/>
      <c r="O310" s="2"/>
      <c r="P310" s="2"/>
      <c r="Q310" s="2"/>
      <c r="R310" s="2"/>
      <c r="S310" s="2"/>
      <c r="T310" s="2"/>
      <c r="U310" s="2"/>
      <c r="V310" s="2"/>
      <c r="W310" s="2"/>
      <c r="X310" s="2"/>
      <c r="Y310" s="2"/>
      <c r="Z310" s="2"/>
    </row>
    <row r="311" ht="22.5" customHeight="1">
      <c r="A311" s="42" t="str">
        <f t="array" ref="A311">IFERROR(INDEX(Lists!$B:$B,MATCH(A312,Lists!$A:$A,0)),"")</f>
        <v/>
      </c>
      <c r="B311" s="42" t="str">
        <f t="array" ref="B311">IFERROR(INDEX(Lists!$B:$B,MATCH(B312,Lists!$A:$A,0)),"")</f>
        <v/>
      </c>
      <c r="C311" s="42" t="str">
        <f t="array" ref="C311">IFERROR(INDEX(Lists!$B:$B,MATCH(C312,Lists!$A:$A,0)),"")</f>
        <v/>
      </c>
      <c r="D311" s="42" t="str">
        <f t="array" ref="D311">IFERROR(INDEX(Lists!$B:$B,MATCH(D312,Lists!$A:$A,0)),"")</f>
        <v/>
      </c>
      <c r="E311" s="42" t="str">
        <f t="array" ref="E311">IFERROR(INDEX(Lists!$B:$B,MATCH(E312,Lists!$A:$A,0)),"")</f>
        <v/>
      </c>
      <c r="F311" s="42" t="str">
        <f t="array" ref="F311">IFERROR(INDEX(Lists!$B:$B,MATCH(F312,Lists!$A:$A,0)),"")</f>
        <v/>
      </c>
      <c r="G311" s="42" t="str">
        <f t="array" ref="G311">IFERROR(INDEX(Lists!$B:$B,MATCH(G312,Lists!$A:$A,0)),"")</f>
        <v/>
      </c>
      <c r="H311" s="2"/>
      <c r="I311" s="43" t="str">
        <f>IF(A310="","","Week of "&amp;TEXT(A310-7,"MM/DD"))</f>
        <v>Week of 05/14</v>
      </c>
      <c r="J311" s="43" t="str">
        <f>IF(A310="","","Week of "&amp;TEXT(A310,"MM/DD"))</f>
        <v>Week of 05/21</v>
      </c>
      <c r="K311" s="2"/>
      <c r="L311" s="2"/>
      <c r="M311" s="2"/>
      <c r="N311" s="2"/>
      <c r="O311" s="2"/>
      <c r="P311" s="2"/>
      <c r="Q311" s="2"/>
      <c r="R311" s="2"/>
      <c r="S311" s="2"/>
      <c r="T311" s="2"/>
      <c r="U311" s="2"/>
      <c r="V311" s="2"/>
      <c r="W311" s="2"/>
      <c r="X311" s="2"/>
      <c r="Y311" s="2"/>
      <c r="Z311" s="2"/>
    </row>
    <row r="312" ht="22.5" customHeight="1">
      <c r="A312" s="42" t="str">
        <f t="array" ref="A312">IFERROR(INDEX(FinishedData!$B:$B,MATCH(A310,FinishedData!$A:$A,0)),"")</f>
        <v>Off</v>
      </c>
      <c r="B312" s="42" t="str">
        <f t="array" ref="B312">IFERROR(INDEX(FinishedData!$B:$B,MATCH(B310,FinishedData!$A:$A,0)),"")</f>
        <v>Gym</v>
      </c>
      <c r="C312" s="42" t="str">
        <f t="array" ref="C312">IFERROR(INDEX(FinishedData!$B:$B,MATCH(C310,FinishedData!$A:$A,0)),"")</f>
        <v>Practice</v>
      </c>
      <c r="D312" s="42" t="str">
        <f t="array" ref="D312">IFERROR(INDEX(FinishedData!$B:$B,MATCH(D310,FinishedData!$A:$A,0)),"")</f>
        <v>Practice</v>
      </c>
      <c r="E312" s="42" t="str">
        <f t="array" ref="E312">IFERROR(INDEX(FinishedData!$B:$B,MATCH(E310,FinishedData!$A:$A,0)),"")</f>
        <v>Game</v>
      </c>
      <c r="F312" s="42" t="str">
        <f t="array" ref="F312">IFERROR(INDEX(FinishedData!$B:$B,MATCH(F310,FinishedData!$A:$A,0)),"")</f>
        <v>Game</v>
      </c>
      <c r="G312" s="42" t="str">
        <f t="array" ref="G312">IFERROR(INDEX(FinishedData!$B:$B,MATCH(G310,FinishedData!$A:$A,0)),"")</f>
        <v>Off</v>
      </c>
      <c r="H312" s="2"/>
      <c r="I312" s="13">
        <f>IFERROR(IF(A310="","",IF(G310="",SUMIFS(FinishedData!$C:$C,FinishedData!$A:$A,"&gt;="&amp;MIN($A310:$G310)-7,FinishedData!$A:$A,"&lt;="&amp;MAX($A310:$G310)+(7-COUNT($A310:$G310)-7)),
SUMIFS(FinishedData!$C:$C,FinishedData!$A:$A,"&gt;="&amp;MIN($A310:$G310)-7,FinishedData!$A:$A,"&lt;="&amp;MAX($A310:$G310)-7))),"")</f>
        <v>4370</v>
      </c>
      <c r="J312" s="13">
        <f>IFERROR(IF(A310="","",SUMIFS(FinishedData!$C:$C,FinishedData!$A:$A,"&gt;="&amp;MIN($A310:$G310),FinishedData!$A:$A,"&lt;="&amp;MAX($A310:$G310))),"")</f>
        <v>3530</v>
      </c>
      <c r="K312" s="2"/>
      <c r="L312" s="2"/>
      <c r="M312" s="2"/>
      <c r="N312" s="2"/>
      <c r="O312" s="2"/>
      <c r="P312" s="2"/>
      <c r="Q312" s="2"/>
      <c r="R312" s="2"/>
      <c r="S312" s="2"/>
      <c r="T312" s="2"/>
      <c r="U312" s="2"/>
      <c r="V312" s="2"/>
      <c r="W312" s="2"/>
      <c r="X312" s="2"/>
      <c r="Y312" s="2"/>
      <c r="Z312" s="2"/>
    </row>
    <row r="313" ht="22.5" customHeight="1">
      <c r="A313" s="45" t="str">
        <f t="array" ref="A313">IFERROR(INDEX(FinishedData!$C:$C,MATCH(A310,FinishedData!$A:$A,0)),"")</f>
        <v/>
      </c>
      <c r="B313" s="45">
        <f t="array" ref="B313">IFERROR(INDEX(FinishedData!$C:$C,MATCH(B310,FinishedData!$A:$A,0)),"")</f>
        <v>715</v>
      </c>
      <c r="C313" s="45">
        <f t="array" ref="C313">IFERROR(INDEX(FinishedData!$C:$C,MATCH(C310,FinishedData!$A:$A,0)),"")</f>
        <v>895</v>
      </c>
      <c r="D313" s="45">
        <f t="array" ref="D313">IFERROR(INDEX(FinishedData!$C:$C,MATCH(D310,FinishedData!$A:$A,0)),"")</f>
        <v>660</v>
      </c>
      <c r="E313" s="45">
        <f t="array" ref="E313">IFERROR(INDEX(FinishedData!$C:$C,MATCH(E310,FinishedData!$A:$A,0)),"")</f>
        <v>635</v>
      </c>
      <c r="F313" s="45">
        <f t="array" ref="F313">IFERROR(INDEX(FinishedData!$C:$C,MATCH(F310,FinishedData!$A:$A,0)),"")</f>
        <v>625</v>
      </c>
      <c r="G313" s="45" t="str">
        <f t="array" ref="G313">IFERROR(INDEX(FinishedData!$C:$C,MATCH(G310,FinishedData!$A:$A,0)),"")</f>
        <v/>
      </c>
      <c r="H313" s="2"/>
      <c r="I313" s="46" t="str">
        <f>IF(A310="","","CHANGE")</f>
        <v>CHANGE</v>
      </c>
      <c r="J313" s="47">
        <f>IFERROR(IF(A310="","",(J312-I312)/I312),"")</f>
        <v>-0.1922196796</v>
      </c>
      <c r="K313" s="2"/>
      <c r="L313" s="2"/>
      <c r="M313" s="2"/>
      <c r="N313" s="2"/>
      <c r="O313" s="2"/>
      <c r="P313" s="2"/>
      <c r="Q313" s="2"/>
      <c r="R313" s="2"/>
      <c r="S313" s="2"/>
      <c r="T313" s="2"/>
      <c r="U313" s="2"/>
      <c r="V313" s="2"/>
      <c r="W313" s="2"/>
      <c r="X313" s="2"/>
      <c r="Y313" s="2"/>
      <c r="Z313" s="2"/>
    </row>
    <row r="314" ht="22.5" customHeight="1">
      <c r="A314" s="49">
        <f>IF(G310&gt;=$D$3,"",G310+1)</f>
        <v>45074</v>
      </c>
      <c r="B314" s="49">
        <f t="shared" ref="B314:G314" si="78">IF(A314&gt;=$D$3,"",A314+1)</f>
        <v>45075</v>
      </c>
      <c r="C314" s="49">
        <f t="shared" si="78"/>
        <v>45076</v>
      </c>
      <c r="D314" s="49">
        <f t="shared" si="78"/>
        <v>45077</v>
      </c>
      <c r="E314" s="49">
        <f t="shared" si="78"/>
        <v>45078</v>
      </c>
      <c r="F314" s="49">
        <f t="shared" si="78"/>
        <v>45079</v>
      </c>
      <c r="G314" s="49">
        <f t="shared" si="78"/>
        <v>45080</v>
      </c>
      <c r="H314" s="2"/>
      <c r="I314" s="7"/>
      <c r="J314" s="7"/>
      <c r="K314" s="2"/>
      <c r="L314" s="2"/>
      <c r="M314" s="2"/>
      <c r="N314" s="2"/>
      <c r="O314" s="2"/>
      <c r="P314" s="2"/>
      <c r="Q314" s="2"/>
      <c r="R314" s="2"/>
      <c r="S314" s="2"/>
      <c r="T314" s="2"/>
      <c r="U314" s="2"/>
      <c r="V314" s="2"/>
      <c r="W314" s="2"/>
      <c r="X314" s="2"/>
      <c r="Y314" s="2"/>
      <c r="Z314" s="2"/>
    </row>
    <row r="315" ht="22.5" customHeight="1">
      <c r="A315" s="42" t="str">
        <f t="array" ref="A315">IFERROR(INDEX(Lists!$B:$B,MATCH(A316,Lists!$A:$A,0)),"")</f>
        <v/>
      </c>
      <c r="B315" s="42" t="str">
        <f t="array" ref="B315">IFERROR(INDEX(Lists!$B:$B,MATCH(B316,Lists!$A:$A,0)),"")</f>
        <v/>
      </c>
      <c r="C315" s="42" t="str">
        <f t="array" ref="C315">IFERROR(INDEX(Lists!$B:$B,MATCH(C316,Lists!$A:$A,0)),"")</f>
        <v/>
      </c>
      <c r="D315" s="42" t="str">
        <f t="array" ref="D315">IFERROR(INDEX(Lists!$B:$B,MATCH(D316,Lists!$A:$A,0)),"")</f>
        <v/>
      </c>
      <c r="E315" s="42" t="str">
        <f t="array" ref="E315">IFERROR(INDEX(Lists!$B:$B,MATCH(E316,Lists!$A:$A,0)),"")</f>
        <v/>
      </c>
      <c r="F315" s="42" t="str">
        <f t="array" ref="F315">IFERROR(INDEX(Lists!$B:$B,MATCH(F316,Lists!$A:$A,0)),"")</f>
        <v/>
      </c>
      <c r="G315" s="42" t="str">
        <f t="array" ref="G315">IFERROR(INDEX(Lists!$B:$B,MATCH(G316,Lists!$A:$A,0)),"")</f>
        <v/>
      </c>
      <c r="H315" s="2"/>
      <c r="I315" s="43" t="str">
        <f>IF(A314="","","Week of "&amp;TEXT(A314-7,"MM/DD"))</f>
        <v>Week of 05/21</v>
      </c>
      <c r="J315" s="43" t="str">
        <f>IF(A314="","","Week of "&amp;TEXT(A314,"MM/DD"))</f>
        <v>Week of 05/28</v>
      </c>
      <c r="K315" s="2"/>
      <c r="L315" s="2"/>
      <c r="M315" s="2"/>
      <c r="N315" s="2"/>
      <c r="O315" s="2"/>
      <c r="P315" s="2"/>
      <c r="Q315" s="2"/>
      <c r="R315" s="2"/>
      <c r="S315" s="2"/>
      <c r="T315" s="2"/>
      <c r="U315" s="2"/>
      <c r="V315" s="2"/>
      <c r="W315" s="2"/>
      <c r="X315" s="2"/>
      <c r="Y315" s="2"/>
      <c r="Z315" s="2"/>
    </row>
    <row r="316" ht="22.5" customHeight="1">
      <c r="A316" s="42" t="str">
        <f t="array" ref="A316">IFERROR(INDEX(FinishedData!$B:$B,MATCH(A314,FinishedData!$A:$A,0)),"")</f>
        <v>Practice</v>
      </c>
      <c r="B316" s="42" t="str">
        <f t="array" ref="B316">IFERROR(INDEX(FinishedData!$B:$B,MATCH(B314,FinishedData!$A:$A,0)),"")</f>
        <v>Practice</v>
      </c>
      <c r="C316" s="42" t="str">
        <f t="array" ref="C316">IFERROR(INDEX(FinishedData!$B:$B,MATCH(C314,FinishedData!$A:$A,0)),"")</f>
        <v>Gym</v>
      </c>
      <c r="D316" s="42" t="str">
        <f t="array" ref="D316">IFERROR(INDEX(FinishedData!$B:$B,MATCH(D314,FinishedData!$A:$A,0)),"")</f>
        <v>Practice</v>
      </c>
      <c r="E316" s="42" t="str">
        <f t="array" ref="E316">IFERROR(INDEX(FinishedData!$B:$B,MATCH(E314,FinishedData!$A:$A,0)),"")</f>
        <v>Practice</v>
      </c>
      <c r="F316" s="42" t="str">
        <f t="array" ref="F316">IFERROR(INDEX(FinishedData!$B:$B,MATCH(F314,FinishedData!$A:$A,0)),"")</f>
        <v>Game</v>
      </c>
      <c r="G316" s="42" t="str">
        <f t="array" ref="G316">IFERROR(INDEX(FinishedData!$B:$B,MATCH(G314,FinishedData!$A:$A,0)),"")</f>
        <v>Practice</v>
      </c>
      <c r="H316" s="2"/>
      <c r="I316" s="13">
        <f>IFERROR(IF(A314="","",IF(G314="",SUMIFS(FinishedData!$C:$C,FinishedData!$A:$A,"&gt;="&amp;MIN($A314:$G314)-7,FinishedData!$A:$A,"&lt;="&amp;MAX($A314:$G314)+(7-COUNT($A314:$G314)-7)),
SUMIFS(FinishedData!$C:$C,FinishedData!$A:$A,"&gt;="&amp;MIN($A314:$G314)-7,FinishedData!$A:$A,"&lt;="&amp;MAX($A314:$G314)-7))),"")</f>
        <v>3530</v>
      </c>
      <c r="J316" s="13">
        <f>IFERROR(IF(A314="","",SUMIFS(FinishedData!$C:$C,FinishedData!$A:$A,"&gt;="&amp;MIN($A314:$G314),FinishedData!$A:$A,"&lt;="&amp;MAX($A314:$G314))),"")</f>
        <v>5050</v>
      </c>
      <c r="K316" s="2"/>
      <c r="L316" s="2"/>
      <c r="M316" s="2"/>
      <c r="N316" s="2"/>
      <c r="O316" s="2"/>
      <c r="P316" s="2"/>
      <c r="Q316" s="2"/>
      <c r="R316" s="2"/>
      <c r="S316" s="2"/>
      <c r="T316" s="2"/>
      <c r="U316" s="2"/>
      <c r="V316" s="2"/>
      <c r="W316" s="2"/>
      <c r="X316" s="2"/>
      <c r="Y316" s="2"/>
      <c r="Z316" s="2"/>
    </row>
    <row r="317" ht="22.5" customHeight="1">
      <c r="A317" s="45">
        <f t="array" ref="A317">IFERROR(INDEX(FinishedData!$C:$C,MATCH(A314,FinishedData!$A:$A,0)),"")</f>
        <v>920</v>
      </c>
      <c r="B317" s="45">
        <f t="array" ref="B317">IFERROR(INDEX(FinishedData!$C:$C,MATCH(B314,FinishedData!$A:$A,0)),"")</f>
        <v>645</v>
      </c>
      <c r="C317" s="45">
        <f t="array" ref="C317">IFERROR(INDEX(FinishedData!$C:$C,MATCH(C314,FinishedData!$A:$A,0)),"")</f>
        <v>985</v>
      </c>
      <c r="D317" s="45">
        <f t="array" ref="D317">IFERROR(INDEX(FinishedData!$C:$C,MATCH(D314,FinishedData!$A:$A,0)),"")</f>
        <v>890</v>
      </c>
      <c r="E317" s="45">
        <f t="array" ref="E317">IFERROR(INDEX(FinishedData!$C:$C,MATCH(E314,FinishedData!$A:$A,0)),"")</f>
        <v>520</v>
      </c>
      <c r="F317" s="45">
        <f t="array" ref="F317">IFERROR(INDEX(FinishedData!$C:$C,MATCH(F314,FinishedData!$A:$A,0)),"")</f>
        <v>515</v>
      </c>
      <c r="G317" s="45">
        <f t="array" ref="G317">IFERROR(INDEX(FinishedData!$C:$C,MATCH(G314,FinishedData!$A:$A,0)),"")</f>
        <v>575</v>
      </c>
      <c r="H317" s="2"/>
      <c r="I317" s="46" t="str">
        <f>IF(A314="","","CHANGE")</f>
        <v>CHANGE</v>
      </c>
      <c r="J317" s="47">
        <f>IFERROR(IF(A314="","",(J316-I316)/I316),"")</f>
        <v>0.4305949008</v>
      </c>
      <c r="K317" s="2"/>
      <c r="L317" s="2"/>
      <c r="M317" s="2"/>
      <c r="N317" s="2"/>
      <c r="O317" s="2"/>
      <c r="P317" s="2"/>
      <c r="Q317" s="2"/>
      <c r="R317" s="2"/>
      <c r="S317" s="2"/>
      <c r="T317" s="2"/>
      <c r="U317" s="2"/>
      <c r="V317" s="2"/>
      <c r="W317" s="2"/>
      <c r="X317" s="2"/>
      <c r="Y317" s="2"/>
      <c r="Z317" s="2"/>
    </row>
    <row r="318" ht="22.5" customHeight="1">
      <c r="A318" s="49">
        <f>IF(G314&gt;=$D$3,"",G314+1)</f>
        <v>45081</v>
      </c>
      <c r="B318" s="49">
        <f t="shared" ref="B318:G318" si="79">IF(A318&gt;=$D$3,"",A318+1)</f>
        <v>45082</v>
      </c>
      <c r="C318" s="49">
        <f t="shared" si="79"/>
        <v>45083</v>
      </c>
      <c r="D318" s="49">
        <f t="shared" si="79"/>
        <v>45084</v>
      </c>
      <c r="E318" s="49">
        <f t="shared" si="79"/>
        <v>45085</v>
      </c>
      <c r="F318" s="49">
        <f t="shared" si="79"/>
        <v>45086</v>
      </c>
      <c r="G318" s="49">
        <f t="shared" si="79"/>
        <v>45087</v>
      </c>
      <c r="H318" s="2"/>
      <c r="I318" s="2"/>
      <c r="J318" s="2"/>
      <c r="K318" s="2"/>
      <c r="L318" s="2"/>
      <c r="M318" s="2"/>
      <c r="N318" s="2"/>
      <c r="O318" s="2"/>
      <c r="P318" s="2"/>
      <c r="Q318" s="2"/>
      <c r="R318" s="2"/>
      <c r="S318" s="2"/>
      <c r="T318" s="2"/>
      <c r="U318" s="2"/>
      <c r="V318" s="2"/>
      <c r="W318" s="2"/>
      <c r="X318" s="2"/>
      <c r="Y318" s="2"/>
      <c r="Z318" s="2"/>
    </row>
    <row r="319" ht="22.5" customHeight="1">
      <c r="A319" s="42" t="str">
        <f t="array" ref="A319">IFERROR(INDEX(Lists!$B:$B,MATCH(A320,Lists!$A:$A,0)),"")</f>
        <v/>
      </c>
      <c r="B319" s="42" t="str">
        <f t="array" ref="B319">IFERROR(INDEX(Lists!$B:$B,MATCH(B320,Lists!$A:$A,0)),"")</f>
        <v/>
      </c>
      <c r="C319" s="42" t="str">
        <f t="array" ref="C319">IFERROR(INDEX(Lists!$B:$B,MATCH(C320,Lists!$A:$A,0)),"")</f>
        <v/>
      </c>
      <c r="D319" s="42" t="str">
        <f t="array" ref="D319">IFERROR(INDEX(Lists!$B:$B,MATCH(D320,Lists!$A:$A,0)),"")</f>
        <v/>
      </c>
      <c r="E319" s="42" t="str">
        <f t="array" ref="E319">IFERROR(INDEX(Lists!$B:$B,MATCH(E320,Lists!$A:$A,0)),"")</f>
        <v/>
      </c>
      <c r="F319" s="42" t="str">
        <f t="array" ref="F319">IFERROR(INDEX(Lists!$B:$B,MATCH(F320,Lists!$A:$A,0)),"")</f>
        <v/>
      </c>
      <c r="G319" s="42" t="str">
        <f t="array" ref="G319">IFERROR(INDEX(Lists!$B:$B,MATCH(G320,Lists!$A:$A,0)),"")</f>
        <v/>
      </c>
      <c r="H319" s="2"/>
      <c r="I319" s="43" t="str">
        <f>IF(A318="","","Week of "&amp;TEXT(A318-7,"MM/DD"))</f>
        <v>Week of 05/28</v>
      </c>
      <c r="J319" s="43" t="str">
        <f>IF(A318="","","Week of "&amp;TEXT(A318,"MM/DD"))</f>
        <v>Week of 06/04</v>
      </c>
      <c r="K319" s="2"/>
      <c r="L319" s="2"/>
      <c r="M319" s="2"/>
      <c r="N319" s="2"/>
      <c r="O319" s="2"/>
      <c r="P319" s="2"/>
      <c r="Q319" s="2"/>
      <c r="R319" s="2"/>
      <c r="S319" s="2"/>
      <c r="T319" s="2"/>
      <c r="U319" s="2"/>
      <c r="V319" s="2"/>
      <c r="W319" s="2"/>
      <c r="X319" s="2"/>
      <c r="Y319" s="2"/>
      <c r="Z319" s="2"/>
    </row>
    <row r="320" ht="22.5" customHeight="1">
      <c r="A320" s="42" t="str">
        <f t="array" ref="A320">IFERROR(INDEX(FinishedData!$B:$B,MATCH(A318,FinishedData!$A:$A,0)),"")</f>
        <v>Game</v>
      </c>
      <c r="B320" s="42" t="str">
        <f t="array" ref="B320">IFERROR(INDEX(FinishedData!$B:$B,MATCH(B318,FinishedData!$A:$A,0)),"")</f>
        <v>Off</v>
      </c>
      <c r="C320" s="42" t="str">
        <f t="array" ref="C320">IFERROR(INDEX(FinishedData!$B:$B,MATCH(C318,FinishedData!$A:$A,0)),"")</f>
        <v>Practice</v>
      </c>
      <c r="D320" s="42" t="str">
        <f t="array" ref="D320">IFERROR(INDEX(FinishedData!$B:$B,MATCH(D318,FinishedData!$A:$A,0)),"")</f>
        <v>Gym</v>
      </c>
      <c r="E320" s="42" t="str">
        <f t="array" ref="E320">IFERROR(INDEX(FinishedData!$B:$B,MATCH(E318,FinishedData!$A:$A,0)),"")</f>
        <v>Practice</v>
      </c>
      <c r="F320" s="42" t="str">
        <f t="array" ref="F320">IFERROR(INDEX(FinishedData!$B:$B,MATCH(F318,FinishedData!$A:$A,0)),"")</f>
        <v>Practice</v>
      </c>
      <c r="G320" s="42" t="str">
        <f t="array" ref="G320">IFERROR(INDEX(FinishedData!$B:$B,MATCH(G318,FinishedData!$A:$A,0)),"")</f>
        <v>Practice</v>
      </c>
      <c r="H320" s="2"/>
      <c r="I320" s="13">
        <f>IFERROR(IF(A318="","",IF(G318="",SUMIFS(FinishedData!$C:$C,FinishedData!$A:$A,"&gt;="&amp;MIN($A318:$G318)-7,FinishedData!$A:$A,"&lt;="&amp;MAX($A318:$G318)+(7-COUNT($A318:$G318)-7)),
SUMIFS(FinishedData!$C:$C,FinishedData!$A:$A,"&gt;="&amp;MIN($A318:$G318)-7,FinishedData!$A:$A,"&lt;="&amp;MAX($A318:$G318)-7))),"")</f>
        <v>5050</v>
      </c>
      <c r="J320" s="13">
        <f>IFERROR(IF(A318="","",SUMIFS(FinishedData!$C:$C,FinishedData!$A:$A,"&gt;="&amp;MIN($A318:$G318),FinishedData!$A:$A,"&lt;="&amp;MAX($A318:$G318))),"")</f>
        <v>4700</v>
      </c>
      <c r="K320" s="2"/>
      <c r="L320" s="2"/>
      <c r="M320" s="2"/>
      <c r="N320" s="2"/>
      <c r="O320" s="2"/>
      <c r="P320" s="2"/>
      <c r="Q320" s="2"/>
      <c r="R320" s="2"/>
      <c r="S320" s="2"/>
      <c r="T320" s="2"/>
      <c r="U320" s="2"/>
      <c r="V320" s="2"/>
      <c r="W320" s="2"/>
      <c r="X320" s="2"/>
      <c r="Y320" s="2"/>
      <c r="Z320" s="2"/>
    </row>
    <row r="321" ht="22.5" customHeight="1">
      <c r="A321" s="45">
        <f t="array" ref="A321">IFERROR(INDEX(FinishedData!$C:$C,MATCH(A318,FinishedData!$A:$A,0)),"")</f>
        <v>835</v>
      </c>
      <c r="B321" s="45" t="str">
        <f t="array" ref="B321">IFERROR(INDEX(FinishedData!$C:$C,MATCH(B318,FinishedData!$A:$A,0)),"")</f>
        <v/>
      </c>
      <c r="C321" s="45">
        <f t="array" ref="C321">IFERROR(INDEX(FinishedData!$C:$C,MATCH(C318,FinishedData!$A:$A,0)),"")</f>
        <v>830</v>
      </c>
      <c r="D321" s="45">
        <f t="array" ref="D321">IFERROR(INDEX(FinishedData!$C:$C,MATCH(D318,FinishedData!$A:$A,0)),"")</f>
        <v>710</v>
      </c>
      <c r="E321" s="45">
        <f t="array" ref="E321">IFERROR(INDEX(FinishedData!$C:$C,MATCH(E318,FinishedData!$A:$A,0)),"")</f>
        <v>970</v>
      </c>
      <c r="F321" s="45">
        <f t="array" ref="F321">IFERROR(INDEX(FinishedData!$C:$C,MATCH(F318,FinishedData!$A:$A,0)),"")</f>
        <v>805</v>
      </c>
      <c r="G321" s="45">
        <f t="array" ref="G321">IFERROR(INDEX(FinishedData!$C:$C,MATCH(G318,FinishedData!$A:$A,0)),"")</f>
        <v>550</v>
      </c>
      <c r="H321" s="2"/>
      <c r="I321" s="46" t="str">
        <f>IF(A318="","","CHANGE")</f>
        <v>CHANGE</v>
      </c>
      <c r="J321" s="47">
        <f>IFERROR(IF(A318="","",(J320-I320)/I320),"")</f>
        <v>-0.06930693069</v>
      </c>
      <c r="K321" s="2"/>
      <c r="L321" s="2"/>
      <c r="M321" s="2"/>
      <c r="N321" s="2"/>
      <c r="O321" s="2"/>
      <c r="P321" s="2"/>
      <c r="Q321" s="2"/>
      <c r="R321" s="2"/>
      <c r="S321" s="2"/>
      <c r="T321" s="2"/>
      <c r="U321" s="2"/>
      <c r="V321" s="2"/>
      <c r="W321" s="2"/>
      <c r="X321" s="2"/>
      <c r="Y321" s="2"/>
      <c r="Z321" s="2"/>
    </row>
    <row r="322" ht="22.5" customHeight="1">
      <c r="A322" s="49">
        <f>IF(G318&gt;=$D$3,"",G318+1)</f>
        <v>45088</v>
      </c>
      <c r="B322" s="49">
        <f t="shared" ref="B322:G322" si="80">IF(A322&gt;=$D$3,"",A322+1)</f>
        <v>45089</v>
      </c>
      <c r="C322" s="49">
        <f t="shared" si="80"/>
        <v>45090</v>
      </c>
      <c r="D322" s="49">
        <f t="shared" si="80"/>
        <v>45091</v>
      </c>
      <c r="E322" s="49">
        <f t="shared" si="80"/>
        <v>45092</v>
      </c>
      <c r="F322" s="49">
        <f t="shared" si="80"/>
        <v>45093</v>
      </c>
      <c r="G322" s="49">
        <f t="shared" si="80"/>
        <v>45094</v>
      </c>
      <c r="H322" s="2"/>
      <c r="I322" s="7"/>
      <c r="J322" s="7"/>
      <c r="K322" s="2"/>
      <c r="L322" s="2"/>
      <c r="M322" s="2"/>
      <c r="N322" s="2"/>
      <c r="O322" s="2"/>
      <c r="P322" s="2"/>
      <c r="Q322" s="2"/>
      <c r="R322" s="2"/>
      <c r="S322" s="2"/>
      <c r="T322" s="2"/>
      <c r="U322" s="2"/>
      <c r="V322" s="2"/>
      <c r="W322" s="2"/>
      <c r="X322" s="2"/>
      <c r="Y322" s="2"/>
      <c r="Z322" s="2"/>
    </row>
    <row r="323" ht="22.5" customHeight="1">
      <c r="A323" s="42" t="str">
        <f t="array" ref="A323">IFERROR(INDEX(Lists!$B:$B,MATCH(A324,Lists!$A:$A,0)),"")</f>
        <v/>
      </c>
      <c r="B323" s="42" t="str">
        <f t="array" ref="B323">IFERROR(INDEX(Lists!$B:$B,MATCH(B324,Lists!$A:$A,0)),"")</f>
        <v/>
      </c>
      <c r="C323" s="42" t="str">
        <f t="array" ref="C323">IFERROR(INDEX(Lists!$B:$B,MATCH(C324,Lists!$A:$A,0)),"")</f>
        <v/>
      </c>
      <c r="D323" s="42" t="str">
        <f t="array" ref="D323">IFERROR(INDEX(Lists!$B:$B,MATCH(D324,Lists!$A:$A,0)),"")</f>
        <v/>
      </c>
      <c r="E323" s="42" t="str">
        <f t="array" ref="E323">IFERROR(INDEX(Lists!$B:$B,MATCH(E324,Lists!$A:$A,0)),"")</f>
        <v/>
      </c>
      <c r="F323" s="42" t="str">
        <f t="array" ref="F323">IFERROR(INDEX(Lists!$B:$B,MATCH(F324,Lists!$A:$A,0)),"")</f>
        <v/>
      </c>
      <c r="G323" s="42" t="str">
        <f t="array" ref="G323">IFERROR(INDEX(Lists!$B:$B,MATCH(G324,Lists!$A:$A,0)),"")</f>
        <v/>
      </c>
      <c r="H323" s="2"/>
      <c r="I323" s="43" t="str">
        <f>IF(A322="","","Week of "&amp;TEXT(A322-7,"MM/DD"))</f>
        <v>Week of 06/04</v>
      </c>
      <c r="J323" s="43" t="str">
        <f>IF(A322="","","Week of "&amp;TEXT(A322,"MM/DD"))</f>
        <v>Week of 06/11</v>
      </c>
      <c r="K323" s="2"/>
      <c r="L323" s="2"/>
      <c r="M323" s="2"/>
      <c r="N323" s="2"/>
      <c r="O323" s="2"/>
      <c r="P323" s="2"/>
      <c r="Q323" s="2"/>
      <c r="R323" s="2"/>
      <c r="S323" s="2"/>
      <c r="T323" s="2"/>
      <c r="U323" s="2"/>
      <c r="V323" s="2"/>
      <c r="W323" s="2"/>
      <c r="X323" s="2"/>
      <c r="Y323" s="2"/>
      <c r="Z323" s="2"/>
    </row>
    <row r="324" ht="22.5" customHeight="1">
      <c r="A324" s="42" t="str">
        <f t="array" ref="A324">IFERROR(INDEX(FinishedData!$B:$B,MATCH(A322,FinishedData!$A:$A,0)),"")</f>
        <v>Game</v>
      </c>
      <c r="B324" s="42" t="str">
        <f t="array" ref="B324">IFERROR(INDEX(FinishedData!$B:$B,MATCH(B322,FinishedData!$A:$A,0)),"")</f>
        <v>Off</v>
      </c>
      <c r="C324" s="42" t="str">
        <f t="array" ref="C324">IFERROR(INDEX(FinishedData!$B:$B,MATCH(C322,FinishedData!$A:$A,0)),"")</f>
        <v>Practice</v>
      </c>
      <c r="D324" s="42" t="str">
        <f t="array" ref="D324">IFERROR(INDEX(FinishedData!$B:$B,MATCH(D322,FinishedData!$A:$A,0)),"")</f>
        <v>Game</v>
      </c>
      <c r="E324" s="42" t="str">
        <f t="array" ref="E324">IFERROR(INDEX(FinishedData!$B:$B,MATCH(E322,FinishedData!$A:$A,0)),"")</f>
        <v>Practice</v>
      </c>
      <c r="F324" s="42" t="str">
        <f t="array" ref="F324">IFERROR(INDEX(FinishedData!$B:$B,MATCH(F322,FinishedData!$A:$A,0)),"")</f>
        <v>Practice</v>
      </c>
      <c r="G324" s="42" t="str">
        <f t="array" ref="G324">IFERROR(INDEX(FinishedData!$B:$B,MATCH(G322,FinishedData!$A:$A,0)),"")</f>
        <v>Game</v>
      </c>
      <c r="H324" s="2"/>
      <c r="I324" s="13">
        <f>IFERROR(IF(A322="","",IF(G322="",SUMIFS(FinishedData!$C:$C,FinishedData!$A:$A,"&gt;="&amp;MIN($A322:$G322)-7,FinishedData!$A:$A,"&lt;="&amp;MAX($A322:$G322)+(7-COUNT($A322:$G322)-7)),
SUMIFS(FinishedData!$C:$C,FinishedData!$A:$A,"&gt;="&amp;MIN($A322:$G322)-7,FinishedData!$A:$A,"&lt;="&amp;MAX($A322:$G322)-7))),"")</f>
        <v>4700</v>
      </c>
      <c r="J324" s="13">
        <f>IFERROR(IF(A322="","",SUMIFS(FinishedData!$C:$C,FinishedData!$A:$A,"&gt;="&amp;MIN($A322:$G322),FinishedData!$A:$A,"&lt;="&amp;MAX($A322:$G322))),"")</f>
        <v>4385</v>
      </c>
      <c r="K324" s="2"/>
      <c r="L324" s="2"/>
      <c r="M324" s="2"/>
      <c r="N324" s="2"/>
      <c r="O324" s="2"/>
      <c r="P324" s="2"/>
      <c r="Q324" s="2"/>
      <c r="R324" s="2"/>
      <c r="S324" s="2"/>
      <c r="T324" s="2"/>
      <c r="U324" s="2"/>
      <c r="V324" s="2"/>
      <c r="W324" s="2"/>
      <c r="X324" s="2"/>
      <c r="Y324" s="2"/>
      <c r="Z324" s="2"/>
    </row>
    <row r="325" ht="22.5" customHeight="1">
      <c r="A325" s="45">
        <f t="array" ref="A325">IFERROR(INDEX(FinishedData!$C:$C,MATCH(A322,FinishedData!$A:$A,0)),"")</f>
        <v>830</v>
      </c>
      <c r="B325" s="45" t="str">
        <f t="array" ref="B325">IFERROR(INDEX(FinishedData!$C:$C,MATCH(B322,FinishedData!$A:$A,0)),"")</f>
        <v/>
      </c>
      <c r="C325" s="45">
        <f t="array" ref="C325">IFERROR(INDEX(FinishedData!$C:$C,MATCH(C322,FinishedData!$A:$A,0)),"")</f>
        <v>500</v>
      </c>
      <c r="D325" s="45">
        <f t="array" ref="D325">IFERROR(INDEX(FinishedData!$C:$C,MATCH(D322,FinishedData!$A:$A,0)),"")</f>
        <v>820</v>
      </c>
      <c r="E325" s="45">
        <f t="array" ref="E325">IFERROR(INDEX(FinishedData!$C:$C,MATCH(E322,FinishedData!$A:$A,0)),"")</f>
        <v>710</v>
      </c>
      <c r="F325" s="45">
        <f t="array" ref="F325">IFERROR(INDEX(FinishedData!$C:$C,MATCH(F322,FinishedData!$A:$A,0)),"")</f>
        <v>645</v>
      </c>
      <c r="G325" s="45">
        <f t="array" ref="G325">IFERROR(INDEX(FinishedData!$C:$C,MATCH(G322,FinishedData!$A:$A,0)),"")</f>
        <v>880</v>
      </c>
      <c r="H325" s="2"/>
      <c r="I325" s="46" t="str">
        <f>IF(A322="","","CHANGE")</f>
        <v>CHANGE</v>
      </c>
      <c r="J325" s="47">
        <f>IFERROR(IF(A322="","",(J324-I324)/I324),"")</f>
        <v>-0.0670212766</v>
      </c>
      <c r="K325" s="2"/>
      <c r="L325" s="2"/>
      <c r="M325" s="2"/>
      <c r="N325" s="2"/>
      <c r="O325" s="2"/>
      <c r="P325" s="2"/>
      <c r="Q325" s="2"/>
      <c r="R325" s="2"/>
      <c r="S325" s="2"/>
      <c r="T325" s="2"/>
      <c r="U325" s="2"/>
      <c r="V325" s="2"/>
      <c r="W325" s="2"/>
      <c r="X325" s="2"/>
      <c r="Y325" s="2"/>
      <c r="Z325" s="2"/>
    </row>
    <row r="326" ht="22.5" customHeight="1">
      <c r="A326" s="49">
        <f>IF(G322&gt;=$D$3,"",G322+1)</f>
        <v>45095</v>
      </c>
      <c r="B326" s="49">
        <f t="shared" ref="B326:G326" si="81">IF(A326&gt;=$D$3,"",A326+1)</f>
        <v>45096</v>
      </c>
      <c r="C326" s="49">
        <f t="shared" si="81"/>
        <v>45097</v>
      </c>
      <c r="D326" s="49">
        <f t="shared" si="81"/>
        <v>45098</v>
      </c>
      <c r="E326" s="49">
        <f t="shared" si="81"/>
        <v>45099</v>
      </c>
      <c r="F326" s="49">
        <f t="shared" si="81"/>
        <v>45100</v>
      </c>
      <c r="G326" s="49">
        <f t="shared" si="81"/>
        <v>45101</v>
      </c>
      <c r="H326" s="2"/>
      <c r="I326" s="7"/>
      <c r="J326" s="7"/>
      <c r="K326" s="2"/>
      <c r="L326" s="2"/>
      <c r="M326" s="2"/>
      <c r="N326" s="2"/>
      <c r="O326" s="2"/>
      <c r="P326" s="2"/>
      <c r="Q326" s="2"/>
      <c r="R326" s="2"/>
      <c r="S326" s="2"/>
      <c r="T326" s="2"/>
      <c r="U326" s="2"/>
      <c r="V326" s="2"/>
      <c r="W326" s="2"/>
      <c r="X326" s="2"/>
      <c r="Y326" s="2"/>
      <c r="Z326" s="2"/>
    </row>
    <row r="327" ht="22.5" customHeight="1">
      <c r="A327" s="42" t="str">
        <f t="array" ref="A327">IFERROR(INDEX(Lists!$B:$B,MATCH(A328,Lists!$A:$A,0)),"")</f>
        <v/>
      </c>
      <c r="B327" s="42" t="str">
        <f t="array" ref="B327">IFERROR(INDEX(Lists!$B:$B,MATCH(B328,Lists!$A:$A,0)),"")</f>
        <v/>
      </c>
      <c r="C327" s="42" t="str">
        <f t="array" ref="C327">IFERROR(INDEX(Lists!$B:$B,MATCH(C328,Lists!$A:$A,0)),"")</f>
        <v/>
      </c>
      <c r="D327" s="42" t="str">
        <f t="array" ref="D327">IFERROR(INDEX(Lists!$B:$B,MATCH(D328,Lists!$A:$A,0)),"")</f>
        <v/>
      </c>
      <c r="E327" s="42" t="str">
        <f t="array" ref="E327">IFERROR(INDEX(Lists!$B:$B,MATCH(E328,Lists!$A:$A,0)),"")</f>
        <v/>
      </c>
      <c r="F327" s="42" t="str">
        <f t="array" ref="F327">IFERROR(INDEX(Lists!$B:$B,MATCH(F328,Lists!$A:$A,0)),"")</f>
        <v/>
      </c>
      <c r="G327" s="42" t="str">
        <f t="array" ref="G327">IFERROR(INDEX(Lists!$B:$B,MATCH(G328,Lists!$A:$A,0)),"")</f>
        <v/>
      </c>
      <c r="H327" s="2"/>
      <c r="I327" s="43" t="str">
        <f>IF(A326="","","Week of "&amp;TEXT(A326-7,"MM/DD"))</f>
        <v>Week of 06/11</v>
      </c>
      <c r="J327" s="43" t="str">
        <f>IF(A326="","","Week of "&amp;TEXT(A326,"MM/DD"))</f>
        <v>Week of 06/18</v>
      </c>
      <c r="K327" s="2"/>
      <c r="L327" s="2"/>
      <c r="M327" s="2"/>
      <c r="N327" s="2"/>
      <c r="O327" s="2"/>
      <c r="P327" s="2"/>
      <c r="Q327" s="2"/>
      <c r="R327" s="2"/>
      <c r="S327" s="2"/>
      <c r="T327" s="2"/>
      <c r="U327" s="2"/>
      <c r="V327" s="2"/>
      <c r="W327" s="2"/>
      <c r="X327" s="2"/>
      <c r="Y327" s="2"/>
      <c r="Z327" s="2"/>
    </row>
    <row r="328" ht="22.5" customHeight="1">
      <c r="A328" s="42" t="str">
        <f t="array" ref="A328">IFERROR(INDEX(FinishedData!$B:$B,MATCH(A326,FinishedData!$A:$A,0)),"")</f>
        <v>Practice</v>
      </c>
      <c r="B328" s="42" t="str">
        <f t="array" ref="B328">IFERROR(INDEX(FinishedData!$B:$B,MATCH(B326,FinishedData!$A:$A,0)),"")</f>
        <v>Gym</v>
      </c>
      <c r="C328" s="42" t="str">
        <f t="array" ref="C328">IFERROR(INDEX(FinishedData!$B:$B,MATCH(C326,FinishedData!$A:$A,0)),"")</f>
        <v>Off</v>
      </c>
      <c r="D328" s="42" t="str">
        <f t="array" ref="D328">IFERROR(INDEX(FinishedData!$B:$B,MATCH(D326,FinishedData!$A:$A,0)),"")</f>
        <v>Practice</v>
      </c>
      <c r="E328" s="42" t="str">
        <f t="array" ref="E328">IFERROR(INDEX(FinishedData!$B:$B,MATCH(E326,FinishedData!$A:$A,0)),"")</f>
        <v>Practice</v>
      </c>
      <c r="F328" s="42" t="str">
        <f t="array" ref="F328">IFERROR(INDEX(FinishedData!$B:$B,MATCH(F326,FinishedData!$A:$A,0)),"")</f>
        <v>Game</v>
      </c>
      <c r="G328" s="42" t="str">
        <f t="array" ref="G328">IFERROR(INDEX(FinishedData!$B:$B,MATCH(G326,FinishedData!$A:$A,0)),"")</f>
        <v>Game</v>
      </c>
      <c r="H328" s="2"/>
      <c r="I328" s="13">
        <f>IFERROR(IF(A326="","",IF(G326="",SUMIFS(FinishedData!$C:$C,FinishedData!$A:$A,"&gt;="&amp;MIN($A326:$G326)-7,FinishedData!$A:$A,"&lt;="&amp;MAX($A326:$G326)+(7-COUNT($A326:$G326)-7)),
SUMIFS(FinishedData!$C:$C,FinishedData!$A:$A,"&gt;="&amp;MIN($A326:$G326)-7,FinishedData!$A:$A,"&lt;="&amp;MAX($A326:$G326)-7))),"")</f>
        <v>4385</v>
      </c>
      <c r="J328" s="13">
        <f>IFERROR(IF(A326="","",SUMIFS(FinishedData!$C:$C,FinishedData!$A:$A,"&gt;="&amp;MIN($A326:$G326),FinishedData!$A:$A,"&lt;="&amp;MAX($A326:$G326))),"")</f>
        <v>4590</v>
      </c>
      <c r="K328" s="2"/>
      <c r="L328" s="2"/>
      <c r="M328" s="2"/>
      <c r="N328" s="2"/>
      <c r="O328" s="2"/>
      <c r="P328" s="2"/>
      <c r="Q328" s="2"/>
      <c r="R328" s="2"/>
      <c r="S328" s="2"/>
      <c r="T328" s="2"/>
      <c r="U328" s="2"/>
      <c r="V328" s="2"/>
      <c r="W328" s="2"/>
      <c r="X328" s="2"/>
      <c r="Y328" s="2"/>
      <c r="Z328" s="2"/>
    </row>
    <row r="329" ht="22.5" customHeight="1">
      <c r="A329" s="45">
        <f t="array" ref="A329">IFERROR(INDEX(FinishedData!$C:$C,MATCH(A326,FinishedData!$A:$A,0)),"")</f>
        <v>790</v>
      </c>
      <c r="B329" s="45">
        <f t="array" ref="B329">IFERROR(INDEX(FinishedData!$C:$C,MATCH(B326,FinishedData!$A:$A,0)),"")</f>
        <v>685</v>
      </c>
      <c r="C329" s="45" t="str">
        <f t="array" ref="C329">IFERROR(INDEX(FinishedData!$C:$C,MATCH(C326,FinishedData!$A:$A,0)),"")</f>
        <v/>
      </c>
      <c r="D329" s="45">
        <f t="array" ref="D329">IFERROR(INDEX(FinishedData!$C:$C,MATCH(D326,FinishedData!$A:$A,0)),"")</f>
        <v>820</v>
      </c>
      <c r="E329" s="45">
        <f t="array" ref="E329">IFERROR(INDEX(FinishedData!$C:$C,MATCH(E326,FinishedData!$A:$A,0)),"")</f>
        <v>765</v>
      </c>
      <c r="F329" s="45">
        <f t="array" ref="F329">IFERROR(INDEX(FinishedData!$C:$C,MATCH(F326,FinishedData!$A:$A,0)),"")</f>
        <v>605</v>
      </c>
      <c r="G329" s="45">
        <f t="array" ref="G329">IFERROR(INDEX(FinishedData!$C:$C,MATCH(G326,FinishedData!$A:$A,0)),"")</f>
        <v>925</v>
      </c>
      <c r="H329" s="2"/>
      <c r="I329" s="46" t="str">
        <f>IF(A326="","","CHANGE")</f>
        <v>CHANGE</v>
      </c>
      <c r="J329" s="47">
        <f>IFERROR(IF(A326="","",(J328-I328)/I328),"")</f>
        <v>0.04675028506</v>
      </c>
      <c r="K329" s="2"/>
      <c r="L329" s="2"/>
      <c r="M329" s="2"/>
      <c r="N329" s="2"/>
      <c r="O329" s="2"/>
      <c r="P329" s="2"/>
      <c r="Q329" s="2"/>
      <c r="R329" s="2"/>
      <c r="S329" s="2"/>
      <c r="T329" s="2"/>
      <c r="U329" s="2"/>
      <c r="V329" s="2"/>
      <c r="W329" s="2"/>
      <c r="X329" s="2"/>
      <c r="Y329" s="2"/>
      <c r="Z329" s="2"/>
    </row>
    <row r="330" ht="22.5" customHeight="1">
      <c r="A330" s="49">
        <f>IF(G326&gt;=$D$3,"",G326+1)</f>
        <v>45102</v>
      </c>
      <c r="B330" s="49">
        <f t="shared" ref="B330:G330" si="82">IF(A330&gt;=$D$3,"",A330+1)</f>
        <v>45103</v>
      </c>
      <c r="C330" s="49">
        <f t="shared" si="82"/>
        <v>45104</v>
      </c>
      <c r="D330" s="49">
        <f t="shared" si="82"/>
        <v>45105</v>
      </c>
      <c r="E330" s="49">
        <f t="shared" si="82"/>
        <v>45106</v>
      </c>
      <c r="F330" s="49">
        <f t="shared" si="82"/>
        <v>45107</v>
      </c>
      <c r="G330" s="49">
        <f t="shared" si="82"/>
        <v>45108</v>
      </c>
      <c r="H330" s="2"/>
      <c r="I330" s="7"/>
      <c r="J330" s="7"/>
      <c r="K330" s="2"/>
      <c r="L330" s="2"/>
      <c r="M330" s="2"/>
      <c r="N330" s="2"/>
      <c r="O330" s="2"/>
      <c r="P330" s="2"/>
      <c r="Q330" s="2"/>
      <c r="R330" s="2"/>
      <c r="S330" s="2"/>
      <c r="T330" s="2"/>
      <c r="U330" s="2"/>
      <c r="V330" s="2"/>
      <c r="W330" s="2"/>
      <c r="X330" s="2"/>
      <c r="Y330" s="2"/>
      <c r="Z330" s="2"/>
    </row>
    <row r="331" ht="22.5" customHeight="1">
      <c r="A331" s="42" t="str">
        <f t="array" ref="A331">IFERROR(INDEX(Lists!$B:$B,MATCH(A332,Lists!$A:$A,0)),"")</f>
        <v/>
      </c>
      <c r="B331" s="42" t="str">
        <f t="array" ref="B331">IFERROR(INDEX(Lists!$B:$B,MATCH(B332,Lists!$A:$A,0)),"")</f>
        <v/>
      </c>
      <c r="C331" s="42" t="str">
        <f t="array" ref="C331">IFERROR(INDEX(Lists!$B:$B,MATCH(C332,Lists!$A:$A,0)),"")</f>
        <v/>
      </c>
      <c r="D331" s="42" t="str">
        <f t="array" ref="D331">IFERROR(INDEX(Lists!$B:$B,MATCH(D332,Lists!$A:$A,0)),"")</f>
        <v/>
      </c>
      <c r="E331" s="42" t="str">
        <f t="array" ref="E331">IFERROR(INDEX(Lists!$B:$B,MATCH(E332,Lists!$A:$A,0)),"")</f>
        <v/>
      </c>
      <c r="F331" s="42" t="str">
        <f t="array" ref="F331">IFERROR(INDEX(Lists!$B:$B,MATCH(F332,Lists!$A:$A,0)),"")</f>
        <v/>
      </c>
      <c r="G331" s="42" t="str">
        <f t="array" ref="G331">IFERROR(INDEX(Lists!$B:$B,MATCH(G332,Lists!$A:$A,0)),"")</f>
        <v/>
      </c>
      <c r="H331" s="2"/>
      <c r="I331" s="43" t="str">
        <f>IF(A330="","","Week of "&amp;TEXT(A330-7,"MM/DD"))</f>
        <v>Week of 06/18</v>
      </c>
      <c r="J331" s="43" t="str">
        <f>IF(A330="","","Week of "&amp;TEXT(A330,"MM/DD"))</f>
        <v>Week of 06/25</v>
      </c>
      <c r="K331" s="2"/>
      <c r="L331" s="2"/>
      <c r="M331" s="2"/>
      <c r="N331" s="2"/>
      <c r="O331" s="2"/>
      <c r="P331" s="2"/>
      <c r="Q331" s="2"/>
      <c r="R331" s="2"/>
      <c r="S331" s="2"/>
      <c r="T331" s="2"/>
      <c r="U331" s="2"/>
      <c r="V331" s="2"/>
      <c r="W331" s="2"/>
      <c r="X331" s="2"/>
      <c r="Y331" s="2"/>
      <c r="Z331" s="2"/>
    </row>
    <row r="332" ht="22.5" customHeight="1">
      <c r="A332" s="42" t="str">
        <f t="array" ref="A332">IFERROR(INDEX(FinishedData!$B:$B,MATCH(A330,FinishedData!$A:$A,0)),"")</f>
        <v>Off</v>
      </c>
      <c r="B332" s="42" t="str">
        <f t="array" ref="B332">IFERROR(INDEX(FinishedData!$B:$B,MATCH(B330,FinishedData!$A:$A,0)),"")</f>
        <v>Practice</v>
      </c>
      <c r="C332" s="42" t="str">
        <f t="array" ref="C332">IFERROR(INDEX(FinishedData!$B:$B,MATCH(C330,FinishedData!$A:$A,0)),"")</f>
        <v>Gym</v>
      </c>
      <c r="D332" s="42" t="str">
        <f t="array" ref="D332">IFERROR(INDEX(FinishedData!$B:$B,MATCH(D330,FinishedData!$A:$A,0)),"")</f>
        <v>Practice</v>
      </c>
      <c r="E332" s="42" t="str">
        <f t="array" ref="E332">IFERROR(INDEX(FinishedData!$B:$B,MATCH(E330,FinishedData!$A:$A,0)),"")</f>
        <v>Practice</v>
      </c>
      <c r="F332" s="42" t="str">
        <f t="array" ref="F332">IFERROR(INDEX(FinishedData!$B:$B,MATCH(F330,FinishedData!$A:$A,0)),"")</f>
        <v>Game</v>
      </c>
      <c r="G332" s="42" t="str">
        <f t="array" ref="G332">IFERROR(INDEX(FinishedData!$B:$B,MATCH(G330,FinishedData!$A:$A,0)),"")</f>
        <v>Practice</v>
      </c>
      <c r="H332" s="2"/>
      <c r="I332" s="13">
        <f>IFERROR(IF(A330="","",IF(G330="",SUMIFS(FinishedData!$C:$C,FinishedData!$A:$A,"&gt;="&amp;MIN($A330:$G330)-7,FinishedData!$A:$A,"&lt;="&amp;MAX($A330:$G330)+(7-COUNT($A330:$G330)-7)),
SUMIFS(FinishedData!$C:$C,FinishedData!$A:$A,"&gt;="&amp;MIN($A330:$G330)-7,FinishedData!$A:$A,"&lt;="&amp;MAX($A330:$G330)-7))),"")</f>
        <v>4590</v>
      </c>
      <c r="J332" s="13">
        <f>IFERROR(IF(A330="","",SUMIFS(FinishedData!$C:$C,FinishedData!$A:$A,"&gt;="&amp;MIN($A330:$G330),FinishedData!$A:$A,"&lt;="&amp;MAX($A330:$G330))),"")</f>
        <v>4345</v>
      </c>
      <c r="K332" s="2"/>
      <c r="L332" s="2"/>
      <c r="M332" s="2"/>
      <c r="N332" s="2"/>
      <c r="O332" s="2"/>
      <c r="P332" s="2"/>
      <c r="Q332" s="2"/>
      <c r="R332" s="2"/>
      <c r="S332" s="2"/>
      <c r="T332" s="2"/>
      <c r="U332" s="2"/>
      <c r="V332" s="2"/>
      <c r="W332" s="2"/>
      <c r="X332" s="2"/>
      <c r="Y332" s="2"/>
      <c r="Z332" s="2"/>
    </row>
    <row r="333" ht="22.5" customHeight="1">
      <c r="A333" s="45" t="str">
        <f t="array" ref="A333">IFERROR(INDEX(FinishedData!$C:$C,MATCH(A330,FinishedData!$A:$A,0)),"")</f>
        <v/>
      </c>
      <c r="B333" s="45">
        <f t="array" ref="B333">IFERROR(INDEX(FinishedData!$C:$C,MATCH(B330,FinishedData!$A:$A,0)),"")</f>
        <v>575</v>
      </c>
      <c r="C333" s="45">
        <f t="array" ref="C333">IFERROR(INDEX(FinishedData!$C:$C,MATCH(C330,FinishedData!$A:$A,0)),"")</f>
        <v>840</v>
      </c>
      <c r="D333" s="45">
        <f t="array" ref="D333">IFERROR(INDEX(FinishedData!$C:$C,MATCH(D330,FinishedData!$A:$A,0)),"")</f>
        <v>810</v>
      </c>
      <c r="E333" s="45">
        <f t="array" ref="E333">IFERROR(INDEX(FinishedData!$C:$C,MATCH(E330,FinishedData!$A:$A,0)),"")</f>
        <v>635</v>
      </c>
      <c r="F333" s="45">
        <f t="array" ref="F333">IFERROR(INDEX(FinishedData!$C:$C,MATCH(F330,FinishedData!$A:$A,0)),"")</f>
        <v>620</v>
      </c>
      <c r="G333" s="45">
        <f t="array" ref="G333">IFERROR(INDEX(FinishedData!$C:$C,MATCH(G330,FinishedData!$A:$A,0)),"")</f>
        <v>865</v>
      </c>
      <c r="H333" s="2"/>
      <c r="I333" s="46" t="str">
        <f>IF(A330="","","CHANGE")</f>
        <v>CHANGE</v>
      </c>
      <c r="J333" s="47">
        <f>IFERROR(IF(A330="","",(J332-I332)/I332),"")</f>
        <v>-0.05337690632</v>
      </c>
      <c r="K333" s="2"/>
      <c r="L333" s="2"/>
      <c r="M333" s="2"/>
      <c r="N333" s="2"/>
      <c r="O333" s="2"/>
      <c r="P333" s="2"/>
      <c r="Q333" s="2"/>
      <c r="R333" s="2"/>
      <c r="S333" s="2"/>
      <c r="T333" s="2"/>
      <c r="U333" s="2"/>
      <c r="V333" s="2"/>
      <c r="W333" s="2"/>
      <c r="X333" s="2"/>
      <c r="Y333" s="2"/>
      <c r="Z333" s="2"/>
    </row>
    <row r="334" ht="22.5" customHeight="1">
      <c r="A334" s="49">
        <f>IF(G330&gt;=$D$3,"",G330+1)</f>
        <v>45109</v>
      </c>
      <c r="B334" s="49">
        <f t="shared" ref="B334:G334" si="83">IF(A334&gt;=$D$3,"",A334+1)</f>
        <v>45110</v>
      </c>
      <c r="C334" s="49">
        <f t="shared" si="83"/>
        <v>45111</v>
      </c>
      <c r="D334" s="49">
        <f t="shared" si="83"/>
        <v>45112</v>
      </c>
      <c r="E334" s="49">
        <f t="shared" si="83"/>
        <v>45113</v>
      </c>
      <c r="F334" s="49">
        <f t="shared" si="83"/>
        <v>45114</v>
      </c>
      <c r="G334" s="49">
        <f t="shared" si="83"/>
        <v>45115</v>
      </c>
      <c r="H334" s="2"/>
      <c r="I334" s="7"/>
      <c r="J334" s="7"/>
      <c r="K334" s="2"/>
      <c r="L334" s="2"/>
      <c r="M334" s="2"/>
      <c r="N334" s="2"/>
      <c r="O334" s="2"/>
      <c r="P334" s="2"/>
      <c r="Q334" s="2"/>
      <c r="R334" s="2"/>
      <c r="S334" s="2"/>
      <c r="T334" s="2"/>
      <c r="U334" s="2"/>
      <c r="V334" s="2"/>
      <c r="W334" s="2"/>
      <c r="X334" s="2"/>
      <c r="Y334" s="2"/>
      <c r="Z334" s="2"/>
    </row>
    <row r="335" ht="22.5" customHeight="1">
      <c r="A335" s="42" t="str">
        <f t="array" ref="A335">IFERROR(INDEX(Lists!$B:$B,MATCH(A336,Lists!$A:$A,0)),"")</f>
        <v/>
      </c>
      <c r="B335" s="42" t="str">
        <f t="array" ref="B335">IFERROR(INDEX(Lists!$B:$B,MATCH(B336,Lists!$A:$A,0)),"")</f>
        <v/>
      </c>
      <c r="C335" s="42" t="str">
        <f t="array" ref="C335">IFERROR(INDEX(Lists!$B:$B,MATCH(C336,Lists!$A:$A,0)),"")</f>
        <v/>
      </c>
      <c r="D335" s="42" t="str">
        <f t="array" ref="D335">IFERROR(INDEX(Lists!$B:$B,MATCH(D336,Lists!$A:$A,0)),"")</f>
        <v/>
      </c>
      <c r="E335" s="42" t="str">
        <f t="array" ref="E335">IFERROR(INDEX(Lists!$B:$B,MATCH(E336,Lists!$A:$A,0)),"")</f>
        <v/>
      </c>
      <c r="F335" s="42" t="str">
        <f t="array" ref="F335">IFERROR(INDEX(Lists!$B:$B,MATCH(F336,Lists!$A:$A,0)),"")</f>
        <v/>
      </c>
      <c r="G335" s="42" t="str">
        <f t="array" ref="G335">IFERROR(INDEX(Lists!$B:$B,MATCH(G336,Lists!$A:$A,0)),"")</f>
        <v/>
      </c>
      <c r="H335" s="2"/>
      <c r="I335" s="43" t="str">
        <f>IF(A334="","","Week of "&amp;TEXT(A334-7,"MM/DD"))</f>
        <v>Week of 06/25</v>
      </c>
      <c r="J335" s="43" t="str">
        <f>IF(A334="","","Week of "&amp;TEXT(A334,"MM/DD"))</f>
        <v>Week of 07/02</v>
      </c>
      <c r="K335" s="2"/>
      <c r="L335" s="2"/>
      <c r="M335" s="2"/>
      <c r="N335" s="2"/>
      <c r="O335" s="2"/>
      <c r="P335" s="2"/>
      <c r="Q335" s="2"/>
      <c r="R335" s="2"/>
      <c r="S335" s="2"/>
      <c r="T335" s="2"/>
      <c r="U335" s="2"/>
      <c r="V335" s="2"/>
      <c r="W335" s="2"/>
      <c r="X335" s="2"/>
      <c r="Y335" s="2"/>
      <c r="Z335" s="2"/>
    </row>
    <row r="336" ht="22.5" customHeight="1">
      <c r="A336" s="42" t="str">
        <f t="array" ref="A336">IFERROR(INDEX(FinishedData!$B:$B,MATCH(A334,FinishedData!$A:$A,0)),"")</f>
        <v>Game</v>
      </c>
      <c r="B336" s="42" t="str">
        <f t="array" ref="B336">IFERROR(INDEX(FinishedData!$B:$B,MATCH(B334,FinishedData!$A:$A,0)),"")</f>
        <v>Off</v>
      </c>
      <c r="C336" s="42" t="str">
        <f t="array" ref="C336">IFERROR(INDEX(FinishedData!$B:$B,MATCH(C334,FinishedData!$A:$A,0)),"")</f>
        <v>Gym</v>
      </c>
      <c r="D336" s="42" t="str">
        <f t="array" ref="D336">IFERROR(INDEX(FinishedData!$B:$B,MATCH(D334,FinishedData!$A:$A,0)),"")</f>
        <v>Practice</v>
      </c>
      <c r="E336" s="42" t="str">
        <f t="array" ref="E336">IFERROR(INDEX(FinishedData!$B:$B,MATCH(E334,FinishedData!$A:$A,0)),"")</f>
        <v>Practice</v>
      </c>
      <c r="F336" s="42" t="str">
        <f t="array" ref="F336">IFERROR(INDEX(FinishedData!$B:$B,MATCH(F334,FinishedData!$A:$A,0)),"")</f>
        <v>Practice</v>
      </c>
      <c r="G336" s="42" t="str">
        <f t="array" ref="G336">IFERROR(INDEX(FinishedData!$B:$B,MATCH(G334,FinishedData!$A:$A,0)),"")</f>
        <v>Game</v>
      </c>
      <c r="H336" s="2"/>
      <c r="I336" s="13">
        <f>IFERROR(IF(A334="","",IF(G334="",SUMIFS(FinishedData!$C:$C,FinishedData!$A:$A,"&gt;="&amp;MIN($A334:$G334)-7,FinishedData!$A:$A,"&lt;="&amp;MAX($A334:$G334)+(7-COUNT($A334:$G334)-7)),
SUMIFS(FinishedData!$C:$C,FinishedData!$A:$A,"&gt;="&amp;MIN($A334:$G334)-7,FinishedData!$A:$A,"&lt;="&amp;MAX($A334:$G334)-7))),"")</f>
        <v>4345</v>
      </c>
      <c r="J336" s="13">
        <f>IFERROR(IF(A334="","",SUMIFS(FinishedData!$C:$C,FinishedData!$A:$A,"&gt;="&amp;MIN($A334:$G334),FinishedData!$A:$A,"&lt;="&amp;MAX($A334:$G334))),"")</f>
        <v>4410</v>
      </c>
      <c r="K336" s="2"/>
      <c r="L336" s="2"/>
      <c r="M336" s="2"/>
      <c r="N336" s="2"/>
      <c r="O336" s="2"/>
      <c r="P336" s="2"/>
      <c r="Q336" s="2"/>
      <c r="R336" s="2"/>
      <c r="S336" s="2"/>
      <c r="T336" s="2"/>
      <c r="U336" s="2"/>
      <c r="V336" s="2"/>
      <c r="W336" s="2"/>
      <c r="X336" s="2"/>
      <c r="Y336" s="2"/>
      <c r="Z336" s="2"/>
    </row>
    <row r="337" ht="22.5" customHeight="1">
      <c r="A337" s="45">
        <f t="array" ref="A337">IFERROR(INDEX(FinishedData!$C:$C,MATCH(A334,FinishedData!$A:$A,0)),"")</f>
        <v>705</v>
      </c>
      <c r="B337" s="45" t="str">
        <f t="array" ref="B337">IFERROR(INDEX(FinishedData!$C:$C,MATCH(B334,FinishedData!$A:$A,0)),"")</f>
        <v/>
      </c>
      <c r="C337" s="45">
        <f t="array" ref="C337">IFERROR(INDEX(FinishedData!$C:$C,MATCH(C334,FinishedData!$A:$A,0)),"")</f>
        <v>810</v>
      </c>
      <c r="D337" s="45">
        <f t="array" ref="D337">IFERROR(INDEX(FinishedData!$C:$C,MATCH(D334,FinishedData!$A:$A,0)),"")</f>
        <v>950</v>
      </c>
      <c r="E337" s="45">
        <f t="array" ref="E337">IFERROR(INDEX(FinishedData!$C:$C,MATCH(E334,FinishedData!$A:$A,0)),"")</f>
        <v>570</v>
      </c>
      <c r="F337" s="45">
        <f t="array" ref="F337">IFERROR(INDEX(FinishedData!$C:$C,MATCH(F334,FinishedData!$A:$A,0)),"")</f>
        <v>635</v>
      </c>
      <c r="G337" s="45">
        <f t="array" ref="G337">IFERROR(INDEX(FinishedData!$C:$C,MATCH(G334,FinishedData!$A:$A,0)),"")</f>
        <v>740</v>
      </c>
      <c r="H337" s="2"/>
      <c r="I337" s="46" t="str">
        <f>IF(A334="","","CHANGE")</f>
        <v>CHANGE</v>
      </c>
      <c r="J337" s="47">
        <f>IFERROR(IF(A334="","",(J336-I336)/I336),"")</f>
        <v>0.01495972382</v>
      </c>
      <c r="K337" s="2"/>
      <c r="L337" s="2"/>
      <c r="M337" s="2"/>
      <c r="N337" s="2"/>
      <c r="O337" s="2"/>
      <c r="P337" s="2"/>
      <c r="Q337" s="2"/>
      <c r="R337" s="2"/>
      <c r="S337" s="2"/>
      <c r="T337" s="2"/>
      <c r="U337" s="2"/>
      <c r="V337" s="2"/>
      <c r="W337" s="2"/>
      <c r="X337" s="2"/>
      <c r="Y337" s="2"/>
      <c r="Z337" s="2"/>
    </row>
    <row r="338" ht="22.5" customHeight="1">
      <c r="A338" s="49">
        <f>IF(G334&gt;=$D$3,"",G334+1)</f>
        <v>45116</v>
      </c>
      <c r="B338" s="49">
        <f t="shared" ref="B338:G338" si="84">IF(A338&gt;=$D$3,"",A338+1)</f>
        <v>45117</v>
      </c>
      <c r="C338" s="49">
        <f t="shared" si="84"/>
        <v>45118</v>
      </c>
      <c r="D338" s="49">
        <f t="shared" si="84"/>
        <v>45119</v>
      </c>
      <c r="E338" s="49">
        <f t="shared" si="84"/>
        <v>45120</v>
      </c>
      <c r="F338" s="49">
        <f t="shared" si="84"/>
        <v>45121</v>
      </c>
      <c r="G338" s="49">
        <f t="shared" si="84"/>
        <v>45122</v>
      </c>
      <c r="H338" s="2"/>
      <c r="I338" s="7"/>
      <c r="J338" s="7"/>
      <c r="K338" s="2"/>
      <c r="L338" s="2"/>
      <c r="M338" s="2"/>
      <c r="N338" s="2"/>
      <c r="O338" s="2"/>
      <c r="P338" s="2"/>
      <c r="Q338" s="2"/>
      <c r="R338" s="2"/>
      <c r="S338" s="2"/>
      <c r="T338" s="2"/>
      <c r="U338" s="2"/>
      <c r="V338" s="2"/>
      <c r="W338" s="2"/>
      <c r="X338" s="2"/>
      <c r="Y338" s="2"/>
      <c r="Z338" s="2"/>
    </row>
    <row r="339" ht="22.5" customHeight="1">
      <c r="A339" s="42" t="str">
        <f t="array" ref="A339">IFERROR(INDEX(Lists!$B:$B,MATCH(A340,Lists!$A:$A,0)),"")</f>
        <v/>
      </c>
      <c r="B339" s="42" t="str">
        <f t="array" ref="B339">IFERROR(INDEX(Lists!$B:$B,MATCH(B340,Lists!$A:$A,0)),"")</f>
        <v/>
      </c>
      <c r="C339" s="42" t="str">
        <f t="array" ref="C339">IFERROR(INDEX(Lists!$B:$B,MATCH(C340,Lists!$A:$A,0)),"")</f>
        <v/>
      </c>
      <c r="D339" s="42" t="str">
        <f t="array" ref="D339">IFERROR(INDEX(Lists!$B:$B,MATCH(D340,Lists!$A:$A,0)),"")</f>
        <v/>
      </c>
      <c r="E339" s="42" t="str">
        <f t="array" ref="E339">IFERROR(INDEX(Lists!$B:$B,MATCH(E340,Lists!$A:$A,0)),"")</f>
        <v/>
      </c>
      <c r="F339" s="42" t="str">
        <f t="array" ref="F339">IFERROR(INDEX(Lists!$B:$B,MATCH(F340,Lists!$A:$A,0)),"")</f>
        <v/>
      </c>
      <c r="G339" s="42" t="str">
        <f t="array" ref="G339">IFERROR(INDEX(Lists!$B:$B,MATCH(G340,Lists!$A:$A,0)),"")</f>
        <v/>
      </c>
      <c r="H339" s="2"/>
      <c r="I339" s="43" t="str">
        <f>IF(A338="","","Week of "&amp;TEXT(A338-7,"MM/DD"))</f>
        <v>Week of 07/02</v>
      </c>
      <c r="J339" s="43" t="str">
        <f>IF(A338="","","Week of "&amp;TEXT(A338,"MM/DD"))</f>
        <v>Week of 07/09</v>
      </c>
      <c r="K339" s="2"/>
      <c r="L339" s="2"/>
      <c r="M339" s="2"/>
      <c r="N339" s="2"/>
      <c r="O339" s="2"/>
      <c r="P339" s="2"/>
      <c r="Q339" s="2"/>
      <c r="R339" s="2"/>
      <c r="S339" s="2"/>
      <c r="T339" s="2"/>
      <c r="U339" s="2"/>
      <c r="V339" s="2"/>
      <c r="W339" s="2"/>
      <c r="X339" s="2"/>
      <c r="Y339" s="2"/>
      <c r="Z339" s="2"/>
    </row>
    <row r="340" ht="22.5" customHeight="1">
      <c r="A340" s="42" t="str">
        <f t="array" ref="A340">IFERROR(INDEX(FinishedData!$B:$B,MATCH(A338,FinishedData!$A:$A,0)),"")</f>
        <v>Game</v>
      </c>
      <c r="B340" s="42" t="str">
        <f t="array" ref="B340">IFERROR(INDEX(FinishedData!$B:$B,MATCH(B338,FinishedData!$A:$A,0)),"")</f>
        <v>Off</v>
      </c>
      <c r="C340" s="42" t="str">
        <f t="array" ref="C340">IFERROR(INDEX(FinishedData!$B:$B,MATCH(C338,FinishedData!$A:$A,0)),"")</f>
        <v>Practice</v>
      </c>
      <c r="D340" s="42" t="str">
        <f t="array" ref="D340">IFERROR(INDEX(FinishedData!$B:$B,MATCH(D338,FinishedData!$A:$A,0)),"")</f>
        <v>Game</v>
      </c>
      <c r="E340" s="42" t="str">
        <f t="array" ref="E340">IFERROR(INDEX(FinishedData!$B:$B,MATCH(E338,FinishedData!$A:$A,0)),"")</f>
        <v>Practice</v>
      </c>
      <c r="F340" s="42" t="str">
        <f t="array" ref="F340">IFERROR(INDEX(FinishedData!$B:$B,MATCH(F338,FinishedData!$A:$A,0)),"")</f>
        <v>Practice</v>
      </c>
      <c r="G340" s="42" t="str">
        <f t="array" ref="G340">IFERROR(INDEX(FinishedData!$B:$B,MATCH(G338,FinishedData!$A:$A,0)),"")</f>
        <v>Practice</v>
      </c>
      <c r="H340" s="2"/>
      <c r="I340" s="13">
        <f>IFERROR(IF(A338="","",IF(G338="",SUMIFS(FinishedData!$C:$C,FinishedData!$A:$A,"&gt;="&amp;MIN($A338:$G338)-7,FinishedData!$A:$A,"&lt;="&amp;MAX($A338:$G338)+(7-COUNT($A338:$G338)-7)),
SUMIFS(FinishedData!$C:$C,FinishedData!$A:$A,"&gt;="&amp;MIN($A338:$G338)-7,FinishedData!$A:$A,"&lt;="&amp;MAX($A338:$G338)-7))),"")</f>
        <v>4410</v>
      </c>
      <c r="J340" s="13">
        <f>IFERROR(IF(A338="","",SUMIFS(FinishedData!$C:$C,FinishedData!$A:$A,"&gt;="&amp;MIN($A338:$G338),FinishedData!$A:$A,"&lt;="&amp;MAX($A338:$G338))),"")</f>
        <v>4155</v>
      </c>
      <c r="K340" s="2"/>
      <c r="L340" s="2"/>
      <c r="M340" s="2"/>
      <c r="N340" s="2"/>
      <c r="O340" s="2"/>
      <c r="P340" s="2"/>
      <c r="Q340" s="2"/>
      <c r="R340" s="2"/>
      <c r="S340" s="2"/>
      <c r="T340" s="2"/>
      <c r="U340" s="2"/>
      <c r="V340" s="2"/>
      <c r="W340" s="2"/>
      <c r="X340" s="2"/>
      <c r="Y340" s="2"/>
      <c r="Z340" s="2"/>
    </row>
    <row r="341" ht="22.5" customHeight="1">
      <c r="A341" s="45">
        <f t="array" ref="A341">IFERROR(INDEX(FinishedData!$C:$C,MATCH(A338,FinishedData!$A:$A,0)),"")</f>
        <v>645</v>
      </c>
      <c r="B341" s="45" t="str">
        <f t="array" ref="B341">IFERROR(INDEX(FinishedData!$C:$C,MATCH(B338,FinishedData!$A:$A,0)),"")</f>
        <v/>
      </c>
      <c r="C341" s="45">
        <f t="array" ref="C341">IFERROR(INDEX(FinishedData!$C:$C,MATCH(C338,FinishedData!$A:$A,0)),"")</f>
        <v>520</v>
      </c>
      <c r="D341" s="45">
        <f t="array" ref="D341">IFERROR(INDEX(FinishedData!$C:$C,MATCH(D338,FinishedData!$A:$A,0)),"")</f>
        <v>925</v>
      </c>
      <c r="E341" s="45">
        <f t="array" ref="E341">IFERROR(INDEX(FinishedData!$C:$C,MATCH(E338,FinishedData!$A:$A,0)),"")</f>
        <v>595</v>
      </c>
      <c r="F341" s="45">
        <f t="array" ref="F341">IFERROR(INDEX(FinishedData!$C:$C,MATCH(F338,FinishedData!$A:$A,0)),"")</f>
        <v>885</v>
      </c>
      <c r="G341" s="45">
        <f t="array" ref="G341">IFERROR(INDEX(FinishedData!$C:$C,MATCH(G338,FinishedData!$A:$A,0)),"")</f>
        <v>585</v>
      </c>
      <c r="H341" s="2"/>
      <c r="I341" s="46" t="str">
        <f>IF(A338="","","CHANGE")</f>
        <v>CHANGE</v>
      </c>
      <c r="J341" s="47">
        <f>IFERROR(IF(A338="","",(J340-I340)/I340),"")</f>
        <v>-0.05782312925</v>
      </c>
      <c r="K341" s="2"/>
      <c r="L341" s="2"/>
      <c r="M341" s="2"/>
      <c r="N341" s="2"/>
      <c r="O341" s="2"/>
      <c r="P341" s="2"/>
      <c r="Q341" s="2"/>
      <c r="R341" s="2"/>
      <c r="S341" s="2"/>
      <c r="T341" s="2"/>
      <c r="U341" s="2"/>
      <c r="V341" s="2"/>
      <c r="W341" s="2"/>
      <c r="X341" s="2"/>
      <c r="Y341" s="2"/>
      <c r="Z341" s="2"/>
    </row>
    <row r="342" ht="22.5" customHeight="1">
      <c r="A342" s="49">
        <f>IF(G338&gt;=$D$3,"",G338+1)</f>
        <v>45123</v>
      </c>
      <c r="B342" s="49">
        <f t="shared" ref="B342:G342" si="85">IF(A342&gt;=$D$3,"",A342+1)</f>
        <v>45124</v>
      </c>
      <c r="C342" s="49">
        <f t="shared" si="85"/>
        <v>45125</v>
      </c>
      <c r="D342" s="49">
        <f t="shared" si="85"/>
        <v>45126</v>
      </c>
      <c r="E342" s="49">
        <f t="shared" si="85"/>
        <v>45127</v>
      </c>
      <c r="F342" s="49">
        <f t="shared" si="85"/>
        <v>45128</v>
      </c>
      <c r="G342" s="49">
        <f t="shared" si="85"/>
        <v>45129</v>
      </c>
      <c r="H342" s="2"/>
      <c r="I342" s="2"/>
      <c r="J342" s="2"/>
      <c r="K342" s="2"/>
      <c r="L342" s="2"/>
      <c r="M342" s="2"/>
      <c r="N342" s="2"/>
      <c r="O342" s="2"/>
      <c r="P342" s="2"/>
      <c r="Q342" s="2"/>
      <c r="R342" s="2"/>
      <c r="S342" s="2"/>
      <c r="T342" s="2"/>
      <c r="U342" s="2"/>
      <c r="V342" s="2"/>
      <c r="W342" s="2"/>
      <c r="X342" s="2"/>
      <c r="Y342" s="2"/>
      <c r="Z342" s="2"/>
    </row>
    <row r="343" ht="22.5" customHeight="1">
      <c r="A343" s="42" t="str">
        <f t="array" ref="A343">IFERROR(INDEX(Lists!$B:$B,MATCH(A344,Lists!$A:$A,0)),"")</f>
        <v/>
      </c>
      <c r="B343" s="42" t="str">
        <f t="array" ref="B343">IFERROR(INDEX(Lists!$B:$B,MATCH(B344,Lists!$A:$A,0)),"")</f>
        <v/>
      </c>
      <c r="C343" s="42" t="str">
        <f t="array" ref="C343">IFERROR(INDEX(Lists!$B:$B,MATCH(C344,Lists!$A:$A,0)),"")</f>
        <v/>
      </c>
      <c r="D343" s="42" t="str">
        <f t="array" ref="D343">IFERROR(INDEX(Lists!$B:$B,MATCH(D344,Lists!$A:$A,0)),"")</f>
        <v/>
      </c>
      <c r="E343" s="42" t="str">
        <f t="array" ref="E343">IFERROR(INDEX(Lists!$B:$B,MATCH(E344,Lists!$A:$A,0)),"")</f>
        <v/>
      </c>
      <c r="F343" s="42" t="str">
        <f t="array" ref="F343">IFERROR(INDEX(Lists!$B:$B,MATCH(F344,Lists!$A:$A,0)),"")</f>
        <v/>
      </c>
      <c r="G343" s="42" t="str">
        <f t="array" ref="G343">IFERROR(INDEX(Lists!$B:$B,MATCH(G344,Lists!$A:$A,0)),"")</f>
        <v/>
      </c>
      <c r="H343" s="2"/>
      <c r="I343" s="43" t="str">
        <f>IF(A342="","","Week of "&amp;TEXT(A342-7,"MM/DD"))</f>
        <v>Week of 07/09</v>
      </c>
      <c r="J343" s="43" t="str">
        <f>IF(A342="","","Week of "&amp;TEXT(A342,"MM/DD"))</f>
        <v>Week of 07/16</v>
      </c>
      <c r="K343" s="2"/>
      <c r="L343" s="2"/>
      <c r="M343" s="2"/>
      <c r="N343" s="2"/>
      <c r="O343" s="2"/>
      <c r="P343" s="2"/>
      <c r="Q343" s="2"/>
      <c r="R343" s="2"/>
      <c r="S343" s="2"/>
      <c r="T343" s="2"/>
      <c r="U343" s="2"/>
      <c r="V343" s="2"/>
      <c r="W343" s="2"/>
      <c r="X343" s="2"/>
      <c r="Y343" s="2"/>
      <c r="Z343" s="2"/>
    </row>
    <row r="344" ht="22.5" customHeight="1">
      <c r="A344" s="42" t="str">
        <f t="array" ref="A344">IFERROR(INDEX(FinishedData!$B:$B,MATCH(A342,FinishedData!$A:$A,0)),"")</f>
        <v>Game</v>
      </c>
      <c r="B344" s="42" t="str">
        <f t="array" ref="B344">IFERROR(INDEX(FinishedData!$B:$B,MATCH(B342,FinishedData!$A:$A,0)),"")</f>
        <v>Practice</v>
      </c>
      <c r="C344" s="42" t="str">
        <f t="array" ref="C344">IFERROR(INDEX(FinishedData!$B:$B,MATCH(C342,FinishedData!$A:$A,0)),"")</f>
        <v>Practice</v>
      </c>
      <c r="D344" s="42" t="str">
        <f t="array" ref="D344">IFERROR(INDEX(FinishedData!$B:$B,MATCH(D342,FinishedData!$A:$A,0)),"")</f>
        <v>Game</v>
      </c>
      <c r="E344" s="42" t="str">
        <f t="array" ref="E344">IFERROR(INDEX(FinishedData!$B:$B,MATCH(E342,FinishedData!$A:$A,0)),"")</f>
        <v>Off</v>
      </c>
      <c r="F344" s="42" t="str">
        <f t="array" ref="F344">IFERROR(INDEX(FinishedData!$B:$B,MATCH(F342,FinishedData!$A:$A,0)),"")</f>
        <v>Practice</v>
      </c>
      <c r="G344" s="42" t="str">
        <f t="array" ref="G344">IFERROR(INDEX(FinishedData!$B:$B,MATCH(G342,FinishedData!$A:$A,0)),"")</f>
        <v>Gym</v>
      </c>
      <c r="H344" s="2"/>
      <c r="I344" s="13">
        <f>IFERROR(IF(A342="","",IF(G342="",SUMIFS(FinishedData!$C:$C,FinishedData!$A:$A,"&gt;="&amp;MIN($A342:$G342)-7,FinishedData!$A:$A,"&lt;="&amp;MAX($A342:$G342)+(7-COUNT($A342:$G342)-7)),
SUMIFS(FinishedData!$C:$C,FinishedData!$A:$A,"&gt;="&amp;MIN($A342:$G342)-7,FinishedData!$A:$A,"&lt;="&amp;MAX($A342:$G342)-7))),"")</f>
        <v>4155</v>
      </c>
      <c r="J344" s="13">
        <f>IFERROR(IF(A342="","",SUMIFS(FinishedData!$C:$C,FinishedData!$A:$A,"&gt;="&amp;MIN($A342:$G342),FinishedData!$A:$A,"&lt;="&amp;MAX($A342:$G342))),"")</f>
        <v>5060</v>
      </c>
      <c r="K344" s="2"/>
      <c r="L344" s="2"/>
      <c r="M344" s="2"/>
      <c r="N344" s="2"/>
      <c r="O344" s="2"/>
      <c r="P344" s="2"/>
      <c r="Q344" s="2"/>
      <c r="R344" s="2"/>
      <c r="S344" s="2"/>
      <c r="T344" s="2"/>
      <c r="U344" s="2"/>
      <c r="V344" s="2"/>
      <c r="W344" s="2"/>
      <c r="X344" s="2"/>
      <c r="Y344" s="2"/>
      <c r="Z344" s="2"/>
    </row>
    <row r="345" ht="22.5" customHeight="1">
      <c r="A345" s="45">
        <f t="array" ref="A345">IFERROR(INDEX(FinishedData!$C:$C,MATCH(A342,FinishedData!$A:$A,0)),"")</f>
        <v>670</v>
      </c>
      <c r="B345" s="45">
        <f t="array" ref="B345">IFERROR(INDEX(FinishedData!$C:$C,MATCH(B342,FinishedData!$A:$A,0)),"")</f>
        <v>840</v>
      </c>
      <c r="C345" s="45">
        <f t="array" ref="C345">IFERROR(INDEX(FinishedData!$C:$C,MATCH(C342,FinishedData!$A:$A,0)),"")</f>
        <v>870</v>
      </c>
      <c r="D345" s="45">
        <f t="array" ref="D345">IFERROR(INDEX(FinishedData!$C:$C,MATCH(D342,FinishedData!$A:$A,0)),"")</f>
        <v>945</v>
      </c>
      <c r="E345" s="45" t="str">
        <f t="array" ref="E345">IFERROR(INDEX(FinishedData!$C:$C,MATCH(E342,FinishedData!$A:$A,0)),"")</f>
        <v/>
      </c>
      <c r="F345" s="45">
        <f t="array" ref="F345">IFERROR(INDEX(FinishedData!$C:$C,MATCH(F342,FinishedData!$A:$A,0)),"")</f>
        <v>940</v>
      </c>
      <c r="G345" s="45">
        <f t="array" ref="G345">IFERROR(INDEX(FinishedData!$C:$C,MATCH(G342,FinishedData!$A:$A,0)),"")</f>
        <v>795</v>
      </c>
      <c r="H345" s="2"/>
      <c r="I345" s="46" t="str">
        <f>IF(A342="","","CHANGE")</f>
        <v>CHANGE</v>
      </c>
      <c r="J345" s="47">
        <f>IFERROR(IF(A342="","",(J344-I344)/I344),"")</f>
        <v>0.2178098676</v>
      </c>
      <c r="K345" s="2"/>
      <c r="L345" s="2"/>
      <c r="M345" s="2"/>
      <c r="N345" s="2"/>
      <c r="O345" s="2"/>
      <c r="P345" s="2"/>
      <c r="Q345" s="2"/>
      <c r="R345" s="2"/>
      <c r="S345" s="2"/>
      <c r="T345" s="2"/>
      <c r="U345" s="2"/>
      <c r="V345" s="2"/>
      <c r="W345" s="2"/>
      <c r="X345" s="2"/>
      <c r="Y345" s="2"/>
      <c r="Z345" s="2"/>
    </row>
    <row r="346" ht="22.5" customHeight="1">
      <c r="A346" s="49">
        <f>IF(G342&gt;=$D$3,"",G342+1)</f>
        <v>45130</v>
      </c>
      <c r="B346" s="49">
        <f t="shared" ref="B346:G346" si="86">IF(A346&gt;=$D$3,"",A346+1)</f>
        <v>45131</v>
      </c>
      <c r="C346" s="49">
        <f t="shared" si="86"/>
        <v>45132</v>
      </c>
      <c r="D346" s="49">
        <f t="shared" si="86"/>
        <v>45133</v>
      </c>
      <c r="E346" s="49">
        <f t="shared" si="86"/>
        <v>45134</v>
      </c>
      <c r="F346" s="49">
        <f t="shared" si="86"/>
        <v>45135</v>
      </c>
      <c r="G346" s="49">
        <f t="shared" si="86"/>
        <v>45136</v>
      </c>
      <c r="H346" s="2"/>
      <c r="I346" s="7"/>
      <c r="J346" s="7"/>
      <c r="K346" s="2"/>
      <c r="L346" s="2"/>
      <c r="M346" s="2"/>
      <c r="N346" s="2"/>
      <c r="O346" s="2"/>
      <c r="P346" s="2"/>
      <c r="Q346" s="2"/>
      <c r="R346" s="2"/>
      <c r="S346" s="2"/>
      <c r="T346" s="2"/>
      <c r="U346" s="2"/>
      <c r="V346" s="2"/>
      <c r="W346" s="2"/>
      <c r="X346" s="2"/>
      <c r="Y346" s="2"/>
      <c r="Z346" s="2"/>
    </row>
    <row r="347" ht="22.5" customHeight="1">
      <c r="A347" s="42" t="str">
        <f t="array" ref="A347">IFERROR(INDEX(Lists!$B:$B,MATCH(A348,Lists!$A:$A,0)),"")</f>
        <v/>
      </c>
      <c r="B347" s="42" t="str">
        <f t="array" ref="B347">IFERROR(INDEX(Lists!$B:$B,MATCH(B348,Lists!$A:$A,0)),"")</f>
        <v/>
      </c>
      <c r="C347" s="42" t="str">
        <f t="array" ref="C347">IFERROR(INDEX(Lists!$B:$B,MATCH(C348,Lists!$A:$A,0)),"")</f>
        <v/>
      </c>
      <c r="D347" s="42" t="str">
        <f t="array" ref="D347">IFERROR(INDEX(Lists!$B:$B,MATCH(D348,Lists!$A:$A,0)),"")</f>
        <v/>
      </c>
      <c r="E347" s="42" t="str">
        <f t="array" ref="E347">IFERROR(INDEX(Lists!$B:$B,MATCH(E348,Lists!$A:$A,0)),"")</f>
        <v/>
      </c>
      <c r="F347" s="42" t="str">
        <f t="array" ref="F347">IFERROR(INDEX(Lists!$B:$B,MATCH(F348,Lists!$A:$A,0)),"")</f>
        <v/>
      </c>
      <c r="G347" s="42" t="str">
        <f t="array" ref="G347">IFERROR(INDEX(Lists!$B:$B,MATCH(G348,Lists!$A:$A,0)),"")</f>
        <v/>
      </c>
      <c r="H347" s="2"/>
      <c r="I347" s="43" t="str">
        <f>IF(A346="","","Week of "&amp;TEXT(A346-7,"MM/DD"))</f>
        <v>Week of 07/16</v>
      </c>
      <c r="J347" s="43" t="str">
        <f>IF(A346="","","Week of "&amp;TEXT(A346,"MM/DD"))</f>
        <v>Week of 07/23</v>
      </c>
      <c r="K347" s="2"/>
      <c r="L347" s="2"/>
      <c r="M347" s="2"/>
      <c r="N347" s="2"/>
      <c r="O347" s="2"/>
      <c r="P347" s="2"/>
      <c r="Q347" s="2"/>
      <c r="R347" s="2"/>
      <c r="S347" s="2"/>
      <c r="T347" s="2"/>
      <c r="U347" s="2"/>
      <c r="V347" s="2"/>
      <c r="W347" s="2"/>
      <c r="X347" s="2"/>
      <c r="Y347" s="2"/>
      <c r="Z347" s="2"/>
    </row>
    <row r="348" ht="22.5" customHeight="1">
      <c r="A348" s="42" t="str">
        <f t="array" ref="A348">IFERROR(INDEX(FinishedData!$B:$B,MATCH(A346,FinishedData!$A:$A,0)),"")</f>
        <v>Practice</v>
      </c>
      <c r="B348" s="42" t="str">
        <f t="array" ref="B348">IFERROR(INDEX(FinishedData!$B:$B,MATCH(B346,FinishedData!$A:$A,0)),"")</f>
        <v>Practice</v>
      </c>
      <c r="C348" s="42" t="str">
        <f t="array" ref="C348">IFERROR(INDEX(FinishedData!$B:$B,MATCH(C346,FinishedData!$A:$A,0)),"")</f>
        <v>Practice</v>
      </c>
      <c r="D348" s="42" t="str">
        <f t="array" ref="D348">IFERROR(INDEX(FinishedData!$B:$B,MATCH(D346,FinishedData!$A:$A,0)),"")</f>
        <v>Game</v>
      </c>
      <c r="E348" s="42" t="str">
        <f t="array" ref="E348">IFERROR(INDEX(FinishedData!$B:$B,MATCH(E346,FinishedData!$A:$A,0)),"")</f>
        <v>Off</v>
      </c>
      <c r="F348" s="42" t="str">
        <f t="array" ref="F348">IFERROR(INDEX(FinishedData!$B:$B,MATCH(F346,FinishedData!$A:$A,0)),"")</f>
        <v>Gym</v>
      </c>
      <c r="G348" s="42" t="str">
        <f t="array" ref="G348">IFERROR(INDEX(FinishedData!$B:$B,MATCH(G346,FinishedData!$A:$A,0)),"")</f>
        <v>Practice</v>
      </c>
      <c r="H348" s="2"/>
      <c r="I348" s="13">
        <f>IFERROR(IF(A346="","",IF(G346="",SUMIFS(FinishedData!$C:$C,FinishedData!$A:$A,"&gt;="&amp;MIN($A346:$G346)-7,FinishedData!$A:$A,"&lt;="&amp;MAX($A346:$G346)+(7-COUNT($A346:$G346)-7)),
SUMIFS(FinishedData!$C:$C,FinishedData!$A:$A,"&gt;="&amp;MIN($A346:$G346)-7,FinishedData!$A:$A,"&lt;="&amp;MAX($A346:$G346)-7))),"")</f>
        <v>5060</v>
      </c>
      <c r="J348" s="13">
        <f>IFERROR(IF(A346="","",SUMIFS(FinishedData!$C:$C,FinishedData!$A:$A,"&gt;="&amp;MIN($A346:$G346),FinishedData!$A:$A,"&lt;="&amp;MAX($A346:$G346))),"")</f>
        <v>4240</v>
      </c>
      <c r="K348" s="2"/>
      <c r="L348" s="2"/>
      <c r="M348" s="2"/>
      <c r="N348" s="2"/>
      <c r="O348" s="2"/>
      <c r="P348" s="2"/>
      <c r="Q348" s="2"/>
      <c r="R348" s="2"/>
      <c r="S348" s="2"/>
      <c r="T348" s="2"/>
      <c r="U348" s="2"/>
      <c r="V348" s="2"/>
      <c r="W348" s="2"/>
      <c r="X348" s="2"/>
      <c r="Y348" s="2"/>
      <c r="Z348" s="2"/>
    </row>
    <row r="349" ht="22.5" customHeight="1">
      <c r="A349" s="45">
        <f t="array" ref="A349">IFERROR(INDEX(FinishedData!$C:$C,MATCH(A346,FinishedData!$A:$A,0)),"")</f>
        <v>520</v>
      </c>
      <c r="B349" s="45">
        <f t="array" ref="B349">IFERROR(INDEX(FinishedData!$C:$C,MATCH(B346,FinishedData!$A:$A,0)),"")</f>
        <v>590</v>
      </c>
      <c r="C349" s="45">
        <f t="array" ref="C349">IFERROR(INDEX(FinishedData!$C:$C,MATCH(C346,FinishedData!$A:$A,0)),"")</f>
        <v>925</v>
      </c>
      <c r="D349" s="45">
        <f t="array" ref="D349">IFERROR(INDEX(FinishedData!$C:$C,MATCH(D346,FinishedData!$A:$A,0)),"")</f>
        <v>520</v>
      </c>
      <c r="E349" s="45" t="str">
        <f t="array" ref="E349">IFERROR(INDEX(FinishedData!$C:$C,MATCH(E346,FinishedData!$A:$A,0)),"")</f>
        <v/>
      </c>
      <c r="F349" s="45">
        <f t="array" ref="F349">IFERROR(INDEX(FinishedData!$C:$C,MATCH(F346,FinishedData!$A:$A,0)),"")</f>
        <v>710</v>
      </c>
      <c r="G349" s="45">
        <f t="array" ref="G349">IFERROR(INDEX(FinishedData!$C:$C,MATCH(G346,FinishedData!$A:$A,0)),"")</f>
        <v>975</v>
      </c>
      <c r="H349" s="2"/>
      <c r="I349" s="46" t="str">
        <f>IF(A346="","","CHANGE")</f>
        <v>CHANGE</v>
      </c>
      <c r="J349" s="47">
        <f>IFERROR(IF(A346="","",(J348-I348)/I348),"")</f>
        <v>-0.162055336</v>
      </c>
      <c r="K349" s="2"/>
      <c r="L349" s="2"/>
      <c r="M349" s="2"/>
      <c r="N349" s="2"/>
      <c r="O349" s="2"/>
      <c r="P349" s="2"/>
      <c r="Q349" s="2"/>
      <c r="R349" s="2"/>
      <c r="S349" s="2"/>
      <c r="T349" s="2"/>
      <c r="U349" s="2"/>
      <c r="V349" s="2"/>
      <c r="W349" s="2"/>
      <c r="X349" s="2"/>
      <c r="Y349" s="2"/>
      <c r="Z349" s="2"/>
    </row>
    <row r="350" ht="22.5" customHeight="1">
      <c r="A350" s="49">
        <f>IF(G346&gt;=$D$3,"",G346+1)</f>
        <v>45137</v>
      </c>
      <c r="B350" s="49">
        <f t="shared" ref="B350:G350" si="87">IF(A350&gt;=$D$3,"",A350+1)</f>
        <v>45138</v>
      </c>
      <c r="C350" s="49">
        <f t="shared" si="87"/>
        <v>45139</v>
      </c>
      <c r="D350" s="49">
        <f t="shared" si="87"/>
        <v>45140</v>
      </c>
      <c r="E350" s="49">
        <f t="shared" si="87"/>
        <v>45141</v>
      </c>
      <c r="F350" s="49">
        <f t="shared" si="87"/>
        <v>45142</v>
      </c>
      <c r="G350" s="49">
        <f t="shared" si="87"/>
        <v>45143</v>
      </c>
      <c r="H350" s="2"/>
      <c r="I350" s="7"/>
      <c r="J350" s="7"/>
      <c r="K350" s="2"/>
      <c r="L350" s="2"/>
      <c r="M350" s="2"/>
      <c r="N350" s="2"/>
      <c r="O350" s="2"/>
      <c r="P350" s="2"/>
      <c r="Q350" s="2"/>
      <c r="R350" s="2"/>
      <c r="S350" s="2"/>
      <c r="T350" s="2"/>
      <c r="U350" s="2"/>
      <c r="V350" s="2"/>
      <c r="W350" s="2"/>
      <c r="X350" s="2"/>
      <c r="Y350" s="2"/>
      <c r="Z350" s="2"/>
    </row>
    <row r="351" ht="22.5" customHeight="1">
      <c r="A351" s="42" t="str">
        <f t="array" ref="A351">IFERROR(INDEX(Lists!$B:$B,MATCH(A352,Lists!$A:$A,0)),"")</f>
        <v/>
      </c>
      <c r="B351" s="42" t="str">
        <f t="array" ref="B351">IFERROR(INDEX(Lists!$B:$B,MATCH(B352,Lists!$A:$A,0)),"")</f>
        <v/>
      </c>
      <c r="C351" s="42" t="str">
        <f t="array" ref="C351">IFERROR(INDEX(Lists!$B:$B,MATCH(C352,Lists!$A:$A,0)),"")</f>
        <v/>
      </c>
      <c r="D351" s="42" t="str">
        <f t="array" ref="D351">IFERROR(INDEX(Lists!$B:$B,MATCH(D352,Lists!$A:$A,0)),"")</f>
        <v/>
      </c>
      <c r="E351" s="42" t="str">
        <f t="array" ref="E351">IFERROR(INDEX(Lists!$B:$B,MATCH(E352,Lists!$A:$A,0)),"")</f>
        <v/>
      </c>
      <c r="F351" s="42" t="str">
        <f t="array" ref="F351">IFERROR(INDEX(Lists!$B:$B,MATCH(F352,Lists!$A:$A,0)),"")</f>
        <v/>
      </c>
      <c r="G351" s="42" t="str">
        <f t="array" ref="G351">IFERROR(INDEX(Lists!$B:$B,MATCH(G352,Lists!$A:$A,0)),"")</f>
        <v/>
      </c>
      <c r="H351" s="2"/>
      <c r="I351" s="43" t="str">
        <f>IF(A350="","","Week of "&amp;TEXT(A350-7,"MM/DD"))</f>
        <v>Week of 07/23</v>
      </c>
      <c r="J351" s="43" t="str">
        <f>IF(A350="","","Week of "&amp;TEXT(A350,"MM/DD"))</f>
        <v>Week of 07/30</v>
      </c>
      <c r="K351" s="2"/>
      <c r="L351" s="2"/>
      <c r="M351" s="2"/>
      <c r="N351" s="2"/>
      <c r="O351" s="2"/>
      <c r="P351" s="2"/>
      <c r="Q351" s="2"/>
      <c r="R351" s="2"/>
      <c r="S351" s="2"/>
      <c r="T351" s="2"/>
      <c r="U351" s="2"/>
      <c r="V351" s="2"/>
      <c r="W351" s="2"/>
      <c r="X351" s="2"/>
      <c r="Y351" s="2"/>
      <c r="Z351" s="2"/>
    </row>
    <row r="352" ht="22.5" customHeight="1">
      <c r="A352" s="42" t="str">
        <f t="array" ref="A352">IFERROR(INDEX(FinishedData!$B:$B,MATCH(A350,FinishedData!$A:$A,0)),"")</f>
        <v>Practice</v>
      </c>
      <c r="B352" s="42" t="str">
        <f t="array" ref="B352">IFERROR(INDEX(FinishedData!$B:$B,MATCH(B350,FinishedData!$A:$A,0)),"")</f>
        <v>Game</v>
      </c>
      <c r="C352" s="42" t="str">
        <f t="array" ref="C352">IFERROR(INDEX(FinishedData!$B:$B,MATCH(C350,FinishedData!$A:$A,0)),"")</f>
        <v>Game</v>
      </c>
      <c r="D352" s="42" t="str">
        <f t="array" ref="D352">IFERROR(INDEX(FinishedData!$B:$B,MATCH(D350,FinishedData!$A:$A,0)),"")</f>
        <v>Off</v>
      </c>
      <c r="E352" s="42" t="str">
        <f t="array" ref="E352">IFERROR(INDEX(FinishedData!$B:$B,MATCH(E350,FinishedData!$A:$A,0)),"")</f>
        <v>Practice</v>
      </c>
      <c r="F352" s="42" t="str">
        <f t="array" ref="F352">IFERROR(INDEX(FinishedData!$B:$B,MATCH(F350,FinishedData!$A:$A,0)),"")</f>
        <v>Practice</v>
      </c>
      <c r="G352" s="42" t="str">
        <f t="array" ref="G352">IFERROR(INDEX(FinishedData!$B:$B,MATCH(G350,FinishedData!$A:$A,0)),"")</f>
        <v>Gym</v>
      </c>
      <c r="H352" s="2"/>
      <c r="I352" s="13">
        <f>IFERROR(IF(A350="","",IF(G350="",SUMIFS(FinishedData!$C:$C,FinishedData!$A:$A,"&gt;="&amp;MIN($A350:$G350)-7,FinishedData!$A:$A,"&lt;="&amp;MAX($A350:$G350)+(7-COUNT($A350:$G350)-7)),
SUMIFS(FinishedData!$C:$C,FinishedData!$A:$A,"&gt;="&amp;MIN($A350:$G350)-7,FinishedData!$A:$A,"&lt;="&amp;MAX($A350:$G350)-7))),"")</f>
        <v>4240</v>
      </c>
      <c r="J352" s="13">
        <f>IFERROR(IF(A350="","",SUMIFS(FinishedData!$C:$C,FinishedData!$A:$A,"&gt;="&amp;MIN($A350:$G350),FinishedData!$A:$A,"&lt;="&amp;MAX($A350:$G350))),"")</f>
        <v>4690</v>
      </c>
      <c r="K352" s="2"/>
      <c r="L352" s="2"/>
      <c r="M352" s="2"/>
      <c r="N352" s="2"/>
      <c r="O352" s="2"/>
      <c r="P352" s="2"/>
      <c r="Q352" s="2"/>
      <c r="R352" s="2"/>
      <c r="S352" s="2"/>
      <c r="T352" s="2"/>
      <c r="U352" s="2"/>
      <c r="V352" s="2"/>
      <c r="W352" s="2"/>
      <c r="X352" s="2"/>
      <c r="Y352" s="2"/>
      <c r="Z352" s="2"/>
    </row>
    <row r="353" ht="22.5" customHeight="1">
      <c r="A353" s="45">
        <f t="array" ref="A353">IFERROR(INDEX(FinishedData!$C:$C,MATCH(A350,FinishedData!$A:$A,0)),"")</f>
        <v>725</v>
      </c>
      <c r="B353" s="45">
        <f t="array" ref="B353">IFERROR(INDEX(FinishedData!$C:$C,MATCH(B350,FinishedData!$A:$A,0)),"")</f>
        <v>970</v>
      </c>
      <c r="C353" s="45">
        <f t="array" ref="C353">IFERROR(INDEX(FinishedData!$C:$C,MATCH(C350,FinishedData!$A:$A,0)),"")</f>
        <v>740</v>
      </c>
      <c r="D353" s="45" t="str">
        <f t="array" ref="D353">IFERROR(INDEX(FinishedData!$C:$C,MATCH(D350,FinishedData!$A:$A,0)),"")</f>
        <v/>
      </c>
      <c r="E353" s="45">
        <f t="array" ref="E353">IFERROR(INDEX(FinishedData!$C:$C,MATCH(E350,FinishedData!$A:$A,0)),"")</f>
        <v>700</v>
      </c>
      <c r="F353" s="45">
        <f t="array" ref="F353">IFERROR(INDEX(FinishedData!$C:$C,MATCH(F350,FinishedData!$A:$A,0)),"")</f>
        <v>835</v>
      </c>
      <c r="G353" s="45">
        <f t="array" ref="G353">IFERROR(INDEX(FinishedData!$C:$C,MATCH(G350,FinishedData!$A:$A,0)),"")</f>
        <v>720</v>
      </c>
      <c r="H353" s="2"/>
      <c r="I353" s="46" t="str">
        <f>IF(A350="","","CHANGE")</f>
        <v>CHANGE</v>
      </c>
      <c r="J353" s="47">
        <f>IFERROR(IF(A350="","",(J352-I352)/I352),"")</f>
        <v>0.1061320755</v>
      </c>
      <c r="K353" s="2"/>
      <c r="L353" s="2"/>
      <c r="M353" s="2"/>
      <c r="N353" s="2"/>
      <c r="O353" s="2"/>
      <c r="P353" s="2"/>
      <c r="Q353" s="2"/>
      <c r="R353" s="2"/>
      <c r="S353" s="2"/>
      <c r="T353" s="2"/>
      <c r="U353" s="2"/>
      <c r="V353" s="2"/>
      <c r="W353" s="2"/>
      <c r="X353" s="2"/>
      <c r="Y353" s="2"/>
      <c r="Z353" s="2"/>
    </row>
    <row r="354" ht="22.5" customHeight="1">
      <c r="A354" s="49">
        <f>IF(G350&gt;=$D$3,"",G350+1)</f>
        <v>45144</v>
      </c>
      <c r="B354" s="49">
        <f t="shared" ref="B354:G354" si="88">IF(A354&gt;=$D$3,"",A354+1)</f>
        <v>45145</v>
      </c>
      <c r="C354" s="49">
        <f t="shared" si="88"/>
        <v>45146</v>
      </c>
      <c r="D354" s="49">
        <f t="shared" si="88"/>
        <v>45147</v>
      </c>
      <c r="E354" s="49">
        <f t="shared" si="88"/>
        <v>45148</v>
      </c>
      <c r="F354" s="49">
        <f t="shared" si="88"/>
        <v>45149</v>
      </c>
      <c r="G354" s="49">
        <f t="shared" si="88"/>
        <v>45150</v>
      </c>
      <c r="H354" s="2"/>
      <c r="I354" s="7"/>
      <c r="J354" s="7"/>
      <c r="K354" s="2"/>
      <c r="L354" s="2"/>
      <c r="M354" s="2"/>
      <c r="N354" s="2"/>
      <c r="O354" s="2"/>
      <c r="P354" s="2"/>
      <c r="Q354" s="2"/>
      <c r="R354" s="2"/>
      <c r="S354" s="2"/>
      <c r="T354" s="2"/>
      <c r="U354" s="2"/>
      <c r="V354" s="2"/>
      <c r="W354" s="2"/>
      <c r="X354" s="2"/>
      <c r="Y354" s="2"/>
      <c r="Z354" s="2"/>
    </row>
    <row r="355" ht="22.5" customHeight="1">
      <c r="A355" s="42" t="str">
        <f t="array" ref="A355">IFERROR(INDEX(Lists!$B:$B,MATCH(A356,Lists!$A:$A,0)),"")</f>
        <v/>
      </c>
      <c r="B355" s="42" t="str">
        <f t="array" ref="B355">IFERROR(INDEX(Lists!$B:$B,MATCH(B356,Lists!$A:$A,0)),"")</f>
        <v/>
      </c>
      <c r="C355" s="42" t="str">
        <f t="array" ref="C355">IFERROR(INDEX(Lists!$B:$B,MATCH(C356,Lists!$A:$A,0)),"")</f>
        <v/>
      </c>
      <c r="D355" s="42" t="str">
        <f t="array" ref="D355">IFERROR(INDEX(Lists!$B:$B,MATCH(D356,Lists!$A:$A,0)),"")</f>
        <v/>
      </c>
      <c r="E355" s="42" t="str">
        <f t="array" ref="E355">IFERROR(INDEX(Lists!$B:$B,MATCH(E356,Lists!$A:$A,0)),"")</f>
        <v/>
      </c>
      <c r="F355" s="42" t="str">
        <f t="array" ref="F355">IFERROR(INDEX(Lists!$B:$B,MATCH(F356,Lists!$A:$A,0)),"")</f>
        <v/>
      </c>
      <c r="G355" s="42" t="str">
        <f t="array" ref="G355">IFERROR(INDEX(Lists!$B:$B,MATCH(G356,Lists!$A:$A,0)),"")</f>
        <v/>
      </c>
      <c r="H355" s="2"/>
      <c r="I355" s="43" t="str">
        <f>IF(A354="","","Week of "&amp;TEXT(A354-7,"MM/DD"))</f>
        <v>Week of 07/30</v>
      </c>
      <c r="J355" s="43" t="str">
        <f>IF(A354="","","Week of "&amp;TEXT(A354,"MM/DD"))</f>
        <v>Week of 08/06</v>
      </c>
      <c r="K355" s="2"/>
      <c r="L355" s="2"/>
      <c r="M355" s="2"/>
      <c r="N355" s="2"/>
      <c r="O355" s="2"/>
      <c r="P355" s="2"/>
      <c r="Q355" s="2"/>
      <c r="R355" s="2"/>
      <c r="S355" s="2"/>
      <c r="T355" s="2"/>
      <c r="U355" s="2"/>
      <c r="V355" s="2"/>
      <c r="W355" s="2"/>
      <c r="X355" s="2"/>
      <c r="Y355" s="2"/>
      <c r="Z355" s="2"/>
    </row>
    <row r="356" ht="22.5" customHeight="1">
      <c r="A356" s="42" t="str">
        <f t="array" ref="A356">IFERROR(INDEX(FinishedData!$B:$B,MATCH(A354,FinishedData!$A:$A,0)),"")</f>
        <v>Practice</v>
      </c>
      <c r="B356" s="42" t="str">
        <f t="array" ref="B356">IFERROR(INDEX(FinishedData!$B:$B,MATCH(B354,FinishedData!$A:$A,0)),"")</f>
        <v>Practice</v>
      </c>
      <c r="C356" s="42" t="str">
        <f t="array" ref="C356">IFERROR(INDEX(FinishedData!$B:$B,MATCH(C354,FinishedData!$A:$A,0)),"")</f>
        <v>Game</v>
      </c>
      <c r="D356" s="42" t="str">
        <f t="array" ref="D356">IFERROR(INDEX(FinishedData!$B:$B,MATCH(D354,FinishedData!$A:$A,0)),"")</f>
        <v>Practice</v>
      </c>
      <c r="E356" s="42" t="str">
        <f t="array" ref="E356">IFERROR(INDEX(FinishedData!$B:$B,MATCH(E354,FinishedData!$A:$A,0)),"")</f>
        <v>Game</v>
      </c>
      <c r="F356" s="42" t="str">
        <f t="array" ref="F356">IFERROR(INDEX(FinishedData!$B:$B,MATCH(F354,FinishedData!$A:$A,0)),"")</f>
        <v>Off</v>
      </c>
      <c r="G356" s="42" t="str">
        <f t="array" ref="G356">IFERROR(INDEX(FinishedData!$B:$B,MATCH(G354,FinishedData!$A:$A,0)),"")</f>
        <v>Practice</v>
      </c>
      <c r="H356" s="2"/>
      <c r="I356" s="13">
        <f>IFERROR(IF(A354="","",IF(G354="",SUMIFS(FinishedData!$C:$C,FinishedData!$A:$A,"&gt;="&amp;MIN($A354:$G354)-7,FinishedData!$A:$A,"&lt;="&amp;MAX($A354:$G354)+(7-COUNT($A354:$G354)-7)),
SUMIFS(FinishedData!$C:$C,FinishedData!$A:$A,"&gt;="&amp;MIN($A354:$G354)-7,FinishedData!$A:$A,"&lt;="&amp;MAX($A354:$G354)-7))),"")</f>
        <v>4690</v>
      </c>
      <c r="J356" s="13">
        <f>IFERROR(IF(A354="","",SUMIFS(FinishedData!$C:$C,FinishedData!$A:$A,"&gt;="&amp;MIN($A354:$G354),FinishedData!$A:$A,"&lt;="&amp;MAX($A354:$G354))),"")</f>
        <v>4285</v>
      </c>
      <c r="K356" s="2"/>
      <c r="L356" s="2"/>
      <c r="M356" s="2"/>
      <c r="N356" s="2"/>
      <c r="O356" s="2"/>
      <c r="P356" s="2"/>
      <c r="Q356" s="2"/>
      <c r="R356" s="2"/>
      <c r="S356" s="2"/>
      <c r="T356" s="2"/>
      <c r="U356" s="2"/>
      <c r="V356" s="2"/>
      <c r="W356" s="2"/>
      <c r="X356" s="2"/>
      <c r="Y356" s="2"/>
      <c r="Z356" s="2"/>
    </row>
    <row r="357" ht="22.5" customHeight="1">
      <c r="A357" s="45">
        <f t="array" ref="A357">IFERROR(INDEX(FinishedData!$C:$C,MATCH(A354,FinishedData!$A:$A,0)),"")</f>
        <v>910</v>
      </c>
      <c r="B357" s="45">
        <f t="array" ref="B357">IFERROR(INDEX(FinishedData!$C:$C,MATCH(B354,FinishedData!$A:$A,0)),"")</f>
        <v>925</v>
      </c>
      <c r="C357" s="45">
        <f t="array" ref="C357">IFERROR(INDEX(FinishedData!$C:$C,MATCH(C354,FinishedData!$A:$A,0)),"")</f>
        <v>615</v>
      </c>
      <c r="D357" s="45">
        <f t="array" ref="D357">IFERROR(INDEX(FinishedData!$C:$C,MATCH(D354,FinishedData!$A:$A,0)),"")</f>
        <v>510</v>
      </c>
      <c r="E357" s="45">
        <f t="array" ref="E357">IFERROR(INDEX(FinishedData!$C:$C,MATCH(E354,FinishedData!$A:$A,0)),"")</f>
        <v>505</v>
      </c>
      <c r="F357" s="45" t="str">
        <f t="array" ref="F357">IFERROR(INDEX(FinishedData!$C:$C,MATCH(F354,FinishedData!$A:$A,0)),"")</f>
        <v/>
      </c>
      <c r="G357" s="45">
        <f t="array" ref="G357">IFERROR(INDEX(FinishedData!$C:$C,MATCH(G354,FinishedData!$A:$A,0)),"")</f>
        <v>820</v>
      </c>
      <c r="H357" s="2"/>
      <c r="I357" s="46" t="str">
        <f>IF(A354="","","CHANGE")</f>
        <v>CHANGE</v>
      </c>
      <c r="J357" s="47">
        <f>IFERROR(IF(A354="","",(J356-I356)/I356),"")</f>
        <v>-0.08635394456</v>
      </c>
      <c r="K357" s="2"/>
      <c r="L357" s="2"/>
      <c r="M357" s="2"/>
      <c r="N357" s="2"/>
      <c r="O357" s="2"/>
      <c r="P357" s="2"/>
      <c r="Q357" s="2"/>
      <c r="R357" s="2"/>
      <c r="S357" s="2"/>
      <c r="T357" s="2"/>
      <c r="U357" s="2"/>
      <c r="V357" s="2"/>
      <c r="W357" s="2"/>
      <c r="X357" s="2"/>
      <c r="Y357" s="2"/>
      <c r="Z357" s="2"/>
    </row>
    <row r="358" ht="22.5" customHeight="1">
      <c r="A358" s="49">
        <f>IF(G354&gt;=$D$3,"",G354+1)</f>
        <v>45151</v>
      </c>
      <c r="B358" s="49">
        <f t="shared" ref="B358:G358" si="89">IF(A358&gt;=$D$3,"",A358+1)</f>
        <v>45152</v>
      </c>
      <c r="C358" s="49">
        <f t="shared" si="89"/>
        <v>45153</v>
      </c>
      <c r="D358" s="49">
        <f t="shared" si="89"/>
        <v>45154</v>
      </c>
      <c r="E358" s="49">
        <f t="shared" si="89"/>
        <v>45155</v>
      </c>
      <c r="F358" s="49">
        <f t="shared" si="89"/>
        <v>45156</v>
      </c>
      <c r="G358" s="49">
        <f t="shared" si="89"/>
        <v>45157</v>
      </c>
      <c r="H358" s="2"/>
      <c r="I358" s="7"/>
      <c r="J358" s="7"/>
      <c r="K358" s="2"/>
      <c r="L358" s="2"/>
      <c r="M358" s="2"/>
      <c r="N358" s="2"/>
      <c r="O358" s="2"/>
      <c r="P358" s="2"/>
      <c r="Q358" s="2"/>
      <c r="R358" s="2"/>
      <c r="S358" s="2"/>
      <c r="T358" s="2"/>
      <c r="U358" s="2"/>
      <c r="V358" s="2"/>
      <c r="W358" s="2"/>
      <c r="X358" s="2"/>
      <c r="Y358" s="2"/>
      <c r="Z358" s="2"/>
    </row>
    <row r="359" ht="22.5" customHeight="1">
      <c r="A359" s="42" t="str">
        <f t="array" ref="A359">IFERROR(INDEX(Lists!$B:$B,MATCH(A360,Lists!$A:$A,0)),"")</f>
        <v/>
      </c>
      <c r="B359" s="42" t="str">
        <f t="array" ref="B359">IFERROR(INDEX(Lists!$B:$B,MATCH(B360,Lists!$A:$A,0)),"")</f>
        <v/>
      </c>
      <c r="C359" s="42" t="str">
        <f t="array" ref="C359">IFERROR(INDEX(Lists!$B:$B,MATCH(C360,Lists!$A:$A,0)),"")</f>
        <v/>
      </c>
      <c r="D359" s="42" t="str">
        <f t="array" ref="D359">IFERROR(INDEX(Lists!$B:$B,MATCH(D360,Lists!$A:$A,0)),"")</f>
        <v/>
      </c>
      <c r="E359" s="42" t="str">
        <f t="array" ref="E359">IFERROR(INDEX(Lists!$B:$B,MATCH(E360,Lists!$A:$A,0)),"")</f>
        <v/>
      </c>
      <c r="F359" s="42" t="str">
        <f t="array" ref="F359">IFERROR(INDEX(Lists!$B:$B,MATCH(F360,Lists!$A:$A,0)),"")</f>
        <v/>
      </c>
      <c r="G359" s="42" t="str">
        <f t="array" ref="G359">IFERROR(INDEX(Lists!$B:$B,MATCH(G360,Lists!$A:$A,0)),"")</f>
        <v/>
      </c>
      <c r="H359" s="2"/>
      <c r="I359" s="43" t="str">
        <f>IF(A358="","","Week of "&amp;TEXT(A358-7,"MM/DD"))</f>
        <v>Week of 08/06</v>
      </c>
      <c r="J359" s="43" t="str">
        <f>IF(A358="","","Week of "&amp;TEXT(A358,"MM/DD"))</f>
        <v>Week of 08/13</v>
      </c>
      <c r="K359" s="2"/>
      <c r="L359" s="2"/>
      <c r="M359" s="2"/>
      <c r="N359" s="2"/>
      <c r="O359" s="2"/>
      <c r="P359" s="2"/>
      <c r="Q359" s="2"/>
      <c r="R359" s="2"/>
      <c r="S359" s="2"/>
      <c r="T359" s="2"/>
      <c r="U359" s="2"/>
      <c r="V359" s="2"/>
      <c r="W359" s="2"/>
      <c r="X359" s="2"/>
      <c r="Y359" s="2"/>
      <c r="Z359" s="2"/>
    </row>
    <row r="360" ht="22.5" customHeight="1">
      <c r="A360" s="42" t="str">
        <f t="array" ref="A360">IFERROR(INDEX(FinishedData!$B:$B,MATCH(A358,FinishedData!$A:$A,0)),"")</f>
        <v>Gym</v>
      </c>
      <c r="B360" s="42" t="str">
        <f t="array" ref="B360">IFERROR(INDEX(FinishedData!$B:$B,MATCH(B358,FinishedData!$A:$A,0)),"")</f>
        <v>Practice</v>
      </c>
      <c r="C360" s="42" t="str">
        <f t="array" ref="C360">IFERROR(INDEX(FinishedData!$B:$B,MATCH(C358,FinishedData!$A:$A,0)),"")</f>
        <v>Practice</v>
      </c>
      <c r="D360" s="42" t="str">
        <f t="array" ref="D360">IFERROR(INDEX(FinishedData!$B:$B,MATCH(D358,FinishedData!$A:$A,0)),"")</f>
        <v>Practice</v>
      </c>
      <c r="E360" s="42" t="str">
        <f t="array" ref="E360">IFERROR(INDEX(FinishedData!$B:$B,MATCH(E358,FinishedData!$A:$A,0)),"")</f>
        <v>Game</v>
      </c>
      <c r="F360" s="42" t="str">
        <f t="array" ref="F360">IFERROR(INDEX(FinishedData!$B:$B,MATCH(F358,FinishedData!$A:$A,0)),"")</f>
        <v>Off</v>
      </c>
      <c r="G360" s="42" t="str">
        <f t="array" ref="G360">IFERROR(INDEX(FinishedData!$B:$B,MATCH(G358,FinishedData!$A:$A,0)),"")</f>
        <v>Practice</v>
      </c>
      <c r="H360" s="2"/>
      <c r="I360" s="13">
        <f>IFERROR(IF(A358="","",IF(G358="",SUMIFS(FinishedData!$C:$C,FinishedData!$A:$A,"&gt;="&amp;MIN($A358:$G358)-7,FinishedData!$A:$A,"&lt;="&amp;MAX($A358:$G358)+(7-COUNT($A358:$G358)-7)),
SUMIFS(FinishedData!$C:$C,FinishedData!$A:$A,"&gt;="&amp;MIN($A358:$G358)-7,FinishedData!$A:$A,"&lt;="&amp;MAX($A358:$G358)-7))),"")</f>
        <v>4285</v>
      </c>
      <c r="J360" s="13">
        <f>IFERROR(IF(A358="","",SUMIFS(FinishedData!$C:$C,FinishedData!$A:$A,"&gt;="&amp;MIN($A358:$G358),FinishedData!$A:$A,"&lt;="&amp;MAX($A358:$G358))),"")</f>
        <v>4320</v>
      </c>
      <c r="K360" s="2"/>
      <c r="L360" s="2"/>
      <c r="M360" s="2"/>
      <c r="N360" s="2"/>
      <c r="O360" s="2"/>
      <c r="P360" s="2"/>
      <c r="Q360" s="2"/>
      <c r="R360" s="2"/>
      <c r="S360" s="2"/>
      <c r="T360" s="2"/>
      <c r="U360" s="2"/>
      <c r="V360" s="2"/>
      <c r="W360" s="2"/>
      <c r="X360" s="2"/>
      <c r="Y360" s="2"/>
      <c r="Z360" s="2"/>
    </row>
    <row r="361" ht="22.5" customHeight="1">
      <c r="A361" s="45">
        <f t="array" ref="A361">IFERROR(INDEX(FinishedData!$C:$C,MATCH(A358,FinishedData!$A:$A,0)),"")</f>
        <v>640</v>
      </c>
      <c r="B361" s="45">
        <f t="array" ref="B361">IFERROR(INDEX(FinishedData!$C:$C,MATCH(B358,FinishedData!$A:$A,0)),"")</f>
        <v>800</v>
      </c>
      <c r="C361" s="45">
        <f t="array" ref="C361">IFERROR(INDEX(FinishedData!$C:$C,MATCH(C358,FinishedData!$A:$A,0)),"")</f>
        <v>565</v>
      </c>
      <c r="D361" s="45">
        <f t="array" ref="D361">IFERROR(INDEX(FinishedData!$C:$C,MATCH(D358,FinishedData!$A:$A,0)),"")</f>
        <v>560</v>
      </c>
      <c r="E361" s="45">
        <f t="array" ref="E361">IFERROR(INDEX(FinishedData!$C:$C,MATCH(E358,FinishedData!$A:$A,0)),"")</f>
        <v>775</v>
      </c>
      <c r="F361" s="45" t="str">
        <f t="array" ref="F361">IFERROR(INDEX(FinishedData!$C:$C,MATCH(F358,FinishedData!$A:$A,0)),"")</f>
        <v/>
      </c>
      <c r="G361" s="45">
        <f t="array" ref="G361">IFERROR(INDEX(FinishedData!$C:$C,MATCH(G358,FinishedData!$A:$A,0)),"")</f>
        <v>980</v>
      </c>
      <c r="H361" s="2"/>
      <c r="I361" s="46" t="str">
        <f>IF(A358="","","CHANGE")</f>
        <v>CHANGE</v>
      </c>
      <c r="J361" s="47">
        <f>IFERROR(IF(A358="","",(J360-I360)/I360),"")</f>
        <v>0.008168028005</v>
      </c>
      <c r="K361" s="2"/>
      <c r="L361" s="2"/>
      <c r="M361" s="2"/>
      <c r="N361" s="2"/>
      <c r="O361" s="2"/>
      <c r="P361" s="2"/>
      <c r="Q361" s="2"/>
      <c r="R361" s="2"/>
      <c r="S361" s="2"/>
      <c r="T361" s="2"/>
      <c r="U361" s="2"/>
      <c r="V361" s="2"/>
      <c r="W361" s="2"/>
      <c r="X361" s="2"/>
      <c r="Y361" s="2"/>
      <c r="Z361" s="2"/>
    </row>
    <row r="362" ht="22.5" customHeight="1">
      <c r="A362" s="49">
        <f>IF(G358&gt;=$D$3,"",G358+1)</f>
        <v>45158</v>
      </c>
      <c r="B362" s="49">
        <f t="shared" ref="B362:G362" si="90">IF(A362&gt;=$D$3,"",A362+1)</f>
        <v>45159</v>
      </c>
      <c r="C362" s="49">
        <f t="shared" si="90"/>
        <v>45160</v>
      </c>
      <c r="D362" s="49">
        <f t="shared" si="90"/>
        <v>45161</v>
      </c>
      <c r="E362" s="49">
        <f t="shared" si="90"/>
        <v>45162</v>
      </c>
      <c r="F362" s="49">
        <f t="shared" si="90"/>
        <v>45163</v>
      </c>
      <c r="G362" s="49">
        <f t="shared" si="90"/>
        <v>45164</v>
      </c>
      <c r="H362" s="2"/>
      <c r="I362" s="7"/>
      <c r="J362" s="7"/>
      <c r="K362" s="2"/>
      <c r="L362" s="2"/>
      <c r="M362" s="2"/>
      <c r="N362" s="2"/>
      <c r="O362" s="2"/>
      <c r="P362" s="2"/>
      <c r="Q362" s="2"/>
      <c r="R362" s="2"/>
      <c r="S362" s="2"/>
      <c r="T362" s="2"/>
      <c r="U362" s="2"/>
      <c r="V362" s="2"/>
      <c r="W362" s="2"/>
      <c r="X362" s="2"/>
      <c r="Y362" s="2"/>
      <c r="Z362" s="2"/>
    </row>
    <row r="363" ht="22.5" customHeight="1">
      <c r="A363" s="42" t="str">
        <f t="array" ref="A363">IFERROR(INDEX(Lists!$B:$B,MATCH(A364,Lists!$A:$A,0)),"")</f>
        <v/>
      </c>
      <c r="B363" s="42" t="str">
        <f t="array" ref="B363">IFERROR(INDEX(Lists!$B:$B,MATCH(B364,Lists!$A:$A,0)),"")</f>
        <v/>
      </c>
      <c r="C363" s="42" t="str">
        <f t="array" ref="C363">IFERROR(INDEX(Lists!$B:$B,MATCH(C364,Lists!$A:$A,0)),"")</f>
        <v/>
      </c>
      <c r="D363" s="42" t="str">
        <f t="array" ref="D363">IFERROR(INDEX(Lists!$B:$B,MATCH(D364,Lists!$A:$A,0)),"")</f>
        <v/>
      </c>
      <c r="E363" s="42" t="str">
        <f t="array" ref="E363">IFERROR(INDEX(Lists!$B:$B,MATCH(E364,Lists!$A:$A,0)),"")</f>
        <v/>
      </c>
      <c r="F363" s="42" t="str">
        <f t="array" ref="F363">IFERROR(INDEX(Lists!$B:$B,MATCH(F364,Lists!$A:$A,0)),"")</f>
        <v/>
      </c>
      <c r="G363" s="42" t="str">
        <f t="array" ref="G363">IFERROR(INDEX(Lists!$B:$B,MATCH(G364,Lists!$A:$A,0)),"")</f>
        <v/>
      </c>
      <c r="H363" s="2"/>
      <c r="I363" s="43" t="str">
        <f>IF(A362="","","Week of "&amp;TEXT(A362-7,"MM/DD"))</f>
        <v>Week of 08/13</v>
      </c>
      <c r="J363" s="43" t="str">
        <f>IF(A362="","","Week of "&amp;TEXT(A362,"MM/DD"))</f>
        <v>Week of 08/20</v>
      </c>
      <c r="K363" s="2"/>
      <c r="L363" s="2"/>
      <c r="M363" s="2"/>
      <c r="N363" s="2"/>
      <c r="O363" s="2"/>
      <c r="P363" s="2"/>
      <c r="Q363" s="2"/>
      <c r="R363" s="2"/>
      <c r="S363" s="2"/>
      <c r="T363" s="2"/>
      <c r="U363" s="2"/>
      <c r="V363" s="2"/>
      <c r="W363" s="2"/>
      <c r="X363" s="2"/>
      <c r="Y363" s="2"/>
      <c r="Z363" s="2"/>
    </row>
    <row r="364" ht="22.5" customHeight="1">
      <c r="A364" s="42" t="str">
        <f t="array" ref="A364">IFERROR(INDEX(FinishedData!$B:$B,MATCH(A362,FinishedData!$A:$A,0)),"")</f>
        <v>Game</v>
      </c>
      <c r="B364" s="42" t="str">
        <f t="array" ref="B364">IFERROR(INDEX(FinishedData!$B:$B,MATCH(B362,FinishedData!$A:$A,0)),"")</f>
        <v>Practice</v>
      </c>
      <c r="C364" s="42" t="str">
        <f t="array" ref="C364">IFERROR(INDEX(FinishedData!$B:$B,MATCH(C362,FinishedData!$A:$A,0)),"")</f>
        <v>Practice</v>
      </c>
      <c r="D364" s="42" t="str">
        <f t="array" ref="D364">IFERROR(INDEX(FinishedData!$B:$B,MATCH(D362,FinishedData!$A:$A,0)),"")</f>
        <v>Game</v>
      </c>
      <c r="E364" s="42" t="str">
        <f t="array" ref="E364">IFERROR(INDEX(FinishedData!$B:$B,MATCH(E362,FinishedData!$A:$A,0)),"")</f>
        <v>Practice</v>
      </c>
      <c r="F364" s="42" t="str">
        <f t="array" ref="F364">IFERROR(INDEX(FinishedData!$B:$B,MATCH(F362,FinishedData!$A:$A,0)),"")</f>
        <v>Gym</v>
      </c>
      <c r="G364" s="42" t="str">
        <f t="array" ref="G364">IFERROR(INDEX(FinishedData!$B:$B,MATCH(G362,FinishedData!$A:$A,0)),"")</f>
        <v>Off</v>
      </c>
      <c r="H364" s="2"/>
      <c r="I364" s="13">
        <f>IFERROR(IF(A362="","",IF(G362="",SUMIFS(FinishedData!$C:$C,FinishedData!$A:$A,"&gt;="&amp;MIN($A362:$G362)-7,FinishedData!$A:$A,"&lt;="&amp;MAX($A362:$G362)+(7-COUNT($A362:$G362)-7)),
SUMIFS(FinishedData!$C:$C,FinishedData!$A:$A,"&gt;="&amp;MIN($A362:$G362)-7,FinishedData!$A:$A,"&lt;="&amp;MAX($A362:$G362)-7))),"")</f>
        <v>4320</v>
      </c>
      <c r="J364" s="13">
        <f>IFERROR(IF(A362="","",SUMIFS(FinishedData!$C:$C,FinishedData!$A:$A,"&gt;="&amp;MIN($A362:$G362),FinishedData!$A:$A,"&lt;="&amp;MAX($A362:$G362))),"")</f>
        <v>4915</v>
      </c>
      <c r="K364" s="2"/>
      <c r="L364" s="2"/>
      <c r="M364" s="2"/>
      <c r="N364" s="2"/>
      <c r="O364" s="2"/>
      <c r="P364" s="2"/>
      <c r="Q364" s="2"/>
      <c r="R364" s="2"/>
      <c r="S364" s="2"/>
      <c r="T364" s="2"/>
      <c r="U364" s="2"/>
      <c r="V364" s="2"/>
      <c r="W364" s="2"/>
      <c r="X364" s="2"/>
      <c r="Y364" s="2"/>
      <c r="Z364" s="2"/>
    </row>
    <row r="365" ht="22.5" customHeight="1">
      <c r="A365" s="45">
        <f t="array" ref="A365">IFERROR(INDEX(FinishedData!$C:$C,MATCH(A362,FinishedData!$A:$A,0)),"")</f>
        <v>855</v>
      </c>
      <c r="B365" s="45">
        <f t="array" ref="B365">IFERROR(INDEX(FinishedData!$C:$C,MATCH(B362,FinishedData!$A:$A,0)),"")</f>
        <v>860</v>
      </c>
      <c r="C365" s="45">
        <f t="array" ref="C365">IFERROR(INDEX(FinishedData!$C:$C,MATCH(C362,FinishedData!$A:$A,0)),"")</f>
        <v>715</v>
      </c>
      <c r="D365" s="45">
        <f t="array" ref="D365">IFERROR(INDEX(FinishedData!$C:$C,MATCH(D362,FinishedData!$A:$A,0)),"")</f>
        <v>825</v>
      </c>
      <c r="E365" s="45">
        <f t="array" ref="E365">IFERROR(INDEX(FinishedData!$C:$C,MATCH(E362,FinishedData!$A:$A,0)),"")</f>
        <v>735</v>
      </c>
      <c r="F365" s="45">
        <f t="array" ref="F365">IFERROR(INDEX(FinishedData!$C:$C,MATCH(F362,FinishedData!$A:$A,0)),"")</f>
        <v>925</v>
      </c>
      <c r="G365" s="45" t="str">
        <f t="array" ref="G365">IFERROR(INDEX(FinishedData!$C:$C,MATCH(G362,FinishedData!$A:$A,0)),"")</f>
        <v/>
      </c>
      <c r="H365" s="2"/>
      <c r="I365" s="46" t="str">
        <f>IF(A362="","","CHANGE")</f>
        <v>CHANGE</v>
      </c>
      <c r="J365" s="47">
        <f>IFERROR(IF(A362="","",(J364-I364)/I364),"")</f>
        <v>0.1377314815</v>
      </c>
      <c r="K365" s="2"/>
      <c r="L365" s="2"/>
      <c r="M365" s="2"/>
      <c r="N365" s="2"/>
      <c r="O365" s="2"/>
      <c r="P365" s="2"/>
      <c r="Q365" s="2"/>
      <c r="R365" s="2"/>
      <c r="S365" s="2"/>
      <c r="T365" s="2"/>
      <c r="U365" s="2"/>
      <c r="V365" s="2"/>
      <c r="W365" s="2"/>
      <c r="X365" s="2"/>
      <c r="Y365" s="2"/>
      <c r="Z365" s="2"/>
    </row>
    <row r="366" ht="22.5" customHeight="1">
      <c r="A366" s="49">
        <f>IF(G362&gt;=$D$3,"",G362+1)</f>
        <v>45165</v>
      </c>
      <c r="B366" s="49">
        <f t="shared" ref="B366:G366" si="91">IF(A366&gt;=$D$3,"",A366+1)</f>
        <v>45166</v>
      </c>
      <c r="C366" s="49">
        <f t="shared" si="91"/>
        <v>45167</v>
      </c>
      <c r="D366" s="49">
        <f t="shared" si="91"/>
        <v>45168</v>
      </c>
      <c r="E366" s="49">
        <f t="shared" si="91"/>
        <v>45169</v>
      </c>
      <c r="F366" s="49">
        <f t="shared" si="91"/>
        <v>45170</v>
      </c>
      <c r="G366" s="49">
        <f t="shared" si="91"/>
        <v>45171</v>
      </c>
      <c r="H366" s="2"/>
      <c r="I366" s="2"/>
      <c r="J366" s="2"/>
      <c r="K366" s="2"/>
      <c r="L366" s="2"/>
      <c r="M366" s="2"/>
      <c r="N366" s="2"/>
      <c r="O366" s="2"/>
      <c r="P366" s="2"/>
      <c r="Q366" s="2"/>
      <c r="R366" s="2"/>
      <c r="S366" s="2"/>
      <c r="T366" s="2"/>
      <c r="U366" s="2"/>
      <c r="V366" s="2"/>
      <c r="W366" s="2"/>
      <c r="X366" s="2"/>
      <c r="Y366" s="2"/>
      <c r="Z366" s="2"/>
    </row>
    <row r="367" ht="22.5" customHeight="1">
      <c r="A367" s="42" t="str">
        <f t="array" ref="A367">IFERROR(INDEX(Lists!$B:$B,MATCH(A368,Lists!$A:$A,0)),"")</f>
        <v/>
      </c>
      <c r="B367" s="42" t="str">
        <f t="array" ref="B367">IFERROR(INDEX(Lists!$B:$B,MATCH(B368,Lists!$A:$A,0)),"")</f>
        <v/>
      </c>
      <c r="C367" s="42" t="str">
        <f t="array" ref="C367">IFERROR(INDEX(Lists!$B:$B,MATCH(C368,Lists!$A:$A,0)),"")</f>
        <v/>
      </c>
      <c r="D367" s="42" t="str">
        <f t="array" ref="D367">IFERROR(INDEX(Lists!$B:$B,MATCH(D368,Lists!$A:$A,0)),"")</f>
        <v/>
      </c>
      <c r="E367" s="42" t="str">
        <f t="array" ref="E367">IFERROR(INDEX(Lists!$B:$B,MATCH(E368,Lists!$A:$A,0)),"")</f>
        <v/>
      </c>
      <c r="F367" s="42" t="str">
        <f t="array" ref="F367">IFERROR(INDEX(Lists!$B:$B,MATCH(F368,Lists!$A:$A,0)),"")</f>
        <v/>
      </c>
      <c r="G367" s="42" t="str">
        <f t="array" ref="G367">IFERROR(INDEX(Lists!$B:$B,MATCH(G368,Lists!$A:$A,0)),"")</f>
        <v/>
      </c>
      <c r="H367" s="2"/>
      <c r="I367" s="43" t="str">
        <f>IF(A366="","","Week of "&amp;TEXT(A366-7,"MM/DD"))</f>
        <v>Week of 08/20</v>
      </c>
      <c r="J367" s="43" t="str">
        <f>IF(A366="","","Week of "&amp;TEXT(A366,"MM/DD"))</f>
        <v>Week of 08/27</v>
      </c>
      <c r="K367" s="2"/>
      <c r="L367" s="2"/>
      <c r="M367" s="2"/>
      <c r="N367" s="2"/>
      <c r="O367" s="2"/>
      <c r="P367" s="2"/>
      <c r="Q367" s="2"/>
      <c r="R367" s="2"/>
      <c r="S367" s="2"/>
      <c r="T367" s="2"/>
      <c r="U367" s="2"/>
      <c r="V367" s="2"/>
      <c r="W367" s="2"/>
      <c r="X367" s="2"/>
      <c r="Y367" s="2"/>
      <c r="Z367" s="2"/>
    </row>
    <row r="368" ht="22.5" customHeight="1">
      <c r="A368" s="42" t="str">
        <f t="array" ref="A368">IFERROR(INDEX(FinishedData!$B:$B,MATCH(A366,FinishedData!$A:$A,0)),"")</f>
        <v>Practice</v>
      </c>
      <c r="B368" s="42" t="str">
        <f t="array" ref="B368">IFERROR(INDEX(FinishedData!$B:$B,MATCH(B366,FinishedData!$A:$A,0)),"")</f>
        <v>Practice</v>
      </c>
      <c r="C368" s="42" t="str">
        <f t="array" ref="C368">IFERROR(INDEX(FinishedData!$B:$B,MATCH(C366,FinishedData!$A:$A,0)),"")</f>
        <v>Game</v>
      </c>
      <c r="D368" s="42" t="str">
        <f t="array" ref="D368">IFERROR(INDEX(FinishedData!$B:$B,MATCH(D366,FinishedData!$A:$A,0)),"")</f>
        <v>Game</v>
      </c>
      <c r="E368" s="42" t="str">
        <f t="array" ref="E368">IFERROR(INDEX(FinishedData!$B:$B,MATCH(E366,FinishedData!$A:$A,0)),"")</f>
        <v>Off</v>
      </c>
      <c r="F368" s="42" t="str">
        <f t="array" ref="F368">IFERROR(INDEX(FinishedData!$B:$B,MATCH(F366,FinishedData!$A:$A,0)),"")</f>
        <v>Practice</v>
      </c>
      <c r="G368" s="42" t="str">
        <f t="array" ref="G368">IFERROR(INDEX(FinishedData!$B:$B,MATCH(G366,FinishedData!$A:$A,0)),"")</f>
        <v>Gym</v>
      </c>
      <c r="H368" s="2"/>
      <c r="I368" s="13">
        <f>IFERROR(IF(A366="","",IF(G366="",SUMIFS(FinishedData!$C:$C,FinishedData!$A:$A,"&gt;="&amp;MIN($A366:$G366)-7,FinishedData!$A:$A,"&lt;="&amp;MAX($A366:$G366)+(7-COUNT($A366:$G366)-7)),
SUMIFS(FinishedData!$C:$C,FinishedData!$A:$A,"&gt;="&amp;MIN($A366:$G366)-7,FinishedData!$A:$A,"&lt;="&amp;MAX($A366:$G366)-7))),"")</f>
        <v>4915</v>
      </c>
      <c r="J368" s="13">
        <f>IFERROR(IF(A366="","",SUMIFS(FinishedData!$C:$C,FinishedData!$A:$A,"&gt;="&amp;MIN($A366:$G366),FinishedData!$A:$A,"&lt;="&amp;MAX($A366:$G366))),"")</f>
        <v>5405</v>
      </c>
      <c r="K368" s="2"/>
      <c r="L368" s="2"/>
      <c r="M368" s="2"/>
      <c r="N368" s="2"/>
      <c r="O368" s="2"/>
      <c r="P368" s="2"/>
      <c r="Q368" s="2"/>
      <c r="R368" s="2"/>
      <c r="S368" s="2"/>
      <c r="T368" s="2"/>
      <c r="U368" s="2"/>
      <c r="V368" s="2"/>
      <c r="W368" s="2"/>
      <c r="X368" s="2"/>
      <c r="Y368" s="2"/>
      <c r="Z368" s="2"/>
    </row>
    <row r="369" ht="22.5" customHeight="1">
      <c r="A369" s="45">
        <f t="array" ref="A369">IFERROR(INDEX(FinishedData!$C:$C,MATCH(A366,FinishedData!$A:$A,0)),"")</f>
        <v>995</v>
      </c>
      <c r="B369" s="45">
        <f t="array" ref="B369">IFERROR(INDEX(FinishedData!$C:$C,MATCH(B366,FinishedData!$A:$A,0)),"")</f>
        <v>845</v>
      </c>
      <c r="C369" s="45">
        <f t="array" ref="C369">IFERROR(INDEX(FinishedData!$C:$C,MATCH(C366,FinishedData!$A:$A,0)),"")</f>
        <v>935</v>
      </c>
      <c r="D369" s="45">
        <f t="array" ref="D369">IFERROR(INDEX(FinishedData!$C:$C,MATCH(D366,FinishedData!$A:$A,0)),"")</f>
        <v>900</v>
      </c>
      <c r="E369" s="45" t="str">
        <f t="array" ref="E369">IFERROR(INDEX(FinishedData!$C:$C,MATCH(E366,FinishedData!$A:$A,0)),"")</f>
        <v/>
      </c>
      <c r="F369" s="45">
        <f t="array" ref="F369">IFERROR(INDEX(FinishedData!$C:$C,MATCH(F366,FinishedData!$A:$A,0)),"")</f>
        <v>835</v>
      </c>
      <c r="G369" s="45">
        <f t="array" ref="G369">IFERROR(INDEX(FinishedData!$C:$C,MATCH(G366,FinishedData!$A:$A,0)),"")</f>
        <v>895</v>
      </c>
      <c r="H369" s="2"/>
      <c r="I369" s="46" t="str">
        <f>IF(A366="","","CHANGE")</f>
        <v>CHANGE</v>
      </c>
      <c r="J369" s="47">
        <f>IFERROR(IF(A366="","",(J368-I368)/I368),"")</f>
        <v>0.0996948118</v>
      </c>
      <c r="K369" s="2"/>
      <c r="L369" s="2"/>
      <c r="M369" s="2"/>
      <c r="N369" s="2"/>
      <c r="O369" s="2"/>
      <c r="P369" s="2"/>
      <c r="Q369" s="2"/>
      <c r="R369" s="2"/>
      <c r="S369" s="2"/>
      <c r="T369" s="2"/>
      <c r="U369" s="2"/>
      <c r="V369" s="2"/>
      <c r="W369" s="2"/>
      <c r="X369" s="2"/>
      <c r="Y369" s="2"/>
      <c r="Z369" s="2"/>
    </row>
    <row r="370" ht="22.5" customHeight="1">
      <c r="A370" s="7"/>
      <c r="B370" s="7"/>
      <c r="C370" s="7"/>
      <c r="D370" s="7"/>
      <c r="E370" s="7"/>
      <c r="F370" s="7"/>
      <c r="G370" s="7"/>
      <c r="H370" s="2"/>
      <c r="I370" s="7"/>
      <c r="J370" s="7"/>
      <c r="K370" s="2"/>
      <c r="L370" s="2"/>
      <c r="M370" s="2"/>
      <c r="N370" s="2"/>
      <c r="O370" s="2"/>
      <c r="P370" s="2"/>
      <c r="Q370" s="2"/>
      <c r="R370" s="2"/>
      <c r="S370" s="2"/>
      <c r="T370" s="2"/>
      <c r="U370" s="2"/>
      <c r="V370" s="2"/>
      <c r="W370" s="2"/>
      <c r="X370" s="2"/>
      <c r="Y370" s="2"/>
      <c r="Z370" s="2"/>
    </row>
    <row r="371" ht="22.5" customHeight="1">
      <c r="A371" s="7"/>
      <c r="B371" s="7"/>
      <c r="C371" s="7"/>
      <c r="D371" s="7"/>
      <c r="E371" s="7"/>
      <c r="F371" s="7"/>
      <c r="G371" s="7"/>
      <c r="H371" s="2"/>
      <c r="I371" s="43" t="str">
        <f>IF(A370="","","Week of "&amp;TEXT(A370-7,"MM/DD"))</f>
        <v/>
      </c>
      <c r="J371" s="43" t="str">
        <f>IF(A370="","","Week of "&amp;TEXT(A370,"MM/DD"))</f>
        <v/>
      </c>
      <c r="K371" s="2"/>
      <c r="L371" s="2"/>
      <c r="M371" s="2"/>
      <c r="N371" s="2"/>
      <c r="O371" s="2"/>
      <c r="P371" s="2"/>
      <c r="Q371" s="2"/>
      <c r="R371" s="2"/>
      <c r="S371" s="2"/>
      <c r="T371" s="2"/>
      <c r="U371" s="2"/>
      <c r="V371" s="2"/>
      <c r="W371" s="2"/>
      <c r="X371" s="2"/>
      <c r="Y371" s="2"/>
      <c r="Z371" s="2"/>
    </row>
    <row r="372" ht="22.5" customHeight="1">
      <c r="A372" s="7"/>
      <c r="B372" s="7"/>
      <c r="C372" s="7"/>
      <c r="D372" s="7"/>
      <c r="E372" s="7"/>
      <c r="F372" s="7"/>
      <c r="G372" s="7"/>
      <c r="H372" s="2"/>
      <c r="I372" s="13" t="str">
        <f>IFERROR(IF(A370="","",IF(G370="",SUMIFS(FinishedData!$C:$C,FinishedData!$A:$A,"&gt;="&amp;MIN($A370:$G370)-7,FinishedData!$A:$A,"&lt;="&amp;MAX($A370:$G370)+(7-COUNT($A370:$G370)-7)),
SUMIFS(FinishedData!$C:$C,FinishedData!$A:$A,"&gt;="&amp;MIN($A370:$G370)-7,FinishedData!$A:$A,"&lt;="&amp;MAX($A370:$G370)-7))),"")</f>
        <v/>
      </c>
      <c r="J372" s="13" t="str">
        <f>IFERROR(IF(A370="","",SUMIFS(FinishedData!$C:$C,FinishedData!$A:$A,"&gt;="&amp;MIN($A370:$G370),FinishedData!$A:$A,"&lt;="&amp;MAX($A370:$G370))),"")</f>
        <v/>
      </c>
      <c r="K372" s="2"/>
      <c r="L372" s="2"/>
      <c r="M372" s="2"/>
      <c r="N372" s="2"/>
      <c r="O372" s="2"/>
      <c r="P372" s="2"/>
      <c r="Q372" s="2"/>
      <c r="R372" s="2"/>
      <c r="S372" s="2"/>
      <c r="T372" s="2"/>
      <c r="U372" s="2"/>
      <c r="V372" s="2"/>
      <c r="W372" s="2"/>
      <c r="X372" s="2"/>
      <c r="Y372" s="2"/>
      <c r="Z372" s="2"/>
    </row>
    <row r="373" ht="22.5" customHeight="1">
      <c r="A373" s="7"/>
      <c r="B373" s="7"/>
      <c r="C373" s="7"/>
      <c r="D373" s="7"/>
      <c r="E373" s="7"/>
      <c r="F373" s="7"/>
      <c r="G373" s="7"/>
      <c r="H373" s="2"/>
      <c r="I373" s="46" t="str">
        <f>IF(A370="","","CHANGE")</f>
        <v/>
      </c>
      <c r="J373" s="47" t="str">
        <f>IFERROR(IF(A370="","",(J372-I372)/I372),"")</f>
        <v/>
      </c>
      <c r="K373" s="2"/>
      <c r="L373" s="2"/>
      <c r="M373" s="2"/>
      <c r="N373" s="2"/>
      <c r="O373" s="2"/>
      <c r="P373" s="2"/>
      <c r="Q373" s="2"/>
      <c r="R373" s="2"/>
      <c r="S373" s="2"/>
      <c r="T373" s="2"/>
      <c r="U373" s="2"/>
      <c r="V373" s="2"/>
      <c r="W373" s="2"/>
      <c r="X373" s="2"/>
      <c r="Y373" s="2"/>
      <c r="Z373" s="2"/>
    </row>
    <row r="374" ht="22.5" customHeight="1">
      <c r="A374" s="7"/>
      <c r="B374" s="7"/>
      <c r="C374" s="7"/>
      <c r="D374" s="7"/>
      <c r="E374" s="7"/>
      <c r="F374" s="7"/>
      <c r="G374" s="7"/>
      <c r="H374" s="2"/>
      <c r="I374" s="7"/>
      <c r="J374" s="7"/>
      <c r="K374" s="2"/>
      <c r="L374" s="2"/>
      <c r="M374" s="2"/>
      <c r="N374" s="2"/>
      <c r="O374" s="2"/>
      <c r="P374" s="2"/>
      <c r="Q374" s="2"/>
      <c r="R374" s="2"/>
      <c r="S374" s="2"/>
      <c r="T374" s="2"/>
      <c r="U374" s="2"/>
      <c r="V374" s="2"/>
      <c r="W374" s="2"/>
      <c r="X374" s="2"/>
      <c r="Y374" s="2"/>
      <c r="Z374" s="2"/>
    </row>
    <row r="375" ht="22.5" customHeight="1">
      <c r="A375" s="7"/>
      <c r="B375" s="7"/>
      <c r="C375" s="7"/>
      <c r="D375" s="7"/>
      <c r="E375" s="7"/>
      <c r="F375" s="7"/>
      <c r="G375" s="7"/>
      <c r="H375" s="2"/>
      <c r="I375" s="43" t="str">
        <f>IF(A374="","","Week of "&amp;TEXT(A374-7,"MM/DD"))</f>
        <v/>
      </c>
      <c r="J375" s="43" t="str">
        <f>IF(A374="","","Week of "&amp;TEXT(A374,"MM/DD"))</f>
        <v/>
      </c>
      <c r="K375" s="2"/>
      <c r="L375" s="2"/>
      <c r="M375" s="2"/>
      <c r="N375" s="2"/>
      <c r="O375" s="2"/>
      <c r="P375" s="2"/>
      <c r="Q375" s="2"/>
      <c r="R375" s="2"/>
      <c r="S375" s="2"/>
      <c r="T375" s="2"/>
      <c r="U375" s="2"/>
      <c r="V375" s="2"/>
      <c r="W375" s="2"/>
      <c r="X375" s="2"/>
      <c r="Y375" s="2"/>
      <c r="Z375" s="2"/>
    </row>
    <row r="376" ht="22.5" customHeight="1">
      <c r="A376" s="7"/>
      <c r="B376" s="7"/>
      <c r="C376" s="7"/>
      <c r="D376" s="7"/>
      <c r="E376" s="7"/>
      <c r="F376" s="7"/>
      <c r="G376" s="7"/>
      <c r="H376" s="2"/>
      <c r="I376" s="13" t="str">
        <f>IFERROR(IF(A374="","",IF(G374="",SUMIFS(FinishedData!$C:$C,FinishedData!$A:$A,"&gt;="&amp;MIN($A374:$G374)-7,FinishedData!$A:$A,"&lt;="&amp;MAX($A374:$G374)+(7-COUNT($A374:$G374)-7)),
SUMIFS(FinishedData!$C:$C,FinishedData!$A:$A,"&gt;="&amp;MIN($A374:$G374)-7,FinishedData!$A:$A,"&lt;="&amp;MAX($A374:$G374)-7))),"")</f>
        <v/>
      </c>
      <c r="J376" s="13" t="str">
        <f>IFERROR(IF(A374="","",SUMIFS(FinishedData!$C:$C,FinishedData!$A:$A,"&gt;="&amp;MIN($A374:$G374),FinishedData!$A:$A,"&lt;="&amp;MAX($A374:$G374))),"")</f>
        <v/>
      </c>
      <c r="K376" s="2"/>
      <c r="L376" s="2"/>
      <c r="M376" s="2"/>
      <c r="N376" s="2"/>
      <c r="O376" s="2"/>
      <c r="P376" s="2"/>
      <c r="Q376" s="2"/>
      <c r="R376" s="2"/>
      <c r="S376" s="2"/>
      <c r="T376" s="2"/>
      <c r="U376" s="2"/>
      <c r="V376" s="2"/>
      <c r="W376" s="2"/>
      <c r="X376" s="2"/>
      <c r="Y376" s="2"/>
      <c r="Z376" s="2"/>
    </row>
    <row r="377" ht="22.5" customHeight="1">
      <c r="A377" s="7"/>
      <c r="B377" s="7"/>
      <c r="C377" s="7"/>
      <c r="D377" s="7"/>
      <c r="E377" s="7"/>
      <c r="F377" s="7"/>
      <c r="G377" s="7"/>
      <c r="H377" s="2"/>
      <c r="I377" s="46" t="str">
        <f>IF(A374="","","CHANGE")</f>
        <v/>
      </c>
      <c r="J377" s="47" t="str">
        <f>IFERROR(IF(A374="","",(J376-I376)/I376),"")</f>
        <v/>
      </c>
      <c r="K377" s="2"/>
      <c r="L377" s="2"/>
      <c r="M377" s="2"/>
      <c r="N377" s="2"/>
      <c r="O377" s="2"/>
      <c r="P377" s="2"/>
      <c r="Q377" s="2"/>
      <c r="R377" s="2"/>
      <c r="S377" s="2"/>
      <c r="T377" s="2"/>
      <c r="U377" s="2"/>
      <c r="V377" s="2"/>
      <c r="W377" s="2"/>
      <c r="X377" s="2"/>
      <c r="Y377" s="2"/>
      <c r="Z377" s="2"/>
    </row>
    <row r="378" ht="22.5" customHeight="1">
      <c r="A378" s="7"/>
      <c r="B378" s="7"/>
      <c r="C378" s="7"/>
      <c r="D378" s="7"/>
      <c r="E378" s="7"/>
      <c r="F378" s="7"/>
      <c r="G378" s="7"/>
      <c r="H378" s="2"/>
      <c r="I378" s="7"/>
      <c r="J378" s="7"/>
      <c r="K378" s="2"/>
      <c r="L378" s="2"/>
      <c r="M378" s="2"/>
      <c r="N378" s="2"/>
      <c r="O378" s="2"/>
      <c r="P378" s="2"/>
      <c r="Q378" s="2"/>
      <c r="R378" s="2"/>
      <c r="S378" s="2"/>
      <c r="T378" s="2"/>
      <c r="U378" s="2"/>
      <c r="V378" s="2"/>
      <c r="W378" s="2"/>
      <c r="X378" s="2"/>
      <c r="Y378" s="2"/>
      <c r="Z378" s="2"/>
    </row>
    <row r="379" ht="22.5" customHeight="1">
      <c r="A379" s="7"/>
      <c r="B379" s="7"/>
      <c r="C379" s="7"/>
      <c r="D379" s="7"/>
      <c r="E379" s="7"/>
      <c r="F379" s="7"/>
      <c r="G379" s="7"/>
      <c r="H379" s="2"/>
      <c r="I379" s="43" t="str">
        <f>IF(A378="","","Week of "&amp;TEXT(A378-7,"MM/DD"))</f>
        <v/>
      </c>
      <c r="J379" s="43" t="str">
        <f>IF(A378="","","Week of "&amp;TEXT(A378,"MM/DD"))</f>
        <v/>
      </c>
      <c r="K379" s="2"/>
      <c r="L379" s="2"/>
      <c r="M379" s="2"/>
      <c r="N379" s="2"/>
      <c r="O379" s="2"/>
      <c r="P379" s="2"/>
      <c r="Q379" s="2"/>
      <c r="R379" s="2"/>
      <c r="S379" s="2"/>
      <c r="T379" s="2"/>
      <c r="U379" s="2"/>
      <c r="V379" s="2"/>
      <c r="W379" s="2"/>
      <c r="X379" s="2"/>
      <c r="Y379" s="2"/>
      <c r="Z379" s="2"/>
    </row>
    <row r="380" ht="22.5" customHeight="1">
      <c r="A380" s="7"/>
      <c r="B380" s="7"/>
      <c r="C380" s="7"/>
      <c r="D380" s="7"/>
      <c r="E380" s="7"/>
      <c r="F380" s="7"/>
      <c r="G380" s="7"/>
      <c r="H380" s="2"/>
      <c r="I380" s="13" t="str">
        <f>IFERROR(IF(A378="","",IF(G378="",SUMIFS(FinishedData!$C:$C,FinishedData!$A:$A,"&gt;="&amp;MIN($A378:$G378)-7,FinishedData!$A:$A,"&lt;="&amp;MAX($A378:$G378)+(7-COUNT($A378:$G378)-7)),
SUMIFS(FinishedData!$C:$C,FinishedData!$A:$A,"&gt;="&amp;MIN($A378:$G378)-7,FinishedData!$A:$A,"&lt;="&amp;MAX($A378:$G378)-7))),"")</f>
        <v/>
      </c>
      <c r="J380" s="13" t="str">
        <f>IFERROR(IF(A378="","",SUMIFS(FinishedData!$C:$C,FinishedData!$A:$A,"&gt;="&amp;MIN($A378:$G378),FinishedData!$A:$A,"&lt;="&amp;MAX($A378:$G378))),"")</f>
        <v/>
      </c>
      <c r="K380" s="2"/>
      <c r="L380" s="2"/>
      <c r="M380" s="2"/>
      <c r="N380" s="2"/>
      <c r="O380" s="2"/>
      <c r="P380" s="2"/>
      <c r="Q380" s="2"/>
      <c r="R380" s="2"/>
      <c r="S380" s="2"/>
      <c r="T380" s="2"/>
      <c r="U380" s="2"/>
      <c r="V380" s="2"/>
      <c r="W380" s="2"/>
      <c r="X380" s="2"/>
      <c r="Y380" s="2"/>
      <c r="Z380" s="2"/>
    </row>
    <row r="381" ht="22.5" customHeight="1">
      <c r="A381" s="7"/>
      <c r="B381" s="7"/>
      <c r="C381" s="7"/>
      <c r="D381" s="7"/>
      <c r="E381" s="7"/>
      <c r="F381" s="7"/>
      <c r="G381" s="7"/>
      <c r="H381" s="2"/>
      <c r="I381" s="46" t="str">
        <f>IF(A378="","","CHANGE")</f>
        <v/>
      </c>
      <c r="J381" s="47" t="str">
        <f>IFERROR(IF(A378="","",(J380-I380)/I380),"")</f>
        <v/>
      </c>
      <c r="K381" s="2"/>
      <c r="L381" s="2"/>
      <c r="M381" s="2"/>
      <c r="N381" s="2"/>
      <c r="O381" s="2"/>
      <c r="P381" s="2"/>
      <c r="Q381" s="2"/>
      <c r="R381" s="2"/>
      <c r="S381" s="2"/>
      <c r="T381" s="2"/>
      <c r="U381" s="2"/>
      <c r="V381" s="2"/>
      <c r="W381" s="2"/>
      <c r="X381" s="2"/>
      <c r="Y381" s="2"/>
      <c r="Z381" s="2"/>
    </row>
    <row r="382" ht="22.5" customHeight="1">
      <c r="A382" s="7"/>
      <c r="B382" s="7"/>
      <c r="C382" s="7"/>
      <c r="D382" s="7"/>
      <c r="E382" s="7"/>
      <c r="F382" s="7"/>
      <c r="G382" s="7"/>
      <c r="H382" s="2"/>
      <c r="I382" s="7"/>
      <c r="J382" s="7"/>
      <c r="K382" s="2"/>
      <c r="L382" s="2"/>
      <c r="M382" s="2"/>
      <c r="N382" s="2"/>
      <c r="O382" s="2"/>
      <c r="P382" s="2"/>
      <c r="Q382" s="2"/>
      <c r="R382" s="2"/>
      <c r="S382" s="2"/>
      <c r="T382" s="2"/>
      <c r="U382" s="2"/>
      <c r="V382" s="2"/>
      <c r="W382" s="2"/>
      <c r="X382" s="2"/>
      <c r="Y382" s="2"/>
      <c r="Z382" s="2"/>
    </row>
    <row r="383" ht="22.5" customHeight="1">
      <c r="A383" s="7"/>
      <c r="B383" s="7"/>
      <c r="C383" s="7"/>
      <c r="D383" s="7"/>
      <c r="E383" s="7"/>
      <c r="F383" s="7"/>
      <c r="G383" s="7"/>
      <c r="H383" s="2"/>
      <c r="I383" s="43" t="str">
        <f>IF(A382="","","Week of "&amp;TEXT(A382-7,"MM/DD"))</f>
        <v/>
      </c>
      <c r="J383" s="43" t="str">
        <f>IF(A382="","","Week of "&amp;TEXT(A382,"MM/DD"))</f>
        <v/>
      </c>
      <c r="K383" s="2"/>
      <c r="L383" s="2"/>
      <c r="M383" s="2"/>
      <c r="N383" s="2"/>
      <c r="O383" s="2"/>
      <c r="P383" s="2"/>
      <c r="Q383" s="2"/>
      <c r="R383" s="2"/>
      <c r="S383" s="2"/>
      <c r="T383" s="2"/>
      <c r="U383" s="2"/>
      <c r="V383" s="2"/>
      <c r="W383" s="2"/>
      <c r="X383" s="2"/>
      <c r="Y383" s="2"/>
      <c r="Z383" s="2"/>
    </row>
    <row r="384" ht="22.5" customHeight="1">
      <c r="A384" s="7"/>
      <c r="B384" s="7"/>
      <c r="C384" s="7"/>
      <c r="D384" s="7"/>
      <c r="E384" s="7"/>
      <c r="F384" s="7"/>
      <c r="G384" s="7"/>
      <c r="H384" s="2"/>
      <c r="I384" s="13" t="str">
        <f>IFERROR(IF(A382="","",IF(G382="",SUMIFS(FinishedData!$C:$C,FinishedData!$A:$A,"&gt;="&amp;MIN($A382:$G382)-7,FinishedData!$A:$A,"&lt;="&amp;MAX($A382:$G382)+(7-COUNT($A382:$G382)-7)),
SUMIFS(FinishedData!$C:$C,FinishedData!$A:$A,"&gt;="&amp;MIN($A382:$G382)-7,FinishedData!$A:$A,"&lt;="&amp;MAX($A382:$G382)-7))),"")</f>
        <v/>
      </c>
      <c r="J384" s="13" t="str">
        <f>IFERROR(IF(A382="","",SUMIFS(FinishedData!$C:$C,FinishedData!$A:$A,"&gt;="&amp;MIN($A382:$G382),FinishedData!$A:$A,"&lt;="&amp;MAX($A382:$G382))),"")</f>
        <v/>
      </c>
      <c r="K384" s="2"/>
      <c r="L384" s="2"/>
      <c r="M384" s="2"/>
      <c r="N384" s="2"/>
      <c r="O384" s="2"/>
      <c r="P384" s="2"/>
      <c r="Q384" s="2"/>
      <c r="R384" s="2"/>
      <c r="S384" s="2"/>
      <c r="T384" s="2"/>
      <c r="U384" s="2"/>
      <c r="V384" s="2"/>
      <c r="W384" s="2"/>
      <c r="X384" s="2"/>
      <c r="Y384" s="2"/>
      <c r="Z384" s="2"/>
    </row>
    <row r="385" ht="22.5" customHeight="1">
      <c r="A385" s="7"/>
      <c r="B385" s="7"/>
      <c r="C385" s="7"/>
      <c r="D385" s="7"/>
      <c r="E385" s="7"/>
      <c r="F385" s="7"/>
      <c r="G385" s="7"/>
      <c r="H385" s="2"/>
      <c r="I385" s="46" t="str">
        <f>IF(A382="","","CHANGE")</f>
        <v/>
      </c>
      <c r="J385" s="47" t="str">
        <f>IFERROR(IF(A382="","",(J384-I384)/I384),"")</f>
        <v/>
      </c>
      <c r="K385" s="2"/>
      <c r="L385" s="2"/>
      <c r="M385" s="2"/>
      <c r="N385" s="2"/>
      <c r="O385" s="2"/>
      <c r="P385" s="2"/>
      <c r="Q385" s="2"/>
      <c r="R385" s="2"/>
      <c r="S385" s="2"/>
      <c r="T385" s="2"/>
      <c r="U385" s="2"/>
      <c r="V385" s="2"/>
      <c r="W385" s="2"/>
      <c r="X385" s="2"/>
      <c r="Y385" s="2"/>
      <c r="Z385" s="2"/>
    </row>
    <row r="386" ht="22.5" customHeight="1">
      <c r="A386" s="7"/>
      <c r="B386" s="7"/>
      <c r="C386" s="7"/>
      <c r="D386" s="7"/>
      <c r="E386" s="7"/>
      <c r="F386" s="7"/>
      <c r="G386" s="7"/>
      <c r="H386" s="2"/>
      <c r="I386" s="7"/>
      <c r="J386" s="7"/>
      <c r="K386" s="2"/>
      <c r="L386" s="2"/>
      <c r="M386" s="2"/>
      <c r="N386" s="2"/>
      <c r="O386" s="2"/>
      <c r="P386" s="2"/>
      <c r="Q386" s="2"/>
      <c r="R386" s="2"/>
      <c r="S386" s="2"/>
      <c r="T386" s="2"/>
      <c r="U386" s="2"/>
      <c r="V386" s="2"/>
      <c r="W386" s="2"/>
      <c r="X386" s="2"/>
      <c r="Y386" s="2"/>
      <c r="Z386" s="2"/>
    </row>
    <row r="387" ht="22.5" customHeight="1">
      <c r="A387" s="7"/>
      <c r="B387" s="7"/>
      <c r="C387" s="7"/>
      <c r="D387" s="7"/>
      <c r="E387" s="7"/>
      <c r="F387" s="7"/>
      <c r="G387" s="7"/>
      <c r="H387" s="2"/>
      <c r="I387" s="43" t="str">
        <f>IF(A386="","","Week of "&amp;TEXT(A386-7,"MM/DD"))</f>
        <v/>
      </c>
      <c r="J387" s="43" t="str">
        <f>IF(A386="","","Week of "&amp;TEXT(A386,"MM/DD"))</f>
        <v/>
      </c>
      <c r="K387" s="2"/>
      <c r="L387" s="2"/>
      <c r="M387" s="2"/>
      <c r="N387" s="2"/>
      <c r="O387" s="2"/>
      <c r="P387" s="2"/>
      <c r="Q387" s="2"/>
      <c r="R387" s="2"/>
      <c r="S387" s="2"/>
      <c r="T387" s="2"/>
      <c r="U387" s="2"/>
      <c r="V387" s="2"/>
      <c r="W387" s="2"/>
      <c r="X387" s="2"/>
      <c r="Y387" s="2"/>
      <c r="Z387" s="2"/>
    </row>
    <row r="388" ht="22.5" customHeight="1">
      <c r="A388" s="7"/>
      <c r="B388" s="7"/>
      <c r="C388" s="7"/>
      <c r="D388" s="7"/>
      <c r="E388" s="7"/>
      <c r="F388" s="7"/>
      <c r="G388" s="7"/>
      <c r="H388" s="2"/>
      <c r="I388" s="13" t="str">
        <f>IFERROR(IF(A386="","",IF(G386="",SUMIFS(FinishedData!$C:$C,FinishedData!$A:$A,"&gt;="&amp;MIN($A386:$G386)-7,FinishedData!$A:$A,"&lt;="&amp;MAX($A386:$G386)+(7-COUNT($A386:$G386)-7)),
SUMIFS(FinishedData!$C:$C,FinishedData!$A:$A,"&gt;="&amp;MIN($A386:$G386)-7,FinishedData!$A:$A,"&lt;="&amp;MAX($A386:$G386)-7))),"")</f>
        <v/>
      </c>
      <c r="J388" s="13" t="str">
        <f>IFERROR(IF(A386="","",SUMIFS(FinishedData!$C:$C,FinishedData!$A:$A,"&gt;="&amp;MIN($A386:$G386),FinishedData!$A:$A,"&lt;="&amp;MAX($A386:$G386))),"")</f>
        <v/>
      </c>
      <c r="K388" s="2"/>
      <c r="L388" s="2"/>
      <c r="M388" s="2"/>
      <c r="N388" s="2"/>
      <c r="O388" s="2"/>
      <c r="P388" s="2"/>
      <c r="Q388" s="2"/>
      <c r="R388" s="2"/>
      <c r="S388" s="2"/>
      <c r="T388" s="2"/>
      <c r="U388" s="2"/>
      <c r="V388" s="2"/>
      <c r="W388" s="2"/>
      <c r="X388" s="2"/>
      <c r="Y388" s="2"/>
      <c r="Z388" s="2"/>
    </row>
    <row r="389" ht="22.5" customHeight="1">
      <c r="A389" s="7"/>
      <c r="B389" s="7"/>
      <c r="C389" s="7"/>
      <c r="D389" s="7"/>
      <c r="E389" s="7"/>
      <c r="F389" s="7"/>
      <c r="G389" s="7"/>
      <c r="H389" s="2"/>
      <c r="I389" s="46" t="str">
        <f>IF(A386="","","CHANGE")</f>
        <v/>
      </c>
      <c r="J389" s="47" t="str">
        <f>IFERROR(IF(A386="","",(J388-I388)/I388),"")</f>
        <v/>
      </c>
      <c r="K389" s="2"/>
      <c r="L389" s="2"/>
      <c r="M389" s="2"/>
      <c r="N389" s="2"/>
      <c r="O389" s="2"/>
      <c r="P389" s="2"/>
      <c r="Q389" s="2"/>
      <c r="R389" s="2"/>
      <c r="S389" s="2"/>
      <c r="T389" s="2"/>
      <c r="U389" s="2"/>
      <c r="V389" s="2"/>
      <c r="W389" s="2"/>
      <c r="X389" s="2"/>
      <c r="Y389" s="2"/>
      <c r="Z389" s="2"/>
    </row>
    <row r="390" ht="22.5" customHeight="1">
      <c r="A390" s="7"/>
      <c r="B390" s="7"/>
      <c r="C390" s="7"/>
      <c r="D390" s="7"/>
      <c r="E390" s="7"/>
      <c r="F390" s="7"/>
      <c r="G390" s="7"/>
      <c r="H390" s="2"/>
      <c r="I390" s="7"/>
      <c r="J390" s="7"/>
      <c r="K390" s="2"/>
      <c r="L390" s="2"/>
      <c r="M390" s="2"/>
      <c r="N390" s="2"/>
      <c r="O390" s="2"/>
      <c r="P390" s="2"/>
      <c r="Q390" s="2"/>
      <c r="R390" s="2"/>
      <c r="S390" s="2"/>
      <c r="T390" s="2"/>
      <c r="U390" s="2"/>
      <c r="V390" s="2"/>
      <c r="W390" s="2"/>
      <c r="X390" s="2"/>
      <c r="Y390" s="2"/>
      <c r="Z390" s="2"/>
    </row>
    <row r="391" ht="22.5" customHeight="1">
      <c r="A391" s="7"/>
      <c r="B391" s="7"/>
      <c r="C391" s="7"/>
      <c r="D391" s="7"/>
      <c r="E391" s="7"/>
      <c r="F391" s="7"/>
      <c r="G391" s="7"/>
      <c r="H391" s="2"/>
      <c r="I391" s="7"/>
      <c r="J391" s="7"/>
      <c r="K391" s="2"/>
      <c r="L391" s="2"/>
      <c r="M391" s="2"/>
      <c r="N391" s="2"/>
      <c r="O391" s="2"/>
      <c r="P391" s="2"/>
      <c r="Q391" s="2"/>
      <c r="R391" s="2"/>
      <c r="S391" s="2"/>
      <c r="T391" s="2"/>
      <c r="U391" s="2"/>
      <c r="V391" s="2"/>
      <c r="W391" s="2"/>
      <c r="X391" s="2"/>
      <c r="Y391" s="2"/>
      <c r="Z391" s="2"/>
    </row>
    <row r="392" ht="22.5" customHeight="1">
      <c r="A392" s="7"/>
      <c r="B392" s="7"/>
      <c r="C392" s="7"/>
      <c r="D392" s="7"/>
      <c r="E392" s="7"/>
      <c r="F392" s="7"/>
      <c r="G392" s="7"/>
      <c r="H392" s="2"/>
      <c r="I392" s="7"/>
      <c r="J392" s="7"/>
      <c r="K392" s="2"/>
      <c r="L392" s="2"/>
      <c r="M392" s="2"/>
      <c r="N392" s="2"/>
      <c r="O392" s="2"/>
      <c r="P392" s="2"/>
      <c r="Q392" s="2"/>
      <c r="R392" s="2"/>
      <c r="S392" s="2"/>
      <c r="T392" s="2"/>
      <c r="U392" s="2"/>
      <c r="V392" s="2"/>
      <c r="W392" s="2"/>
      <c r="X392" s="2"/>
      <c r="Y392" s="2"/>
      <c r="Z392" s="2"/>
    </row>
    <row r="393" ht="22.5" customHeight="1">
      <c r="A393" s="7"/>
      <c r="B393" s="7"/>
      <c r="C393" s="7"/>
      <c r="D393" s="7"/>
      <c r="E393" s="7"/>
      <c r="F393" s="7"/>
      <c r="G393" s="7"/>
      <c r="H393" s="2"/>
      <c r="I393" s="7"/>
      <c r="J393" s="7"/>
      <c r="K393" s="2"/>
      <c r="L393" s="2"/>
      <c r="M393" s="2"/>
      <c r="N393" s="2"/>
      <c r="O393" s="2"/>
      <c r="P393" s="2"/>
      <c r="Q393" s="2"/>
      <c r="R393" s="2"/>
      <c r="S393" s="2"/>
      <c r="T393" s="2"/>
      <c r="U393" s="2"/>
      <c r="V393" s="2"/>
      <c r="W393" s="2"/>
      <c r="X393" s="2"/>
      <c r="Y393" s="2"/>
      <c r="Z393" s="2"/>
    </row>
    <row r="394" ht="22.5" customHeight="1">
      <c r="A394" s="7"/>
      <c r="B394" s="7"/>
      <c r="C394" s="7"/>
      <c r="D394" s="7"/>
      <c r="E394" s="7"/>
      <c r="F394" s="7"/>
      <c r="G394" s="7"/>
      <c r="H394" s="2"/>
      <c r="I394" s="7"/>
      <c r="J394" s="7"/>
      <c r="K394" s="2"/>
      <c r="L394" s="2"/>
      <c r="M394" s="2"/>
      <c r="N394" s="2"/>
      <c r="O394" s="2"/>
      <c r="P394" s="2"/>
      <c r="Q394" s="2"/>
      <c r="R394" s="2"/>
      <c r="S394" s="2"/>
      <c r="T394" s="2"/>
      <c r="U394" s="2"/>
      <c r="V394" s="2"/>
      <c r="W394" s="2"/>
      <c r="X394" s="2"/>
      <c r="Y394" s="2"/>
      <c r="Z394" s="2"/>
    </row>
    <row r="395" ht="22.5" customHeight="1">
      <c r="A395" s="7"/>
      <c r="B395" s="7"/>
      <c r="C395" s="7"/>
      <c r="D395" s="7"/>
      <c r="E395" s="7"/>
      <c r="F395" s="7"/>
      <c r="G395" s="7"/>
      <c r="H395" s="2"/>
      <c r="I395" s="7"/>
      <c r="J395" s="7"/>
      <c r="K395" s="2"/>
      <c r="L395" s="2"/>
      <c r="M395" s="2"/>
      <c r="N395" s="2"/>
      <c r="O395" s="2"/>
      <c r="P395" s="2"/>
      <c r="Q395" s="2"/>
      <c r="R395" s="2"/>
      <c r="S395" s="2"/>
      <c r="T395" s="2"/>
      <c r="U395" s="2"/>
      <c r="V395" s="2"/>
      <c r="W395" s="2"/>
      <c r="X395" s="2"/>
      <c r="Y395" s="2"/>
      <c r="Z395" s="2"/>
    </row>
    <row r="396" ht="22.5" customHeight="1">
      <c r="A396" s="7"/>
      <c r="B396" s="7"/>
      <c r="C396" s="7"/>
      <c r="D396" s="7"/>
      <c r="E396" s="7"/>
      <c r="F396" s="7"/>
      <c r="G396" s="7"/>
      <c r="H396" s="2"/>
      <c r="I396" s="7"/>
      <c r="J396" s="7"/>
      <c r="K396" s="2"/>
      <c r="L396" s="2"/>
      <c r="M396" s="2"/>
      <c r="N396" s="2"/>
      <c r="O396" s="2"/>
      <c r="P396" s="2"/>
      <c r="Q396" s="2"/>
      <c r="R396" s="2"/>
      <c r="S396" s="2"/>
      <c r="T396" s="2"/>
      <c r="U396" s="2"/>
      <c r="V396" s="2"/>
      <c r="W396" s="2"/>
      <c r="X396" s="2"/>
      <c r="Y396" s="2"/>
      <c r="Z396" s="2"/>
    </row>
    <row r="397" ht="22.5" customHeight="1">
      <c r="A397" s="7"/>
      <c r="B397" s="7"/>
      <c r="C397" s="7"/>
      <c r="D397" s="7"/>
      <c r="E397" s="7"/>
      <c r="F397" s="7"/>
      <c r="G397" s="7"/>
      <c r="H397" s="2"/>
      <c r="I397" s="7"/>
      <c r="J397" s="7"/>
      <c r="K397" s="2"/>
      <c r="L397" s="2"/>
      <c r="M397" s="2"/>
      <c r="N397" s="2"/>
      <c r="O397" s="2"/>
      <c r="P397" s="2"/>
      <c r="Q397" s="2"/>
      <c r="R397" s="2"/>
      <c r="S397" s="2"/>
      <c r="T397" s="2"/>
      <c r="U397" s="2"/>
      <c r="V397" s="2"/>
      <c r="W397" s="2"/>
      <c r="X397" s="2"/>
      <c r="Y397" s="2"/>
      <c r="Z397" s="2"/>
    </row>
    <row r="398" ht="22.5" customHeight="1">
      <c r="A398" s="7"/>
      <c r="B398" s="7"/>
      <c r="C398" s="7"/>
      <c r="D398" s="7"/>
      <c r="E398" s="7"/>
      <c r="F398" s="7"/>
      <c r="G398" s="7"/>
      <c r="H398" s="2"/>
      <c r="I398" s="7"/>
      <c r="J398" s="7"/>
      <c r="K398" s="2"/>
      <c r="L398" s="2"/>
      <c r="M398" s="2"/>
      <c r="N398" s="2"/>
      <c r="O398" s="2"/>
      <c r="P398" s="2"/>
      <c r="Q398" s="2"/>
      <c r="R398" s="2"/>
      <c r="S398" s="2"/>
      <c r="T398" s="2"/>
      <c r="U398" s="2"/>
      <c r="V398" s="2"/>
      <c r="W398" s="2"/>
      <c r="X398" s="2"/>
      <c r="Y398" s="2"/>
      <c r="Z398" s="2"/>
    </row>
    <row r="399" ht="22.5" customHeight="1">
      <c r="A399" s="7"/>
      <c r="B399" s="7"/>
      <c r="C399" s="7"/>
      <c r="D399" s="7"/>
      <c r="E399" s="7"/>
      <c r="F399" s="7"/>
      <c r="G399" s="7"/>
      <c r="H399" s="2"/>
      <c r="I399" s="7"/>
      <c r="J399" s="7"/>
      <c r="K399" s="2"/>
      <c r="L399" s="2"/>
      <c r="M399" s="2"/>
      <c r="N399" s="2"/>
      <c r="O399" s="2"/>
      <c r="P399" s="2"/>
      <c r="Q399" s="2"/>
      <c r="R399" s="2"/>
      <c r="S399" s="2"/>
      <c r="T399" s="2"/>
      <c r="U399" s="2"/>
      <c r="V399" s="2"/>
      <c r="W399" s="2"/>
      <c r="X399" s="2"/>
      <c r="Y399" s="2"/>
      <c r="Z399" s="2"/>
    </row>
    <row r="400" ht="22.5" customHeight="1">
      <c r="A400" s="7"/>
      <c r="B400" s="7"/>
      <c r="C400" s="7"/>
      <c r="D400" s="7"/>
      <c r="E400" s="7"/>
      <c r="F400" s="7"/>
      <c r="G400" s="7"/>
      <c r="H400" s="2"/>
      <c r="I400" s="7"/>
      <c r="J400" s="7"/>
      <c r="K400" s="2"/>
      <c r="L400" s="2"/>
      <c r="M400" s="2"/>
      <c r="N400" s="2"/>
      <c r="O400" s="2"/>
      <c r="P400" s="2"/>
      <c r="Q400" s="2"/>
      <c r="R400" s="2"/>
      <c r="S400" s="2"/>
      <c r="T400" s="2"/>
      <c r="U400" s="2"/>
      <c r="V400" s="2"/>
      <c r="W400" s="2"/>
      <c r="X400" s="2"/>
      <c r="Y400" s="2"/>
      <c r="Z400" s="2"/>
    </row>
    <row r="401" ht="22.5" customHeight="1">
      <c r="A401" s="7"/>
      <c r="B401" s="7"/>
      <c r="C401" s="7"/>
      <c r="D401" s="7"/>
      <c r="E401" s="7"/>
      <c r="F401" s="7"/>
      <c r="G401" s="7"/>
      <c r="H401" s="2"/>
      <c r="I401" s="7"/>
      <c r="J401" s="7"/>
      <c r="K401" s="2"/>
      <c r="L401" s="2"/>
      <c r="M401" s="2"/>
      <c r="N401" s="2"/>
      <c r="O401" s="2"/>
      <c r="P401" s="2"/>
      <c r="Q401" s="2"/>
      <c r="R401" s="2"/>
      <c r="S401" s="2"/>
      <c r="T401" s="2"/>
      <c r="U401" s="2"/>
      <c r="V401" s="2"/>
      <c r="W401" s="2"/>
      <c r="X401" s="2"/>
      <c r="Y401" s="2"/>
      <c r="Z401" s="2"/>
    </row>
    <row r="402" ht="22.5" customHeight="1">
      <c r="A402" s="7"/>
      <c r="B402" s="7"/>
      <c r="C402" s="7"/>
      <c r="D402" s="7"/>
      <c r="E402" s="7"/>
      <c r="F402" s="7"/>
      <c r="G402" s="7"/>
      <c r="H402" s="2"/>
      <c r="I402" s="7"/>
      <c r="J402" s="7"/>
      <c r="K402" s="2"/>
      <c r="L402" s="2"/>
      <c r="M402" s="2"/>
      <c r="N402" s="2"/>
      <c r="O402" s="2"/>
      <c r="P402" s="2"/>
      <c r="Q402" s="2"/>
      <c r="R402" s="2"/>
      <c r="S402" s="2"/>
      <c r="T402" s="2"/>
      <c r="U402" s="2"/>
      <c r="V402" s="2"/>
      <c r="W402" s="2"/>
      <c r="X402" s="2"/>
      <c r="Y402" s="2"/>
      <c r="Z402" s="2"/>
    </row>
    <row r="403" ht="22.5" customHeight="1">
      <c r="A403" s="7"/>
      <c r="B403" s="7"/>
      <c r="C403" s="7"/>
      <c r="D403" s="7"/>
      <c r="E403" s="7"/>
      <c r="F403" s="7"/>
      <c r="G403" s="7"/>
      <c r="H403" s="2"/>
      <c r="I403" s="7"/>
      <c r="J403" s="7"/>
      <c r="K403" s="2"/>
      <c r="L403" s="2"/>
      <c r="M403" s="2"/>
      <c r="N403" s="2"/>
      <c r="O403" s="2"/>
      <c r="P403" s="2"/>
      <c r="Q403" s="2"/>
      <c r="R403" s="2"/>
      <c r="S403" s="2"/>
      <c r="T403" s="2"/>
      <c r="U403" s="2"/>
      <c r="V403" s="2"/>
      <c r="W403" s="2"/>
      <c r="X403" s="2"/>
      <c r="Y403" s="2"/>
      <c r="Z403" s="2"/>
    </row>
    <row r="404" ht="22.5" customHeight="1">
      <c r="A404" s="7"/>
      <c r="B404" s="7"/>
      <c r="C404" s="7"/>
      <c r="D404" s="7"/>
      <c r="E404" s="7"/>
      <c r="F404" s="7"/>
      <c r="G404" s="7"/>
      <c r="H404" s="2"/>
      <c r="I404" s="7"/>
      <c r="J404" s="7"/>
      <c r="K404" s="2"/>
      <c r="L404" s="2"/>
      <c r="M404" s="2"/>
      <c r="N404" s="2"/>
      <c r="O404" s="2"/>
      <c r="P404" s="2"/>
      <c r="Q404" s="2"/>
      <c r="R404" s="2"/>
      <c r="S404" s="2"/>
      <c r="T404" s="2"/>
      <c r="U404" s="2"/>
      <c r="V404" s="2"/>
      <c r="W404" s="2"/>
      <c r="X404" s="2"/>
      <c r="Y404" s="2"/>
      <c r="Z404" s="2"/>
    </row>
    <row r="405" ht="22.5" customHeight="1">
      <c r="A405" s="7"/>
      <c r="B405" s="7"/>
      <c r="C405" s="7"/>
      <c r="D405" s="7"/>
      <c r="E405" s="7"/>
      <c r="F405" s="7"/>
      <c r="G405" s="7"/>
      <c r="H405" s="2"/>
      <c r="I405" s="7"/>
      <c r="J405" s="7"/>
      <c r="K405" s="2"/>
      <c r="L405" s="2"/>
      <c r="M405" s="2"/>
      <c r="N405" s="2"/>
      <c r="O405" s="2"/>
      <c r="P405" s="2"/>
      <c r="Q405" s="2"/>
      <c r="R405" s="2"/>
      <c r="S405" s="2"/>
      <c r="T405" s="2"/>
      <c r="U405" s="2"/>
      <c r="V405" s="2"/>
      <c r="W405" s="2"/>
      <c r="X405" s="2"/>
      <c r="Y405" s="2"/>
      <c r="Z405" s="2"/>
    </row>
    <row r="406" ht="22.5" customHeight="1">
      <c r="A406" s="7"/>
      <c r="B406" s="7"/>
      <c r="C406" s="7"/>
      <c r="D406" s="7"/>
      <c r="E406" s="7"/>
      <c r="F406" s="7"/>
      <c r="G406" s="7"/>
      <c r="H406" s="2"/>
      <c r="I406" s="7"/>
      <c r="J406" s="7"/>
      <c r="K406" s="2"/>
      <c r="L406" s="2"/>
      <c r="M406" s="2"/>
      <c r="N406" s="2"/>
      <c r="O406" s="2"/>
      <c r="P406" s="2"/>
      <c r="Q406" s="2"/>
      <c r="R406" s="2"/>
      <c r="S406" s="2"/>
      <c r="T406" s="2"/>
      <c r="U406" s="2"/>
      <c r="V406" s="2"/>
      <c r="W406" s="2"/>
      <c r="X406" s="2"/>
      <c r="Y406" s="2"/>
      <c r="Z406" s="2"/>
    </row>
    <row r="407" ht="22.5" customHeight="1">
      <c r="A407" s="7"/>
      <c r="B407" s="7"/>
      <c r="C407" s="7"/>
      <c r="D407" s="7"/>
      <c r="E407" s="7"/>
      <c r="F407" s="7"/>
      <c r="G407" s="7"/>
      <c r="H407" s="2"/>
      <c r="I407" s="7"/>
      <c r="J407" s="7"/>
      <c r="K407" s="2"/>
      <c r="L407" s="2"/>
      <c r="M407" s="2"/>
      <c r="N407" s="2"/>
      <c r="O407" s="2"/>
      <c r="P407" s="2"/>
      <c r="Q407" s="2"/>
      <c r="R407" s="2"/>
      <c r="S407" s="2"/>
      <c r="T407" s="2"/>
      <c r="U407" s="2"/>
      <c r="V407" s="2"/>
      <c r="W407" s="2"/>
      <c r="X407" s="2"/>
      <c r="Y407" s="2"/>
      <c r="Z407" s="2"/>
    </row>
    <row r="408" ht="22.5" customHeight="1">
      <c r="A408" s="7"/>
      <c r="B408" s="7"/>
      <c r="C408" s="7"/>
      <c r="D408" s="7"/>
      <c r="E408" s="7"/>
      <c r="F408" s="7"/>
      <c r="G408" s="7"/>
      <c r="H408" s="2"/>
      <c r="I408" s="7"/>
      <c r="J408" s="7"/>
      <c r="K408" s="2"/>
      <c r="L408" s="2"/>
      <c r="M408" s="2"/>
      <c r="N408" s="2"/>
      <c r="O408" s="2"/>
      <c r="P408" s="2"/>
      <c r="Q408" s="2"/>
      <c r="R408" s="2"/>
      <c r="S408" s="2"/>
      <c r="T408" s="2"/>
      <c r="U408" s="2"/>
      <c r="V408" s="2"/>
      <c r="W408" s="2"/>
      <c r="X408" s="2"/>
      <c r="Y408" s="2"/>
      <c r="Z408" s="2"/>
    </row>
    <row r="409" ht="22.5" customHeight="1">
      <c r="A409" s="7"/>
      <c r="B409" s="7"/>
      <c r="C409" s="7"/>
      <c r="D409" s="7"/>
      <c r="E409" s="7"/>
      <c r="F409" s="7"/>
      <c r="G409" s="7"/>
      <c r="H409" s="2"/>
      <c r="I409" s="7"/>
      <c r="J409" s="7"/>
      <c r="K409" s="2"/>
      <c r="L409" s="2"/>
      <c r="M409" s="2"/>
      <c r="N409" s="2"/>
      <c r="O409" s="2"/>
      <c r="P409" s="2"/>
      <c r="Q409" s="2"/>
      <c r="R409" s="2"/>
      <c r="S409" s="2"/>
      <c r="T409" s="2"/>
      <c r="U409" s="2"/>
      <c r="V409" s="2"/>
      <c r="W409" s="2"/>
      <c r="X409" s="2"/>
      <c r="Y409" s="2"/>
      <c r="Z409" s="2"/>
    </row>
    <row r="410" ht="22.5" customHeight="1">
      <c r="A410" s="7"/>
      <c r="B410" s="7"/>
      <c r="C410" s="7"/>
      <c r="D410" s="7"/>
      <c r="E410" s="7"/>
      <c r="F410" s="7"/>
      <c r="G410" s="7"/>
      <c r="H410" s="2"/>
      <c r="I410" s="7"/>
      <c r="J410" s="7"/>
      <c r="K410" s="2"/>
      <c r="L410" s="2"/>
      <c r="M410" s="2"/>
      <c r="N410" s="2"/>
      <c r="O410" s="2"/>
      <c r="P410" s="2"/>
      <c r="Q410" s="2"/>
      <c r="R410" s="2"/>
      <c r="S410" s="2"/>
      <c r="T410" s="2"/>
      <c r="U410" s="2"/>
      <c r="V410" s="2"/>
      <c r="W410" s="2"/>
      <c r="X410" s="2"/>
      <c r="Y410" s="2"/>
      <c r="Z410" s="2"/>
    </row>
    <row r="411" ht="22.5" customHeight="1">
      <c r="A411" s="7"/>
      <c r="B411" s="7"/>
      <c r="C411" s="7"/>
      <c r="D411" s="7"/>
      <c r="E411" s="7"/>
      <c r="F411" s="7"/>
      <c r="G411" s="7"/>
      <c r="H411" s="2"/>
      <c r="I411" s="7"/>
      <c r="J411" s="7"/>
      <c r="K411" s="2"/>
      <c r="L411" s="2"/>
      <c r="M411" s="2"/>
      <c r="N411" s="2"/>
      <c r="O411" s="2"/>
      <c r="P411" s="2"/>
      <c r="Q411" s="2"/>
      <c r="R411" s="2"/>
      <c r="S411" s="2"/>
      <c r="T411" s="2"/>
      <c r="U411" s="2"/>
      <c r="V411" s="2"/>
      <c r="W411" s="2"/>
      <c r="X411" s="2"/>
      <c r="Y411" s="2"/>
      <c r="Z411" s="2"/>
    </row>
    <row r="412" ht="22.5" customHeight="1">
      <c r="A412" s="7"/>
      <c r="B412" s="7"/>
      <c r="C412" s="7"/>
      <c r="D412" s="7"/>
      <c r="E412" s="7"/>
      <c r="F412" s="7"/>
      <c r="G412" s="7"/>
      <c r="H412" s="2"/>
      <c r="I412" s="7"/>
      <c r="J412" s="7"/>
      <c r="K412" s="2"/>
      <c r="L412" s="2"/>
      <c r="M412" s="2"/>
      <c r="N412" s="2"/>
      <c r="O412" s="2"/>
      <c r="P412" s="2"/>
      <c r="Q412" s="2"/>
      <c r="R412" s="2"/>
      <c r="S412" s="2"/>
      <c r="T412" s="2"/>
      <c r="U412" s="2"/>
      <c r="V412" s="2"/>
      <c r="W412" s="2"/>
      <c r="X412" s="2"/>
      <c r="Y412" s="2"/>
      <c r="Z412" s="2"/>
    </row>
    <row r="413" ht="22.5" customHeight="1">
      <c r="A413" s="7"/>
      <c r="B413" s="7"/>
      <c r="C413" s="7"/>
      <c r="D413" s="7"/>
      <c r="E413" s="7"/>
      <c r="F413" s="7"/>
      <c r="G413" s="7"/>
      <c r="H413" s="2"/>
      <c r="I413" s="7"/>
      <c r="J413" s="7"/>
      <c r="K413" s="2"/>
      <c r="L413" s="2"/>
      <c r="M413" s="2"/>
      <c r="N413" s="2"/>
      <c r="O413" s="2"/>
      <c r="P413" s="2"/>
      <c r="Q413" s="2"/>
      <c r="R413" s="2"/>
      <c r="S413" s="2"/>
      <c r="T413" s="2"/>
      <c r="U413" s="2"/>
      <c r="V413" s="2"/>
      <c r="W413" s="2"/>
      <c r="X413" s="2"/>
      <c r="Y413" s="2"/>
      <c r="Z413" s="2"/>
    </row>
    <row r="414" ht="22.5" customHeight="1">
      <c r="A414" s="7"/>
      <c r="B414" s="7"/>
      <c r="C414" s="7"/>
      <c r="D414" s="7"/>
      <c r="E414" s="7"/>
      <c r="F414" s="7"/>
      <c r="G414" s="7"/>
      <c r="H414" s="2"/>
      <c r="I414" s="7"/>
      <c r="J414" s="7"/>
      <c r="K414" s="2"/>
      <c r="L414" s="2"/>
      <c r="M414" s="2"/>
      <c r="N414" s="2"/>
      <c r="O414" s="2"/>
      <c r="P414" s="2"/>
      <c r="Q414" s="2"/>
      <c r="R414" s="2"/>
      <c r="S414" s="2"/>
      <c r="T414" s="2"/>
      <c r="U414" s="2"/>
      <c r="V414" s="2"/>
      <c r="W414" s="2"/>
      <c r="X414" s="2"/>
      <c r="Y414" s="2"/>
      <c r="Z414" s="2"/>
    </row>
    <row r="415" ht="22.5" customHeight="1">
      <c r="A415" s="7"/>
      <c r="B415" s="7"/>
      <c r="C415" s="7"/>
      <c r="D415" s="7"/>
      <c r="E415" s="7"/>
      <c r="F415" s="7"/>
      <c r="G415" s="7"/>
      <c r="H415" s="2"/>
      <c r="I415" s="7"/>
      <c r="J415" s="7"/>
      <c r="K415" s="2"/>
      <c r="L415" s="2"/>
      <c r="M415" s="2"/>
      <c r="N415" s="2"/>
      <c r="O415" s="2"/>
      <c r="P415" s="2"/>
      <c r="Q415" s="2"/>
      <c r="R415" s="2"/>
      <c r="S415" s="2"/>
      <c r="T415" s="2"/>
      <c r="U415" s="2"/>
      <c r="V415" s="2"/>
      <c r="W415" s="2"/>
      <c r="X415" s="2"/>
      <c r="Y415" s="2"/>
      <c r="Z415" s="2"/>
    </row>
    <row r="416" ht="22.5" customHeight="1">
      <c r="A416" s="7"/>
      <c r="B416" s="7"/>
      <c r="C416" s="7"/>
      <c r="D416" s="7"/>
      <c r="E416" s="7"/>
      <c r="F416" s="7"/>
      <c r="G416" s="7"/>
      <c r="H416" s="2"/>
      <c r="I416" s="7"/>
      <c r="J416" s="7"/>
      <c r="K416" s="2"/>
      <c r="L416" s="2"/>
      <c r="M416" s="2"/>
      <c r="N416" s="2"/>
      <c r="O416" s="2"/>
      <c r="P416" s="2"/>
      <c r="Q416" s="2"/>
      <c r="R416" s="2"/>
      <c r="S416" s="2"/>
      <c r="T416" s="2"/>
      <c r="U416" s="2"/>
      <c r="V416" s="2"/>
      <c r="W416" s="2"/>
      <c r="X416" s="2"/>
      <c r="Y416" s="2"/>
      <c r="Z416" s="2"/>
    </row>
    <row r="417" ht="22.5" customHeight="1">
      <c r="A417" s="7"/>
      <c r="B417" s="7"/>
      <c r="C417" s="7"/>
      <c r="D417" s="7"/>
      <c r="E417" s="7"/>
      <c r="F417" s="7"/>
      <c r="G417" s="7"/>
      <c r="H417" s="2"/>
      <c r="I417" s="7"/>
      <c r="J417" s="7"/>
      <c r="K417" s="2"/>
      <c r="L417" s="2"/>
      <c r="M417" s="2"/>
      <c r="N417" s="2"/>
      <c r="O417" s="2"/>
      <c r="P417" s="2"/>
      <c r="Q417" s="2"/>
      <c r="R417" s="2"/>
      <c r="S417" s="2"/>
      <c r="T417" s="2"/>
      <c r="U417" s="2"/>
      <c r="V417" s="2"/>
      <c r="W417" s="2"/>
      <c r="X417" s="2"/>
      <c r="Y417" s="2"/>
      <c r="Z417" s="2"/>
    </row>
    <row r="418" ht="22.5" customHeight="1">
      <c r="A418" s="7"/>
      <c r="B418" s="7"/>
      <c r="C418" s="7"/>
      <c r="D418" s="7"/>
      <c r="E418" s="7"/>
      <c r="F418" s="7"/>
      <c r="G418" s="7"/>
      <c r="H418" s="2"/>
      <c r="I418" s="7"/>
      <c r="J418" s="7"/>
      <c r="K418" s="2"/>
      <c r="L418" s="2"/>
      <c r="M418" s="2"/>
      <c r="N418" s="2"/>
      <c r="O418" s="2"/>
      <c r="P418" s="2"/>
      <c r="Q418" s="2"/>
      <c r="R418" s="2"/>
      <c r="S418" s="2"/>
      <c r="T418" s="2"/>
      <c r="U418" s="2"/>
      <c r="V418" s="2"/>
      <c r="W418" s="2"/>
      <c r="X418" s="2"/>
      <c r="Y418" s="2"/>
      <c r="Z418" s="2"/>
    </row>
    <row r="419" ht="22.5" customHeight="1">
      <c r="A419" s="7"/>
      <c r="B419" s="7"/>
      <c r="C419" s="7"/>
      <c r="D419" s="7"/>
      <c r="E419" s="7"/>
      <c r="F419" s="7"/>
      <c r="G419" s="7"/>
      <c r="H419" s="2"/>
      <c r="I419" s="7"/>
      <c r="J419" s="7"/>
      <c r="K419" s="2"/>
      <c r="L419" s="2"/>
      <c r="M419" s="2"/>
      <c r="N419" s="2"/>
      <c r="O419" s="2"/>
      <c r="P419" s="2"/>
      <c r="Q419" s="2"/>
      <c r="R419" s="2"/>
      <c r="S419" s="2"/>
      <c r="T419" s="2"/>
      <c r="U419" s="2"/>
      <c r="V419" s="2"/>
      <c r="W419" s="2"/>
      <c r="X419" s="2"/>
      <c r="Y419" s="2"/>
      <c r="Z419" s="2"/>
    </row>
    <row r="420" ht="22.5" customHeight="1">
      <c r="A420" s="7"/>
      <c r="B420" s="7"/>
      <c r="C420" s="7"/>
      <c r="D420" s="7"/>
      <c r="E420" s="7"/>
      <c r="F420" s="7"/>
      <c r="G420" s="7"/>
      <c r="H420" s="2"/>
      <c r="I420" s="7"/>
      <c r="J420" s="7"/>
      <c r="K420" s="2"/>
      <c r="L420" s="2"/>
      <c r="M420" s="2"/>
      <c r="N420" s="2"/>
      <c r="O420" s="2"/>
      <c r="P420" s="2"/>
      <c r="Q420" s="2"/>
      <c r="R420" s="2"/>
      <c r="S420" s="2"/>
      <c r="T420" s="2"/>
      <c r="U420" s="2"/>
      <c r="V420" s="2"/>
      <c r="W420" s="2"/>
      <c r="X420" s="2"/>
      <c r="Y420" s="2"/>
      <c r="Z420" s="2"/>
    </row>
    <row r="421" ht="22.5" customHeight="1">
      <c r="A421" s="7"/>
      <c r="B421" s="7"/>
      <c r="C421" s="7"/>
      <c r="D421" s="7"/>
      <c r="E421" s="7"/>
      <c r="F421" s="7"/>
      <c r="G421" s="7"/>
      <c r="H421" s="2"/>
      <c r="I421" s="7"/>
      <c r="J421" s="7"/>
      <c r="K421" s="2"/>
      <c r="L421" s="2"/>
      <c r="M421" s="2"/>
      <c r="N421" s="2"/>
      <c r="O421" s="2"/>
      <c r="P421" s="2"/>
      <c r="Q421" s="2"/>
      <c r="R421" s="2"/>
      <c r="S421" s="2"/>
      <c r="T421" s="2"/>
      <c r="U421" s="2"/>
      <c r="V421" s="2"/>
      <c r="W421" s="2"/>
      <c r="X421" s="2"/>
      <c r="Y421" s="2"/>
      <c r="Z421" s="2"/>
    </row>
    <row r="422" ht="22.5" customHeight="1">
      <c r="A422" s="7"/>
      <c r="B422" s="7"/>
      <c r="C422" s="7"/>
      <c r="D422" s="7"/>
      <c r="E422" s="7"/>
      <c r="F422" s="7"/>
      <c r="G422" s="7"/>
      <c r="H422" s="2"/>
      <c r="I422" s="7"/>
      <c r="J422" s="7"/>
      <c r="K422" s="2"/>
      <c r="L422" s="2"/>
      <c r="M422" s="2"/>
      <c r="N422" s="2"/>
      <c r="O422" s="2"/>
      <c r="P422" s="2"/>
      <c r="Q422" s="2"/>
      <c r="R422" s="2"/>
      <c r="S422" s="2"/>
      <c r="T422" s="2"/>
      <c r="U422" s="2"/>
      <c r="V422" s="2"/>
      <c r="W422" s="2"/>
      <c r="X422" s="2"/>
      <c r="Y422" s="2"/>
      <c r="Z422" s="2"/>
    </row>
    <row r="423" ht="22.5" customHeight="1">
      <c r="A423" s="7"/>
      <c r="B423" s="7"/>
      <c r="C423" s="7"/>
      <c r="D423" s="7"/>
      <c r="E423" s="7"/>
      <c r="F423" s="7"/>
      <c r="G423" s="7"/>
      <c r="H423" s="2"/>
      <c r="I423" s="7"/>
      <c r="J423" s="7"/>
      <c r="K423" s="2"/>
      <c r="L423" s="2"/>
      <c r="M423" s="2"/>
      <c r="N423" s="2"/>
      <c r="O423" s="2"/>
      <c r="P423" s="2"/>
      <c r="Q423" s="2"/>
      <c r="R423" s="2"/>
      <c r="S423" s="2"/>
      <c r="T423" s="2"/>
      <c r="U423" s="2"/>
      <c r="V423" s="2"/>
      <c r="W423" s="2"/>
      <c r="X423" s="2"/>
      <c r="Y423" s="2"/>
      <c r="Z423" s="2"/>
    </row>
    <row r="424" ht="22.5" customHeight="1">
      <c r="A424" s="7"/>
      <c r="B424" s="7"/>
      <c r="C424" s="7"/>
      <c r="D424" s="7"/>
      <c r="E424" s="7"/>
      <c r="F424" s="7"/>
      <c r="G424" s="7"/>
      <c r="H424" s="2"/>
      <c r="I424" s="7"/>
      <c r="J424" s="7"/>
      <c r="K424" s="2"/>
      <c r="L424" s="2"/>
      <c r="M424" s="2"/>
      <c r="N424" s="2"/>
      <c r="O424" s="2"/>
      <c r="P424" s="2"/>
      <c r="Q424" s="2"/>
      <c r="R424" s="2"/>
      <c r="S424" s="2"/>
      <c r="T424" s="2"/>
      <c r="U424" s="2"/>
      <c r="V424" s="2"/>
      <c r="W424" s="2"/>
      <c r="X424" s="2"/>
      <c r="Y424" s="2"/>
      <c r="Z424" s="2"/>
    </row>
    <row r="425" ht="22.5" customHeight="1">
      <c r="A425" s="7"/>
      <c r="B425" s="7"/>
      <c r="C425" s="7"/>
      <c r="D425" s="7"/>
      <c r="E425" s="7"/>
      <c r="F425" s="7"/>
      <c r="G425" s="7"/>
      <c r="H425" s="2"/>
      <c r="I425" s="7"/>
      <c r="J425" s="7"/>
      <c r="K425" s="2"/>
      <c r="L425" s="2"/>
      <c r="M425" s="2"/>
      <c r="N425" s="2"/>
      <c r="O425" s="2"/>
      <c r="P425" s="2"/>
      <c r="Q425" s="2"/>
      <c r="R425" s="2"/>
      <c r="S425" s="2"/>
      <c r="T425" s="2"/>
      <c r="U425" s="2"/>
      <c r="V425" s="2"/>
      <c r="W425" s="2"/>
      <c r="X425" s="2"/>
      <c r="Y425" s="2"/>
      <c r="Z425" s="2"/>
    </row>
    <row r="426" ht="22.5" customHeight="1">
      <c r="A426" s="7"/>
      <c r="B426" s="7"/>
      <c r="C426" s="7"/>
      <c r="D426" s="7"/>
      <c r="E426" s="7"/>
      <c r="F426" s="7"/>
      <c r="G426" s="7"/>
      <c r="H426" s="2"/>
      <c r="I426" s="7"/>
      <c r="J426" s="7"/>
      <c r="K426" s="2"/>
      <c r="L426" s="2"/>
      <c r="M426" s="2"/>
      <c r="N426" s="2"/>
      <c r="O426" s="2"/>
      <c r="P426" s="2"/>
      <c r="Q426" s="2"/>
      <c r="R426" s="2"/>
      <c r="S426" s="2"/>
      <c r="T426" s="2"/>
      <c r="U426" s="2"/>
      <c r="V426" s="2"/>
      <c r="W426" s="2"/>
      <c r="X426" s="2"/>
      <c r="Y426" s="2"/>
      <c r="Z426" s="2"/>
    </row>
    <row r="427" ht="22.5" customHeight="1">
      <c r="A427" s="7"/>
      <c r="B427" s="7"/>
      <c r="C427" s="7"/>
      <c r="D427" s="7"/>
      <c r="E427" s="7"/>
      <c r="F427" s="7"/>
      <c r="G427" s="7"/>
      <c r="H427" s="2"/>
      <c r="I427" s="7"/>
      <c r="J427" s="7"/>
      <c r="K427" s="2"/>
      <c r="L427" s="2"/>
      <c r="M427" s="2"/>
      <c r="N427" s="2"/>
      <c r="O427" s="2"/>
      <c r="P427" s="2"/>
      <c r="Q427" s="2"/>
      <c r="R427" s="2"/>
      <c r="S427" s="2"/>
      <c r="T427" s="2"/>
      <c r="U427" s="2"/>
      <c r="V427" s="2"/>
      <c r="W427" s="2"/>
      <c r="X427" s="2"/>
      <c r="Y427" s="2"/>
      <c r="Z427" s="2"/>
    </row>
    <row r="428" ht="22.5" customHeight="1">
      <c r="A428" s="7"/>
      <c r="B428" s="7"/>
      <c r="C428" s="7"/>
      <c r="D428" s="7"/>
      <c r="E428" s="7"/>
      <c r="F428" s="7"/>
      <c r="G428" s="7"/>
      <c r="H428" s="2"/>
      <c r="I428" s="7"/>
      <c r="J428" s="7"/>
      <c r="K428" s="2"/>
      <c r="L428" s="2"/>
      <c r="M428" s="2"/>
      <c r="N428" s="2"/>
      <c r="O428" s="2"/>
      <c r="P428" s="2"/>
      <c r="Q428" s="2"/>
      <c r="R428" s="2"/>
      <c r="S428" s="2"/>
      <c r="T428" s="2"/>
      <c r="U428" s="2"/>
      <c r="V428" s="2"/>
      <c r="W428" s="2"/>
      <c r="X428" s="2"/>
      <c r="Y428" s="2"/>
      <c r="Z428" s="2"/>
    </row>
    <row r="429" ht="22.5" customHeight="1">
      <c r="A429" s="7"/>
      <c r="B429" s="7"/>
      <c r="C429" s="7"/>
      <c r="D429" s="7"/>
      <c r="E429" s="7"/>
      <c r="F429" s="7"/>
      <c r="G429" s="7"/>
      <c r="H429" s="2"/>
      <c r="I429" s="7"/>
      <c r="J429" s="7"/>
      <c r="K429" s="2"/>
      <c r="L429" s="2"/>
      <c r="M429" s="2"/>
      <c r="N429" s="2"/>
      <c r="O429" s="2"/>
      <c r="P429" s="2"/>
      <c r="Q429" s="2"/>
      <c r="R429" s="2"/>
      <c r="S429" s="2"/>
      <c r="T429" s="2"/>
      <c r="U429" s="2"/>
      <c r="V429" s="2"/>
      <c r="W429" s="2"/>
      <c r="X429" s="2"/>
      <c r="Y429" s="2"/>
      <c r="Z429" s="2"/>
    </row>
    <row r="430" ht="22.5" customHeight="1">
      <c r="A430" s="7"/>
      <c r="B430" s="7"/>
      <c r="C430" s="7"/>
      <c r="D430" s="7"/>
      <c r="E430" s="7"/>
      <c r="F430" s="7"/>
      <c r="G430" s="7"/>
      <c r="H430" s="2"/>
      <c r="I430" s="7"/>
      <c r="J430" s="7"/>
      <c r="K430" s="2"/>
      <c r="L430" s="2"/>
      <c r="M430" s="2"/>
      <c r="N430" s="2"/>
      <c r="O430" s="2"/>
      <c r="P430" s="2"/>
      <c r="Q430" s="2"/>
      <c r="R430" s="2"/>
      <c r="S430" s="2"/>
      <c r="T430" s="2"/>
      <c r="U430" s="2"/>
      <c r="V430" s="2"/>
      <c r="W430" s="2"/>
      <c r="X430" s="2"/>
      <c r="Y430" s="2"/>
      <c r="Z430" s="2"/>
    </row>
    <row r="431" ht="22.5" customHeight="1">
      <c r="A431" s="7"/>
      <c r="B431" s="7"/>
      <c r="C431" s="7"/>
      <c r="D431" s="7"/>
      <c r="E431" s="7"/>
      <c r="F431" s="7"/>
      <c r="G431" s="7"/>
      <c r="H431" s="2"/>
      <c r="I431" s="7"/>
      <c r="J431" s="7"/>
      <c r="K431" s="2"/>
      <c r="L431" s="2"/>
      <c r="M431" s="2"/>
      <c r="N431" s="2"/>
      <c r="O431" s="2"/>
      <c r="P431" s="2"/>
      <c r="Q431" s="2"/>
      <c r="R431" s="2"/>
      <c r="S431" s="2"/>
      <c r="T431" s="2"/>
      <c r="U431" s="2"/>
      <c r="V431" s="2"/>
      <c r="W431" s="2"/>
      <c r="X431" s="2"/>
      <c r="Y431" s="2"/>
      <c r="Z431" s="2"/>
    </row>
    <row r="432" ht="22.5" customHeight="1">
      <c r="A432" s="7"/>
      <c r="B432" s="7"/>
      <c r="C432" s="7"/>
      <c r="D432" s="7"/>
      <c r="E432" s="7"/>
      <c r="F432" s="7"/>
      <c r="G432" s="7"/>
      <c r="H432" s="2"/>
      <c r="I432" s="7"/>
      <c r="J432" s="7"/>
      <c r="K432" s="2"/>
      <c r="L432" s="2"/>
      <c r="M432" s="2"/>
      <c r="N432" s="2"/>
      <c r="O432" s="2"/>
      <c r="P432" s="2"/>
      <c r="Q432" s="2"/>
      <c r="R432" s="2"/>
      <c r="S432" s="2"/>
      <c r="T432" s="2"/>
      <c r="U432" s="2"/>
      <c r="V432" s="2"/>
      <c r="W432" s="2"/>
      <c r="X432" s="2"/>
      <c r="Y432" s="2"/>
      <c r="Z432" s="2"/>
    </row>
    <row r="433" ht="22.5" customHeight="1">
      <c r="A433" s="7"/>
      <c r="B433" s="7"/>
      <c r="C433" s="7"/>
      <c r="D433" s="7"/>
      <c r="E433" s="7"/>
      <c r="F433" s="7"/>
      <c r="G433" s="7"/>
      <c r="H433" s="2"/>
      <c r="I433" s="7"/>
      <c r="J433" s="7"/>
      <c r="K433" s="2"/>
      <c r="L433" s="2"/>
      <c r="M433" s="2"/>
      <c r="N433" s="2"/>
      <c r="O433" s="2"/>
      <c r="P433" s="2"/>
      <c r="Q433" s="2"/>
      <c r="R433" s="2"/>
      <c r="S433" s="2"/>
      <c r="T433" s="2"/>
      <c r="U433" s="2"/>
      <c r="V433" s="2"/>
      <c r="W433" s="2"/>
      <c r="X433" s="2"/>
      <c r="Y433" s="2"/>
      <c r="Z433" s="2"/>
    </row>
    <row r="434" ht="22.5" customHeight="1">
      <c r="A434" s="7"/>
      <c r="B434" s="7"/>
      <c r="C434" s="7"/>
      <c r="D434" s="7"/>
      <c r="E434" s="7"/>
      <c r="F434" s="7"/>
      <c r="G434" s="7"/>
      <c r="H434" s="2"/>
      <c r="I434" s="7"/>
      <c r="J434" s="7"/>
      <c r="K434" s="2"/>
      <c r="L434" s="2"/>
      <c r="M434" s="2"/>
      <c r="N434" s="2"/>
      <c r="O434" s="2"/>
      <c r="P434" s="2"/>
      <c r="Q434" s="2"/>
      <c r="R434" s="2"/>
      <c r="S434" s="2"/>
      <c r="T434" s="2"/>
      <c r="U434" s="2"/>
      <c r="V434" s="2"/>
      <c r="W434" s="2"/>
      <c r="X434" s="2"/>
      <c r="Y434" s="2"/>
      <c r="Z434" s="2"/>
    </row>
    <row r="435" ht="22.5" customHeight="1">
      <c r="A435" s="7"/>
      <c r="B435" s="7"/>
      <c r="C435" s="7"/>
      <c r="D435" s="7"/>
      <c r="E435" s="7"/>
      <c r="F435" s="7"/>
      <c r="G435" s="7"/>
      <c r="H435" s="2"/>
      <c r="I435" s="7"/>
      <c r="J435" s="7"/>
      <c r="K435" s="2"/>
      <c r="L435" s="2"/>
      <c r="M435" s="2"/>
      <c r="N435" s="2"/>
      <c r="O435" s="2"/>
      <c r="P435" s="2"/>
      <c r="Q435" s="2"/>
      <c r="R435" s="2"/>
      <c r="S435" s="2"/>
      <c r="T435" s="2"/>
      <c r="U435" s="2"/>
      <c r="V435" s="2"/>
      <c r="W435" s="2"/>
      <c r="X435" s="2"/>
      <c r="Y435" s="2"/>
      <c r="Z435" s="2"/>
    </row>
    <row r="436" ht="22.5" customHeight="1">
      <c r="A436" s="7"/>
      <c r="B436" s="7"/>
      <c r="C436" s="7"/>
      <c r="D436" s="7"/>
      <c r="E436" s="7"/>
      <c r="F436" s="7"/>
      <c r="G436" s="7"/>
      <c r="H436" s="2"/>
      <c r="I436" s="7"/>
      <c r="J436" s="7"/>
      <c r="K436" s="2"/>
      <c r="L436" s="2"/>
      <c r="M436" s="2"/>
      <c r="N436" s="2"/>
      <c r="O436" s="2"/>
      <c r="P436" s="2"/>
      <c r="Q436" s="2"/>
      <c r="R436" s="2"/>
      <c r="S436" s="2"/>
      <c r="T436" s="2"/>
      <c r="U436" s="2"/>
      <c r="V436" s="2"/>
      <c r="W436" s="2"/>
      <c r="X436" s="2"/>
      <c r="Y436" s="2"/>
      <c r="Z436" s="2"/>
    </row>
    <row r="437" ht="22.5" customHeight="1">
      <c r="A437" s="7"/>
      <c r="B437" s="7"/>
      <c r="C437" s="7"/>
      <c r="D437" s="7"/>
      <c r="E437" s="7"/>
      <c r="F437" s="7"/>
      <c r="G437" s="7"/>
      <c r="H437" s="2"/>
      <c r="I437" s="7"/>
      <c r="J437" s="7"/>
      <c r="K437" s="2"/>
      <c r="L437" s="2"/>
      <c r="M437" s="2"/>
      <c r="N437" s="2"/>
      <c r="O437" s="2"/>
      <c r="P437" s="2"/>
      <c r="Q437" s="2"/>
      <c r="R437" s="2"/>
      <c r="S437" s="2"/>
      <c r="T437" s="2"/>
      <c r="U437" s="2"/>
      <c r="V437" s="2"/>
      <c r="W437" s="2"/>
      <c r="X437" s="2"/>
      <c r="Y437" s="2"/>
      <c r="Z437" s="2"/>
    </row>
    <row r="438" ht="22.5" customHeight="1">
      <c r="A438" s="7"/>
      <c r="B438" s="7"/>
      <c r="C438" s="7"/>
      <c r="D438" s="7"/>
      <c r="E438" s="7"/>
      <c r="F438" s="7"/>
      <c r="G438" s="7"/>
      <c r="H438" s="2"/>
      <c r="I438" s="7"/>
      <c r="J438" s="7"/>
      <c r="K438" s="2"/>
      <c r="L438" s="2"/>
      <c r="M438" s="2"/>
      <c r="N438" s="2"/>
      <c r="O438" s="2"/>
      <c r="P438" s="2"/>
      <c r="Q438" s="2"/>
      <c r="R438" s="2"/>
      <c r="S438" s="2"/>
      <c r="T438" s="2"/>
      <c r="U438" s="2"/>
      <c r="V438" s="2"/>
      <c r="W438" s="2"/>
      <c r="X438" s="2"/>
      <c r="Y438" s="2"/>
      <c r="Z438" s="2"/>
    </row>
    <row r="439" ht="22.5" customHeight="1">
      <c r="A439" s="7"/>
      <c r="B439" s="7"/>
      <c r="C439" s="7"/>
      <c r="D439" s="7"/>
      <c r="E439" s="7"/>
      <c r="F439" s="7"/>
      <c r="G439" s="7"/>
      <c r="H439" s="2"/>
      <c r="I439" s="7"/>
      <c r="J439" s="7"/>
      <c r="K439" s="2"/>
      <c r="L439" s="2"/>
      <c r="M439" s="2"/>
      <c r="N439" s="2"/>
      <c r="O439" s="2"/>
      <c r="P439" s="2"/>
      <c r="Q439" s="2"/>
      <c r="R439" s="2"/>
      <c r="S439" s="2"/>
      <c r="T439" s="2"/>
      <c r="U439" s="2"/>
      <c r="V439" s="2"/>
      <c r="W439" s="2"/>
      <c r="X439" s="2"/>
      <c r="Y439" s="2"/>
      <c r="Z439" s="2"/>
    </row>
    <row r="440" ht="22.5" customHeight="1">
      <c r="A440" s="7"/>
      <c r="B440" s="7"/>
      <c r="C440" s="7"/>
      <c r="D440" s="7"/>
      <c r="E440" s="7"/>
      <c r="F440" s="7"/>
      <c r="G440" s="7"/>
      <c r="H440" s="2"/>
      <c r="I440" s="7"/>
      <c r="J440" s="7"/>
      <c r="K440" s="2"/>
      <c r="L440" s="2"/>
      <c r="M440" s="2"/>
      <c r="N440" s="2"/>
      <c r="O440" s="2"/>
      <c r="P440" s="2"/>
      <c r="Q440" s="2"/>
      <c r="R440" s="2"/>
      <c r="S440" s="2"/>
      <c r="T440" s="2"/>
      <c r="U440" s="2"/>
      <c r="V440" s="2"/>
      <c r="W440" s="2"/>
      <c r="X440" s="2"/>
      <c r="Y440" s="2"/>
      <c r="Z440" s="2"/>
    </row>
    <row r="441" ht="22.5" customHeight="1">
      <c r="A441" s="7"/>
      <c r="B441" s="7"/>
      <c r="C441" s="7"/>
      <c r="D441" s="7"/>
      <c r="E441" s="7"/>
      <c r="F441" s="7"/>
      <c r="G441" s="7"/>
      <c r="H441" s="2"/>
      <c r="I441" s="7"/>
      <c r="J441" s="7"/>
      <c r="K441" s="2"/>
      <c r="L441" s="2"/>
      <c r="M441" s="2"/>
      <c r="N441" s="2"/>
      <c r="O441" s="2"/>
      <c r="P441" s="2"/>
      <c r="Q441" s="2"/>
      <c r="R441" s="2"/>
      <c r="S441" s="2"/>
      <c r="T441" s="2"/>
      <c r="U441" s="2"/>
      <c r="V441" s="2"/>
      <c r="W441" s="2"/>
      <c r="X441" s="2"/>
      <c r="Y441" s="2"/>
      <c r="Z441" s="2"/>
    </row>
    <row r="442" ht="22.5" customHeight="1">
      <c r="A442" s="7"/>
      <c r="B442" s="7"/>
      <c r="C442" s="7"/>
      <c r="D442" s="7"/>
      <c r="E442" s="7"/>
      <c r="F442" s="7"/>
      <c r="G442" s="7"/>
      <c r="H442" s="2"/>
      <c r="I442" s="7"/>
      <c r="J442" s="7"/>
      <c r="K442" s="2"/>
      <c r="L442" s="2"/>
      <c r="M442" s="2"/>
      <c r="N442" s="2"/>
      <c r="O442" s="2"/>
      <c r="P442" s="2"/>
      <c r="Q442" s="2"/>
      <c r="R442" s="2"/>
      <c r="S442" s="2"/>
      <c r="T442" s="2"/>
      <c r="U442" s="2"/>
      <c r="V442" s="2"/>
      <c r="W442" s="2"/>
      <c r="X442" s="2"/>
      <c r="Y442" s="2"/>
      <c r="Z442" s="2"/>
    </row>
    <row r="443" ht="22.5" customHeight="1">
      <c r="A443" s="7"/>
      <c r="B443" s="7"/>
      <c r="C443" s="7"/>
      <c r="D443" s="7"/>
      <c r="E443" s="7"/>
      <c r="F443" s="7"/>
      <c r="G443" s="7"/>
      <c r="H443" s="2"/>
      <c r="I443" s="7"/>
      <c r="J443" s="7"/>
      <c r="K443" s="2"/>
      <c r="L443" s="2"/>
      <c r="M443" s="2"/>
      <c r="N443" s="2"/>
      <c r="O443" s="2"/>
      <c r="P443" s="2"/>
      <c r="Q443" s="2"/>
      <c r="R443" s="2"/>
      <c r="S443" s="2"/>
      <c r="T443" s="2"/>
      <c r="U443" s="2"/>
      <c r="V443" s="2"/>
      <c r="W443" s="2"/>
      <c r="X443" s="2"/>
      <c r="Y443" s="2"/>
      <c r="Z443" s="2"/>
    </row>
    <row r="444" ht="22.5" customHeight="1">
      <c r="A444" s="7"/>
      <c r="B444" s="7"/>
      <c r="C444" s="7"/>
      <c r="D444" s="7"/>
      <c r="E444" s="7"/>
      <c r="F444" s="7"/>
      <c r="G444" s="7"/>
      <c r="H444" s="2"/>
      <c r="I444" s="7"/>
      <c r="J444" s="7"/>
      <c r="K444" s="2"/>
      <c r="L444" s="2"/>
      <c r="M444" s="2"/>
      <c r="N444" s="2"/>
      <c r="O444" s="2"/>
      <c r="P444" s="2"/>
      <c r="Q444" s="2"/>
      <c r="R444" s="2"/>
      <c r="S444" s="2"/>
      <c r="T444" s="2"/>
      <c r="U444" s="2"/>
      <c r="V444" s="2"/>
      <c r="W444" s="2"/>
      <c r="X444" s="2"/>
      <c r="Y444" s="2"/>
      <c r="Z444" s="2"/>
    </row>
    <row r="445" ht="22.5" customHeight="1">
      <c r="A445" s="7"/>
      <c r="B445" s="7"/>
      <c r="C445" s="7"/>
      <c r="D445" s="7"/>
      <c r="E445" s="7"/>
      <c r="F445" s="7"/>
      <c r="G445" s="7"/>
      <c r="H445" s="2"/>
      <c r="I445" s="7"/>
      <c r="J445" s="7"/>
      <c r="K445" s="2"/>
      <c r="L445" s="2"/>
      <c r="M445" s="2"/>
      <c r="N445" s="2"/>
      <c r="O445" s="2"/>
      <c r="P445" s="2"/>
      <c r="Q445" s="2"/>
      <c r="R445" s="2"/>
      <c r="S445" s="2"/>
      <c r="T445" s="2"/>
      <c r="U445" s="2"/>
      <c r="V445" s="2"/>
      <c r="W445" s="2"/>
      <c r="X445" s="2"/>
      <c r="Y445" s="2"/>
      <c r="Z445" s="2"/>
    </row>
    <row r="446" ht="22.5" customHeight="1">
      <c r="A446" s="7"/>
      <c r="B446" s="7"/>
      <c r="C446" s="7"/>
      <c r="D446" s="7"/>
      <c r="E446" s="7"/>
      <c r="F446" s="7"/>
      <c r="G446" s="7"/>
      <c r="H446" s="2"/>
      <c r="I446" s="7"/>
      <c r="J446" s="7"/>
      <c r="K446" s="2"/>
      <c r="L446" s="2"/>
      <c r="M446" s="2"/>
      <c r="N446" s="2"/>
      <c r="O446" s="2"/>
      <c r="P446" s="2"/>
      <c r="Q446" s="2"/>
      <c r="R446" s="2"/>
      <c r="S446" s="2"/>
      <c r="T446" s="2"/>
      <c r="U446" s="2"/>
      <c r="V446" s="2"/>
      <c r="W446" s="2"/>
      <c r="X446" s="2"/>
      <c r="Y446" s="2"/>
      <c r="Z446" s="2"/>
    </row>
    <row r="447" ht="22.5" customHeight="1">
      <c r="A447" s="7"/>
      <c r="B447" s="7"/>
      <c r="C447" s="7"/>
      <c r="D447" s="7"/>
      <c r="E447" s="7"/>
      <c r="F447" s="7"/>
      <c r="G447" s="7"/>
      <c r="H447" s="2"/>
      <c r="I447" s="7"/>
      <c r="J447" s="7"/>
      <c r="K447" s="2"/>
      <c r="L447" s="2"/>
      <c r="M447" s="2"/>
      <c r="N447" s="2"/>
      <c r="O447" s="2"/>
      <c r="P447" s="2"/>
      <c r="Q447" s="2"/>
      <c r="R447" s="2"/>
      <c r="S447" s="2"/>
      <c r="T447" s="2"/>
      <c r="U447" s="2"/>
      <c r="V447" s="2"/>
      <c r="W447" s="2"/>
      <c r="X447" s="2"/>
      <c r="Y447" s="2"/>
      <c r="Z447" s="2"/>
    </row>
    <row r="448" ht="22.5" customHeight="1">
      <c r="A448" s="7"/>
      <c r="B448" s="7"/>
      <c r="C448" s="7"/>
      <c r="D448" s="7"/>
      <c r="E448" s="7"/>
      <c r="F448" s="7"/>
      <c r="G448" s="7"/>
      <c r="H448" s="2"/>
      <c r="I448" s="7"/>
      <c r="J448" s="7"/>
      <c r="K448" s="2"/>
      <c r="L448" s="2"/>
      <c r="M448" s="2"/>
      <c r="N448" s="2"/>
      <c r="O448" s="2"/>
      <c r="P448" s="2"/>
      <c r="Q448" s="2"/>
      <c r="R448" s="2"/>
      <c r="S448" s="2"/>
      <c r="T448" s="2"/>
      <c r="U448" s="2"/>
      <c r="V448" s="2"/>
      <c r="W448" s="2"/>
      <c r="X448" s="2"/>
      <c r="Y448" s="2"/>
      <c r="Z448" s="2"/>
    </row>
    <row r="449" ht="22.5" customHeight="1">
      <c r="A449" s="7"/>
      <c r="B449" s="7"/>
      <c r="C449" s="7"/>
      <c r="D449" s="7"/>
      <c r="E449" s="7"/>
      <c r="F449" s="7"/>
      <c r="G449" s="7"/>
      <c r="H449" s="2"/>
      <c r="I449" s="7"/>
      <c r="J449" s="7"/>
      <c r="K449" s="2"/>
      <c r="L449" s="2"/>
      <c r="M449" s="2"/>
      <c r="N449" s="2"/>
      <c r="O449" s="2"/>
      <c r="P449" s="2"/>
      <c r="Q449" s="2"/>
      <c r="R449" s="2"/>
      <c r="S449" s="2"/>
      <c r="T449" s="2"/>
      <c r="U449" s="2"/>
      <c r="V449" s="2"/>
      <c r="W449" s="2"/>
      <c r="X449" s="2"/>
      <c r="Y449" s="2"/>
      <c r="Z449" s="2"/>
    </row>
    <row r="450" ht="22.5" customHeight="1">
      <c r="A450" s="7"/>
      <c r="B450" s="7"/>
      <c r="C450" s="7"/>
      <c r="D450" s="7"/>
      <c r="E450" s="7"/>
      <c r="F450" s="7"/>
      <c r="G450" s="7"/>
      <c r="H450" s="2"/>
      <c r="I450" s="7"/>
      <c r="J450" s="7"/>
      <c r="K450" s="2"/>
      <c r="L450" s="2"/>
      <c r="M450" s="2"/>
      <c r="N450" s="2"/>
      <c r="O450" s="2"/>
      <c r="P450" s="2"/>
      <c r="Q450" s="2"/>
      <c r="R450" s="2"/>
      <c r="S450" s="2"/>
      <c r="T450" s="2"/>
      <c r="U450" s="2"/>
      <c r="V450" s="2"/>
      <c r="W450" s="2"/>
      <c r="X450" s="2"/>
      <c r="Y450" s="2"/>
      <c r="Z450" s="2"/>
    </row>
    <row r="451" ht="22.5" customHeight="1">
      <c r="A451" s="7"/>
      <c r="B451" s="7"/>
      <c r="C451" s="7"/>
      <c r="D451" s="7"/>
      <c r="E451" s="7"/>
      <c r="F451" s="7"/>
      <c r="G451" s="7"/>
      <c r="H451" s="2"/>
      <c r="I451" s="7"/>
      <c r="J451" s="7"/>
      <c r="K451" s="2"/>
      <c r="L451" s="2"/>
      <c r="M451" s="2"/>
      <c r="N451" s="2"/>
      <c r="O451" s="2"/>
      <c r="P451" s="2"/>
      <c r="Q451" s="2"/>
      <c r="R451" s="2"/>
      <c r="S451" s="2"/>
      <c r="T451" s="2"/>
      <c r="U451" s="2"/>
      <c r="V451" s="2"/>
      <c r="W451" s="2"/>
      <c r="X451" s="2"/>
      <c r="Y451" s="2"/>
      <c r="Z451" s="2"/>
    </row>
    <row r="452" ht="22.5" customHeight="1">
      <c r="A452" s="7"/>
      <c r="B452" s="7"/>
      <c r="C452" s="7"/>
      <c r="D452" s="7"/>
      <c r="E452" s="7"/>
      <c r="F452" s="7"/>
      <c r="G452" s="7"/>
      <c r="H452" s="2"/>
      <c r="I452" s="7"/>
      <c r="J452" s="7"/>
      <c r="K452" s="2"/>
      <c r="L452" s="2"/>
      <c r="M452" s="2"/>
      <c r="N452" s="2"/>
      <c r="O452" s="2"/>
      <c r="P452" s="2"/>
      <c r="Q452" s="2"/>
      <c r="R452" s="2"/>
      <c r="S452" s="2"/>
      <c r="T452" s="2"/>
      <c r="U452" s="2"/>
      <c r="V452" s="2"/>
      <c r="W452" s="2"/>
      <c r="X452" s="2"/>
      <c r="Y452" s="2"/>
      <c r="Z452" s="2"/>
    </row>
    <row r="453" ht="22.5" customHeight="1">
      <c r="A453" s="7"/>
      <c r="B453" s="7"/>
      <c r="C453" s="7"/>
      <c r="D453" s="7"/>
      <c r="E453" s="7"/>
      <c r="F453" s="7"/>
      <c r="G453" s="7"/>
      <c r="H453" s="2"/>
      <c r="I453" s="7"/>
      <c r="J453" s="7"/>
      <c r="K453" s="2"/>
      <c r="L453" s="2"/>
      <c r="M453" s="2"/>
      <c r="N453" s="2"/>
      <c r="O453" s="2"/>
      <c r="P453" s="2"/>
      <c r="Q453" s="2"/>
      <c r="R453" s="2"/>
      <c r="S453" s="2"/>
      <c r="T453" s="2"/>
      <c r="U453" s="2"/>
      <c r="V453" s="2"/>
      <c r="W453" s="2"/>
      <c r="X453" s="2"/>
      <c r="Y453" s="2"/>
      <c r="Z453" s="2"/>
    </row>
    <row r="454" ht="22.5" customHeight="1">
      <c r="A454" s="7"/>
      <c r="B454" s="7"/>
      <c r="C454" s="7"/>
      <c r="D454" s="7"/>
      <c r="E454" s="7"/>
      <c r="F454" s="7"/>
      <c r="G454" s="7"/>
      <c r="H454" s="2"/>
      <c r="I454" s="7"/>
      <c r="J454" s="7"/>
      <c r="K454" s="2"/>
      <c r="L454" s="2"/>
      <c r="M454" s="2"/>
      <c r="N454" s="2"/>
      <c r="O454" s="2"/>
      <c r="P454" s="2"/>
      <c r="Q454" s="2"/>
      <c r="R454" s="2"/>
      <c r="S454" s="2"/>
      <c r="T454" s="2"/>
      <c r="U454" s="2"/>
      <c r="V454" s="2"/>
      <c r="W454" s="2"/>
      <c r="X454" s="2"/>
      <c r="Y454" s="2"/>
      <c r="Z454" s="2"/>
    </row>
    <row r="455" ht="22.5" customHeight="1">
      <c r="A455" s="7"/>
      <c r="B455" s="7"/>
      <c r="C455" s="7"/>
      <c r="D455" s="7"/>
      <c r="E455" s="7"/>
      <c r="F455" s="7"/>
      <c r="G455" s="7"/>
      <c r="H455" s="2"/>
      <c r="I455" s="7"/>
      <c r="J455" s="7"/>
      <c r="K455" s="2"/>
      <c r="L455" s="2"/>
      <c r="M455" s="2"/>
      <c r="N455" s="2"/>
      <c r="O455" s="2"/>
      <c r="P455" s="2"/>
      <c r="Q455" s="2"/>
      <c r="R455" s="2"/>
      <c r="S455" s="2"/>
      <c r="T455" s="2"/>
      <c r="U455" s="2"/>
      <c r="V455" s="2"/>
      <c r="W455" s="2"/>
      <c r="X455" s="2"/>
      <c r="Y455" s="2"/>
      <c r="Z455" s="2"/>
    </row>
    <row r="456" ht="22.5" customHeight="1">
      <c r="A456" s="7"/>
      <c r="B456" s="7"/>
      <c r="C456" s="7"/>
      <c r="D456" s="7"/>
      <c r="E456" s="7"/>
      <c r="F456" s="7"/>
      <c r="G456" s="7"/>
      <c r="H456" s="2"/>
      <c r="I456" s="7"/>
      <c r="J456" s="7"/>
      <c r="K456" s="2"/>
      <c r="L456" s="2"/>
      <c r="M456" s="2"/>
      <c r="N456" s="2"/>
      <c r="O456" s="2"/>
      <c r="P456" s="2"/>
      <c r="Q456" s="2"/>
      <c r="R456" s="2"/>
      <c r="S456" s="2"/>
      <c r="T456" s="2"/>
      <c r="U456" s="2"/>
      <c r="V456" s="2"/>
      <c r="W456" s="2"/>
      <c r="X456" s="2"/>
      <c r="Y456" s="2"/>
      <c r="Z456" s="2"/>
    </row>
    <row r="457" ht="22.5" customHeight="1">
      <c r="A457" s="7"/>
      <c r="B457" s="7"/>
      <c r="C457" s="7"/>
      <c r="D457" s="7"/>
      <c r="E457" s="7"/>
      <c r="F457" s="7"/>
      <c r="G457" s="7"/>
      <c r="H457" s="2"/>
      <c r="I457" s="7"/>
      <c r="J457" s="7"/>
      <c r="K457" s="2"/>
      <c r="L457" s="2"/>
      <c r="M457" s="2"/>
      <c r="N457" s="2"/>
      <c r="O457" s="2"/>
      <c r="P457" s="2"/>
      <c r="Q457" s="2"/>
      <c r="R457" s="2"/>
      <c r="S457" s="2"/>
      <c r="T457" s="2"/>
      <c r="U457" s="2"/>
      <c r="V457" s="2"/>
      <c r="W457" s="2"/>
      <c r="X457" s="2"/>
      <c r="Y457" s="2"/>
      <c r="Z457" s="2"/>
    </row>
    <row r="458" ht="22.5" customHeight="1">
      <c r="A458" s="7"/>
      <c r="B458" s="7"/>
      <c r="C458" s="7"/>
      <c r="D458" s="7"/>
      <c r="E458" s="7"/>
      <c r="F458" s="7"/>
      <c r="G458" s="7"/>
      <c r="H458" s="2"/>
      <c r="I458" s="7"/>
      <c r="J458" s="7"/>
      <c r="K458" s="2"/>
      <c r="L458" s="2"/>
      <c r="M458" s="2"/>
      <c r="N458" s="2"/>
      <c r="O458" s="2"/>
      <c r="P458" s="2"/>
      <c r="Q458" s="2"/>
      <c r="R458" s="2"/>
      <c r="S458" s="2"/>
      <c r="T458" s="2"/>
      <c r="U458" s="2"/>
      <c r="V458" s="2"/>
      <c r="W458" s="2"/>
      <c r="X458" s="2"/>
      <c r="Y458" s="2"/>
      <c r="Z458" s="2"/>
    </row>
    <row r="459" ht="22.5" customHeight="1">
      <c r="A459" s="7"/>
      <c r="B459" s="7"/>
      <c r="C459" s="7"/>
      <c r="D459" s="7"/>
      <c r="E459" s="7"/>
      <c r="F459" s="7"/>
      <c r="G459" s="7"/>
      <c r="H459" s="2"/>
      <c r="I459" s="7"/>
      <c r="J459" s="7"/>
      <c r="K459" s="2"/>
      <c r="L459" s="2"/>
      <c r="M459" s="2"/>
      <c r="N459" s="2"/>
      <c r="O459" s="2"/>
      <c r="P459" s="2"/>
      <c r="Q459" s="2"/>
      <c r="R459" s="2"/>
      <c r="S459" s="2"/>
      <c r="T459" s="2"/>
      <c r="U459" s="2"/>
      <c r="V459" s="2"/>
      <c r="W459" s="2"/>
      <c r="X459" s="2"/>
      <c r="Y459" s="2"/>
      <c r="Z459" s="2"/>
    </row>
    <row r="460" ht="22.5" customHeight="1">
      <c r="A460" s="7"/>
      <c r="B460" s="7"/>
      <c r="C460" s="7"/>
      <c r="D460" s="7"/>
      <c r="E460" s="7"/>
      <c r="F460" s="7"/>
      <c r="G460" s="7"/>
      <c r="H460" s="2"/>
      <c r="I460" s="7"/>
      <c r="J460" s="7"/>
      <c r="K460" s="2"/>
      <c r="L460" s="2"/>
      <c r="M460" s="2"/>
      <c r="N460" s="2"/>
      <c r="O460" s="2"/>
      <c r="P460" s="2"/>
      <c r="Q460" s="2"/>
      <c r="R460" s="2"/>
      <c r="S460" s="2"/>
      <c r="T460" s="2"/>
      <c r="U460" s="2"/>
      <c r="V460" s="2"/>
      <c r="W460" s="2"/>
      <c r="X460" s="2"/>
      <c r="Y460" s="2"/>
      <c r="Z460" s="2"/>
    </row>
    <row r="461" ht="22.5" customHeight="1">
      <c r="A461" s="7"/>
      <c r="B461" s="7"/>
      <c r="C461" s="7"/>
      <c r="D461" s="7"/>
      <c r="E461" s="7"/>
      <c r="F461" s="7"/>
      <c r="G461" s="7"/>
      <c r="H461" s="2"/>
      <c r="I461" s="7"/>
      <c r="J461" s="7"/>
      <c r="K461" s="2"/>
      <c r="L461" s="2"/>
      <c r="M461" s="2"/>
      <c r="N461" s="2"/>
      <c r="O461" s="2"/>
      <c r="P461" s="2"/>
      <c r="Q461" s="2"/>
      <c r="R461" s="2"/>
      <c r="S461" s="2"/>
      <c r="T461" s="2"/>
      <c r="U461" s="2"/>
      <c r="V461" s="2"/>
      <c r="W461" s="2"/>
      <c r="X461" s="2"/>
      <c r="Y461" s="2"/>
      <c r="Z461" s="2"/>
    </row>
    <row r="462" ht="22.5" customHeight="1">
      <c r="A462" s="7"/>
      <c r="B462" s="7"/>
      <c r="C462" s="7"/>
      <c r="D462" s="7"/>
      <c r="E462" s="7"/>
      <c r="F462" s="7"/>
      <c r="G462" s="7"/>
      <c r="H462" s="2"/>
      <c r="I462" s="7"/>
      <c r="J462" s="7"/>
      <c r="K462" s="2"/>
      <c r="L462" s="2"/>
      <c r="M462" s="2"/>
      <c r="N462" s="2"/>
      <c r="O462" s="2"/>
      <c r="P462" s="2"/>
      <c r="Q462" s="2"/>
      <c r="R462" s="2"/>
      <c r="S462" s="2"/>
      <c r="T462" s="2"/>
      <c r="U462" s="2"/>
      <c r="V462" s="2"/>
      <c r="W462" s="2"/>
      <c r="X462" s="2"/>
      <c r="Y462" s="2"/>
      <c r="Z462" s="2"/>
    </row>
    <row r="463" ht="22.5" customHeight="1">
      <c r="A463" s="7"/>
      <c r="B463" s="7"/>
      <c r="C463" s="7"/>
      <c r="D463" s="7"/>
      <c r="E463" s="7"/>
      <c r="F463" s="7"/>
      <c r="G463" s="7"/>
      <c r="H463" s="2"/>
      <c r="I463" s="7"/>
      <c r="J463" s="7"/>
      <c r="K463" s="2"/>
      <c r="L463" s="2"/>
      <c r="M463" s="2"/>
      <c r="N463" s="2"/>
      <c r="O463" s="2"/>
      <c r="P463" s="2"/>
      <c r="Q463" s="2"/>
      <c r="R463" s="2"/>
      <c r="S463" s="2"/>
      <c r="T463" s="2"/>
      <c r="U463" s="2"/>
      <c r="V463" s="2"/>
      <c r="W463" s="2"/>
      <c r="X463" s="2"/>
      <c r="Y463" s="2"/>
      <c r="Z463" s="2"/>
    </row>
    <row r="464" ht="22.5" customHeight="1">
      <c r="A464" s="7"/>
      <c r="B464" s="7"/>
      <c r="C464" s="7"/>
      <c r="D464" s="7"/>
      <c r="E464" s="7"/>
      <c r="F464" s="7"/>
      <c r="G464" s="7"/>
      <c r="H464" s="2"/>
      <c r="I464" s="7"/>
      <c r="J464" s="7"/>
      <c r="K464" s="2"/>
      <c r="L464" s="2"/>
      <c r="M464" s="2"/>
      <c r="N464" s="2"/>
      <c r="O464" s="2"/>
      <c r="P464" s="2"/>
      <c r="Q464" s="2"/>
      <c r="R464" s="2"/>
      <c r="S464" s="2"/>
      <c r="T464" s="2"/>
      <c r="U464" s="2"/>
      <c r="V464" s="2"/>
      <c r="W464" s="2"/>
      <c r="X464" s="2"/>
      <c r="Y464" s="2"/>
      <c r="Z464" s="2"/>
    </row>
    <row r="465" ht="22.5" customHeight="1">
      <c r="A465" s="7"/>
      <c r="B465" s="7"/>
      <c r="C465" s="7"/>
      <c r="D465" s="7"/>
      <c r="E465" s="7"/>
      <c r="F465" s="7"/>
      <c r="G465" s="7"/>
      <c r="H465" s="2"/>
      <c r="I465" s="7"/>
      <c r="J465" s="7"/>
      <c r="K465" s="2"/>
      <c r="L465" s="2"/>
      <c r="M465" s="2"/>
      <c r="N465" s="2"/>
      <c r="O465" s="2"/>
      <c r="P465" s="2"/>
      <c r="Q465" s="2"/>
      <c r="R465" s="2"/>
      <c r="S465" s="2"/>
      <c r="T465" s="2"/>
      <c r="U465" s="2"/>
      <c r="V465" s="2"/>
      <c r="W465" s="2"/>
      <c r="X465" s="2"/>
      <c r="Y465" s="2"/>
      <c r="Z465" s="2"/>
    </row>
    <row r="466" ht="22.5" customHeight="1">
      <c r="A466" s="7"/>
      <c r="B466" s="7"/>
      <c r="C466" s="7"/>
      <c r="D466" s="7"/>
      <c r="E466" s="7"/>
      <c r="F466" s="7"/>
      <c r="G466" s="7"/>
      <c r="H466" s="2"/>
      <c r="I466" s="7"/>
      <c r="J466" s="7"/>
      <c r="K466" s="2"/>
      <c r="L466" s="2"/>
      <c r="M466" s="2"/>
      <c r="N466" s="2"/>
      <c r="O466" s="2"/>
      <c r="P466" s="2"/>
      <c r="Q466" s="2"/>
      <c r="R466" s="2"/>
      <c r="S466" s="2"/>
      <c r="T466" s="2"/>
      <c r="U466" s="2"/>
      <c r="V466" s="2"/>
      <c r="W466" s="2"/>
      <c r="X466" s="2"/>
      <c r="Y466" s="2"/>
      <c r="Z466" s="2"/>
    </row>
    <row r="467" ht="22.5" customHeight="1">
      <c r="A467" s="7"/>
      <c r="B467" s="7"/>
      <c r="C467" s="7"/>
      <c r="D467" s="7"/>
      <c r="E467" s="7"/>
      <c r="F467" s="7"/>
      <c r="G467" s="7"/>
      <c r="H467" s="2"/>
      <c r="I467" s="7"/>
      <c r="J467" s="7"/>
      <c r="K467" s="2"/>
      <c r="L467" s="2"/>
      <c r="M467" s="2"/>
      <c r="N467" s="2"/>
      <c r="O467" s="2"/>
      <c r="P467" s="2"/>
      <c r="Q467" s="2"/>
      <c r="R467" s="2"/>
      <c r="S467" s="2"/>
      <c r="T467" s="2"/>
      <c r="U467" s="2"/>
      <c r="V467" s="2"/>
      <c r="W467" s="2"/>
      <c r="X467" s="2"/>
      <c r="Y467" s="2"/>
      <c r="Z467" s="2"/>
    </row>
    <row r="468" ht="22.5" customHeight="1">
      <c r="A468" s="7"/>
      <c r="B468" s="7"/>
      <c r="C468" s="7"/>
      <c r="D468" s="7"/>
      <c r="E468" s="7"/>
      <c r="F468" s="7"/>
      <c r="G468" s="7"/>
      <c r="H468" s="2"/>
      <c r="I468" s="7"/>
      <c r="J468" s="7"/>
      <c r="K468" s="2"/>
      <c r="L468" s="2"/>
      <c r="M468" s="2"/>
      <c r="N468" s="2"/>
      <c r="O468" s="2"/>
      <c r="P468" s="2"/>
      <c r="Q468" s="2"/>
      <c r="R468" s="2"/>
      <c r="S468" s="2"/>
      <c r="T468" s="2"/>
      <c r="U468" s="2"/>
      <c r="V468" s="2"/>
      <c r="W468" s="2"/>
      <c r="X468" s="2"/>
      <c r="Y468" s="2"/>
      <c r="Z468" s="2"/>
    </row>
    <row r="469" ht="22.5" customHeight="1">
      <c r="A469" s="7"/>
      <c r="B469" s="7"/>
      <c r="C469" s="7"/>
      <c r="D469" s="7"/>
      <c r="E469" s="7"/>
      <c r="F469" s="7"/>
      <c r="G469" s="7"/>
      <c r="H469" s="2"/>
      <c r="I469" s="7"/>
      <c r="J469" s="7"/>
      <c r="K469" s="2"/>
      <c r="L469" s="2"/>
      <c r="M469" s="2"/>
      <c r="N469" s="2"/>
      <c r="O469" s="2"/>
      <c r="P469" s="2"/>
      <c r="Q469" s="2"/>
      <c r="R469" s="2"/>
      <c r="S469" s="2"/>
      <c r="T469" s="2"/>
      <c r="U469" s="2"/>
      <c r="V469" s="2"/>
      <c r="W469" s="2"/>
      <c r="X469" s="2"/>
      <c r="Y469" s="2"/>
      <c r="Z469" s="2"/>
    </row>
    <row r="470" ht="22.5" customHeight="1">
      <c r="A470" s="7"/>
      <c r="B470" s="7"/>
      <c r="C470" s="7"/>
      <c r="D470" s="7"/>
      <c r="E470" s="7"/>
      <c r="F470" s="7"/>
      <c r="G470" s="7"/>
      <c r="H470" s="2"/>
      <c r="I470" s="7"/>
      <c r="J470" s="7"/>
      <c r="K470" s="2"/>
      <c r="L470" s="2"/>
      <c r="M470" s="2"/>
      <c r="N470" s="2"/>
      <c r="O470" s="2"/>
      <c r="P470" s="2"/>
      <c r="Q470" s="2"/>
      <c r="R470" s="2"/>
      <c r="S470" s="2"/>
      <c r="T470" s="2"/>
      <c r="U470" s="2"/>
      <c r="V470" s="2"/>
      <c r="W470" s="2"/>
      <c r="X470" s="2"/>
      <c r="Y470" s="2"/>
      <c r="Z470" s="2"/>
    </row>
    <row r="471" ht="22.5" customHeight="1">
      <c r="A471" s="7"/>
      <c r="B471" s="7"/>
      <c r="C471" s="7"/>
      <c r="D471" s="7"/>
      <c r="E471" s="7"/>
      <c r="F471" s="7"/>
      <c r="G471" s="7"/>
      <c r="H471" s="2"/>
      <c r="I471" s="7"/>
      <c r="J471" s="7"/>
      <c r="K471" s="2"/>
      <c r="L471" s="2"/>
      <c r="M471" s="2"/>
      <c r="N471" s="2"/>
      <c r="O471" s="2"/>
      <c r="P471" s="2"/>
      <c r="Q471" s="2"/>
      <c r="R471" s="2"/>
      <c r="S471" s="2"/>
      <c r="T471" s="2"/>
      <c r="U471" s="2"/>
      <c r="V471" s="2"/>
      <c r="W471" s="2"/>
      <c r="X471" s="2"/>
      <c r="Y471" s="2"/>
      <c r="Z471" s="2"/>
    </row>
    <row r="472" ht="22.5" customHeight="1">
      <c r="A472" s="7"/>
      <c r="B472" s="7"/>
      <c r="C472" s="7"/>
      <c r="D472" s="7"/>
      <c r="E472" s="7"/>
      <c r="F472" s="7"/>
      <c r="G472" s="7"/>
      <c r="H472" s="2"/>
      <c r="I472" s="7"/>
      <c r="J472" s="7"/>
      <c r="K472" s="2"/>
      <c r="L472" s="2"/>
      <c r="M472" s="2"/>
      <c r="N472" s="2"/>
      <c r="O472" s="2"/>
      <c r="P472" s="2"/>
      <c r="Q472" s="2"/>
      <c r="R472" s="2"/>
      <c r="S472" s="2"/>
      <c r="T472" s="2"/>
      <c r="U472" s="2"/>
      <c r="V472" s="2"/>
      <c r="W472" s="2"/>
      <c r="X472" s="2"/>
      <c r="Y472" s="2"/>
      <c r="Z472" s="2"/>
    </row>
    <row r="473" ht="22.5" customHeight="1">
      <c r="A473" s="7"/>
      <c r="B473" s="7"/>
      <c r="C473" s="7"/>
      <c r="D473" s="7"/>
      <c r="E473" s="7"/>
      <c r="F473" s="7"/>
      <c r="G473" s="7"/>
      <c r="H473" s="2"/>
      <c r="I473" s="7"/>
      <c r="J473" s="7"/>
      <c r="K473" s="2"/>
      <c r="L473" s="2"/>
      <c r="M473" s="2"/>
      <c r="N473" s="2"/>
      <c r="O473" s="2"/>
      <c r="P473" s="2"/>
      <c r="Q473" s="2"/>
      <c r="R473" s="2"/>
      <c r="S473" s="2"/>
      <c r="T473" s="2"/>
      <c r="U473" s="2"/>
      <c r="V473" s="2"/>
      <c r="W473" s="2"/>
      <c r="X473" s="2"/>
      <c r="Y473" s="2"/>
      <c r="Z473" s="2"/>
    </row>
    <row r="474" ht="22.5" customHeight="1">
      <c r="A474" s="7"/>
      <c r="B474" s="7"/>
      <c r="C474" s="7"/>
      <c r="D474" s="7"/>
      <c r="E474" s="7"/>
      <c r="F474" s="7"/>
      <c r="G474" s="7"/>
      <c r="H474" s="2"/>
      <c r="I474" s="7"/>
      <c r="J474" s="7"/>
      <c r="K474" s="2"/>
      <c r="L474" s="2"/>
      <c r="M474" s="2"/>
      <c r="N474" s="2"/>
      <c r="O474" s="2"/>
      <c r="P474" s="2"/>
      <c r="Q474" s="2"/>
      <c r="R474" s="2"/>
      <c r="S474" s="2"/>
      <c r="T474" s="2"/>
      <c r="U474" s="2"/>
      <c r="V474" s="2"/>
      <c r="W474" s="2"/>
      <c r="X474" s="2"/>
      <c r="Y474" s="2"/>
      <c r="Z474" s="2"/>
    </row>
    <row r="475" ht="22.5" customHeight="1">
      <c r="A475" s="7"/>
      <c r="B475" s="7"/>
      <c r="C475" s="7"/>
      <c r="D475" s="7"/>
      <c r="E475" s="7"/>
      <c r="F475" s="7"/>
      <c r="G475" s="7"/>
      <c r="H475" s="2"/>
      <c r="I475" s="7"/>
      <c r="J475" s="7"/>
      <c r="K475" s="2"/>
      <c r="L475" s="2"/>
      <c r="M475" s="2"/>
      <c r="N475" s="2"/>
      <c r="O475" s="2"/>
      <c r="P475" s="2"/>
      <c r="Q475" s="2"/>
      <c r="R475" s="2"/>
      <c r="S475" s="2"/>
      <c r="T475" s="2"/>
      <c r="U475" s="2"/>
      <c r="V475" s="2"/>
      <c r="W475" s="2"/>
      <c r="X475" s="2"/>
      <c r="Y475" s="2"/>
      <c r="Z475" s="2"/>
    </row>
    <row r="476" ht="22.5" customHeight="1">
      <c r="A476" s="7"/>
      <c r="B476" s="7"/>
      <c r="C476" s="7"/>
      <c r="D476" s="7"/>
      <c r="E476" s="7"/>
      <c r="F476" s="7"/>
      <c r="G476" s="7"/>
      <c r="H476" s="2"/>
      <c r="I476" s="7"/>
      <c r="J476" s="7"/>
      <c r="K476" s="2"/>
      <c r="L476" s="2"/>
      <c r="M476" s="2"/>
      <c r="N476" s="2"/>
      <c r="O476" s="2"/>
      <c r="P476" s="2"/>
      <c r="Q476" s="2"/>
      <c r="R476" s="2"/>
      <c r="S476" s="2"/>
      <c r="T476" s="2"/>
      <c r="U476" s="2"/>
      <c r="V476" s="2"/>
      <c r="W476" s="2"/>
      <c r="X476" s="2"/>
      <c r="Y476" s="2"/>
      <c r="Z476" s="2"/>
    </row>
    <row r="477" ht="22.5" customHeight="1">
      <c r="A477" s="7"/>
      <c r="B477" s="7"/>
      <c r="C477" s="7"/>
      <c r="D477" s="7"/>
      <c r="E477" s="7"/>
      <c r="F477" s="7"/>
      <c r="G477" s="7"/>
      <c r="H477" s="2"/>
      <c r="I477" s="7"/>
      <c r="J477" s="7"/>
      <c r="K477" s="2"/>
      <c r="L477" s="2"/>
      <c r="M477" s="2"/>
      <c r="N477" s="2"/>
      <c r="O477" s="2"/>
      <c r="P477" s="2"/>
      <c r="Q477" s="2"/>
      <c r="R477" s="2"/>
      <c r="S477" s="2"/>
      <c r="T477" s="2"/>
      <c r="U477" s="2"/>
      <c r="V477" s="2"/>
      <c r="W477" s="2"/>
      <c r="X477" s="2"/>
      <c r="Y477" s="2"/>
      <c r="Z477" s="2"/>
    </row>
    <row r="478" ht="22.5" customHeight="1">
      <c r="A478" s="7"/>
      <c r="B478" s="7"/>
      <c r="C478" s="7"/>
      <c r="D478" s="7"/>
      <c r="E478" s="7"/>
      <c r="F478" s="7"/>
      <c r="G478" s="7"/>
      <c r="H478" s="2"/>
      <c r="I478" s="7"/>
      <c r="J478" s="7"/>
      <c r="K478" s="2"/>
      <c r="L478" s="2"/>
      <c r="M478" s="2"/>
      <c r="N478" s="2"/>
      <c r="O478" s="2"/>
      <c r="P478" s="2"/>
      <c r="Q478" s="2"/>
      <c r="R478" s="2"/>
      <c r="S478" s="2"/>
      <c r="T478" s="2"/>
      <c r="U478" s="2"/>
      <c r="V478" s="2"/>
      <c r="W478" s="2"/>
      <c r="X478" s="2"/>
      <c r="Y478" s="2"/>
      <c r="Z478" s="2"/>
    </row>
    <row r="479" ht="22.5" customHeight="1">
      <c r="A479" s="7"/>
      <c r="B479" s="7"/>
      <c r="C479" s="7"/>
      <c r="D479" s="7"/>
      <c r="E479" s="7"/>
      <c r="F479" s="7"/>
      <c r="G479" s="7"/>
      <c r="H479" s="2"/>
      <c r="I479" s="7"/>
      <c r="J479" s="7"/>
      <c r="K479" s="2"/>
      <c r="L479" s="2"/>
      <c r="M479" s="2"/>
      <c r="N479" s="2"/>
      <c r="O479" s="2"/>
      <c r="P479" s="2"/>
      <c r="Q479" s="2"/>
      <c r="R479" s="2"/>
      <c r="S479" s="2"/>
      <c r="T479" s="2"/>
      <c r="U479" s="2"/>
      <c r="V479" s="2"/>
      <c r="W479" s="2"/>
      <c r="X479" s="2"/>
      <c r="Y479" s="2"/>
      <c r="Z479" s="2"/>
    </row>
    <row r="480" ht="22.5" customHeight="1">
      <c r="A480" s="7"/>
      <c r="B480" s="7"/>
      <c r="C480" s="7"/>
      <c r="D480" s="7"/>
      <c r="E480" s="7"/>
      <c r="F480" s="7"/>
      <c r="G480" s="7"/>
      <c r="H480" s="2"/>
      <c r="I480" s="7"/>
      <c r="J480" s="7"/>
      <c r="K480" s="2"/>
      <c r="L480" s="2"/>
      <c r="M480" s="2"/>
      <c r="N480" s="2"/>
      <c r="O480" s="2"/>
      <c r="P480" s="2"/>
      <c r="Q480" s="2"/>
      <c r="R480" s="2"/>
      <c r="S480" s="2"/>
      <c r="T480" s="2"/>
      <c r="U480" s="2"/>
      <c r="V480" s="2"/>
      <c r="W480" s="2"/>
      <c r="X480" s="2"/>
      <c r="Y480" s="2"/>
      <c r="Z480" s="2"/>
    </row>
    <row r="481" ht="22.5" customHeight="1">
      <c r="A481" s="7"/>
      <c r="B481" s="7"/>
      <c r="C481" s="7"/>
      <c r="D481" s="7"/>
      <c r="E481" s="7"/>
      <c r="F481" s="7"/>
      <c r="G481" s="7"/>
      <c r="H481" s="2"/>
      <c r="I481" s="7"/>
      <c r="J481" s="7"/>
      <c r="K481" s="2"/>
      <c r="L481" s="2"/>
      <c r="M481" s="2"/>
      <c r="N481" s="2"/>
      <c r="O481" s="2"/>
      <c r="P481" s="2"/>
      <c r="Q481" s="2"/>
      <c r="R481" s="2"/>
      <c r="S481" s="2"/>
      <c r="T481" s="2"/>
      <c r="U481" s="2"/>
      <c r="V481" s="2"/>
      <c r="W481" s="2"/>
      <c r="X481" s="2"/>
      <c r="Y481" s="2"/>
      <c r="Z481" s="2"/>
    </row>
    <row r="482" ht="22.5" customHeight="1">
      <c r="A482" s="7"/>
      <c r="B482" s="7"/>
      <c r="C482" s="7"/>
      <c r="D482" s="7"/>
      <c r="E482" s="7"/>
      <c r="F482" s="7"/>
      <c r="G482" s="7"/>
      <c r="H482" s="2"/>
      <c r="I482" s="7"/>
      <c r="J482" s="7"/>
      <c r="K482" s="2"/>
      <c r="L482" s="2"/>
      <c r="M482" s="2"/>
      <c r="N482" s="2"/>
      <c r="O482" s="2"/>
      <c r="P482" s="2"/>
      <c r="Q482" s="2"/>
      <c r="R482" s="2"/>
      <c r="S482" s="2"/>
      <c r="T482" s="2"/>
      <c r="U482" s="2"/>
      <c r="V482" s="2"/>
      <c r="W482" s="2"/>
      <c r="X482" s="2"/>
      <c r="Y482" s="2"/>
      <c r="Z482" s="2"/>
    </row>
    <row r="483" ht="22.5" customHeight="1">
      <c r="A483" s="7"/>
      <c r="B483" s="7"/>
      <c r="C483" s="7"/>
      <c r="D483" s="7"/>
      <c r="E483" s="7"/>
      <c r="F483" s="7"/>
      <c r="G483" s="7"/>
      <c r="H483" s="2"/>
      <c r="I483" s="7"/>
      <c r="J483" s="7"/>
      <c r="K483" s="2"/>
      <c r="L483" s="2"/>
      <c r="M483" s="2"/>
      <c r="N483" s="2"/>
      <c r="O483" s="2"/>
      <c r="P483" s="2"/>
      <c r="Q483" s="2"/>
      <c r="R483" s="2"/>
      <c r="S483" s="2"/>
      <c r="T483" s="2"/>
      <c r="U483" s="2"/>
      <c r="V483" s="2"/>
      <c r="W483" s="2"/>
      <c r="X483" s="2"/>
      <c r="Y483" s="2"/>
      <c r="Z483" s="2"/>
    </row>
    <row r="484" ht="22.5" customHeight="1">
      <c r="A484" s="7"/>
      <c r="B484" s="7"/>
      <c r="C484" s="7"/>
      <c r="D484" s="7"/>
      <c r="E484" s="7"/>
      <c r="F484" s="7"/>
      <c r="G484" s="7"/>
      <c r="H484" s="2"/>
      <c r="I484" s="7"/>
      <c r="J484" s="7"/>
      <c r="K484" s="2"/>
      <c r="L484" s="2"/>
      <c r="M484" s="2"/>
      <c r="N484" s="2"/>
      <c r="O484" s="2"/>
      <c r="P484" s="2"/>
      <c r="Q484" s="2"/>
      <c r="R484" s="2"/>
      <c r="S484" s="2"/>
      <c r="T484" s="2"/>
      <c r="U484" s="2"/>
      <c r="V484" s="2"/>
      <c r="W484" s="2"/>
      <c r="X484" s="2"/>
      <c r="Y484" s="2"/>
      <c r="Z484" s="2"/>
    </row>
    <row r="485" ht="22.5" customHeight="1">
      <c r="A485" s="7"/>
      <c r="B485" s="7"/>
      <c r="C485" s="7"/>
      <c r="D485" s="7"/>
      <c r="E485" s="7"/>
      <c r="F485" s="7"/>
      <c r="G485" s="7"/>
      <c r="H485" s="2"/>
      <c r="I485" s="7"/>
      <c r="J485" s="7"/>
      <c r="K485" s="2"/>
      <c r="L485" s="2"/>
      <c r="M485" s="2"/>
      <c r="N485" s="2"/>
      <c r="O485" s="2"/>
      <c r="P485" s="2"/>
      <c r="Q485" s="2"/>
      <c r="R485" s="2"/>
      <c r="S485" s="2"/>
      <c r="T485" s="2"/>
      <c r="U485" s="2"/>
      <c r="V485" s="2"/>
      <c r="W485" s="2"/>
      <c r="X485" s="2"/>
      <c r="Y485" s="2"/>
      <c r="Z485" s="2"/>
    </row>
    <row r="486" ht="22.5" customHeight="1">
      <c r="A486" s="7"/>
      <c r="B486" s="7"/>
      <c r="C486" s="7"/>
      <c r="D486" s="7"/>
      <c r="E486" s="7"/>
      <c r="F486" s="7"/>
      <c r="G486" s="7"/>
      <c r="H486" s="2"/>
      <c r="I486" s="7"/>
      <c r="J486" s="7"/>
      <c r="K486" s="2"/>
      <c r="L486" s="2"/>
      <c r="M486" s="2"/>
      <c r="N486" s="2"/>
      <c r="O486" s="2"/>
      <c r="P486" s="2"/>
      <c r="Q486" s="2"/>
      <c r="R486" s="2"/>
      <c r="S486" s="2"/>
      <c r="T486" s="2"/>
      <c r="U486" s="2"/>
      <c r="V486" s="2"/>
      <c r="W486" s="2"/>
      <c r="X486" s="2"/>
      <c r="Y486" s="2"/>
      <c r="Z486" s="2"/>
    </row>
    <row r="487" ht="22.5" customHeight="1">
      <c r="A487" s="7"/>
      <c r="B487" s="7"/>
      <c r="C487" s="7"/>
      <c r="D487" s="7"/>
      <c r="E487" s="7"/>
      <c r="F487" s="7"/>
      <c r="G487" s="7"/>
      <c r="H487" s="2"/>
      <c r="I487" s="7"/>
      <c r="J487" s="7"/>
      <c r="K487" s="2"/>
      <c r="L487" s="2"/>
      <c r="M487" s="2"/>
      <c r="N487" s="2"/>
      <c r="O487" s="2"/>
      <c r="P487" s="2"/>
      <c r="Q487" s="2"/>
      <c r="R487" s="2"/>
      <c r="S487" s="2"/>
      <c r="T487" s="2"/>
      <c r="U487" s="2"/>
      <c r="V487" s="2"/>
      <c r="W487" s="2"/>
      <c r="X487" s="2"/>
      <c r="Y487" s="2"/>
      <c r="Z487" s="2"/>
    </row>
    <row r="488" ht="22.5" customHeight="1">
      <c r="A488" s="7"/>
      <c r="B488" s="7"/>
      <c r="C488" s="7"/>
      <c r="D488" s="7"/>
      <c r="E488" s="7"/>
      <c r="F488" s="7"/>
      <c r="G488" s="7"/>
      <c r="H488" s="2"/>
      <c r="I488" s="7"/>
      <c r="J488" s="7"/>
      <c r="K488" s="2"/>
      <c r="L488" s="2"/>
      <c r="M488" s="2"/>
      <c r="N488" s="2"/>
      <c r="O488" s="2"/>
      <c r="P488" s="2"/>
      <c r="Q488" s="2"/>
      <c r="R488" s="2"/>
      <c r="S488" s="2"/>
      <c r="T488" s="2"/>
      <c r="U488" s="2"/>
      <c r="V488" s="2"/>
      <c r="W488" s="2"/>
      <c r="X488" s="2"/>
      <c r="Y488" s="2"/>
      <c r="Z488" s="2"/>
    </row>
    <row r="489" ht="22.5" customHeight="1">
      <c r="A489" s="7"/>
      <c r="B489" s="7"/>
      <c r="C489" s="7"/>
      <c r="D489" s="7"/>
      <c r="E489" s="7"/>
      <c r="F489" s="7"/>
      <c r="G489" s="7"/>
      <c r="H489" s="2"/>
      <c r="I489" s="7"/>
      <c r="J489" s="7"/>
      <c r="K489" s="2"/>
      <c r="L489" s="2"/>
      <c r="M489" s="2"/>
      <c r="N489" s="2"/>
      <c r="O489" s="2"/>
      <c r="P489" s="2"/>
      <c r="Q489" s="2"/>
      <c r="R489" s="2"/>
      <c r="S489" s="2"/>
      <c r="T489" s="2"/>
      <c r="U489" s="2"/>
      <c r="V489" s="2"/>
      <c r="W489" s="2"/>
      <c r="X489" s="2"/>
      <c r="Y489" s="2"/>
      <c r="Z489" s="2"/>
    </row>
    <row r="490" ht="22.5" customHeight="1">
      <c r="A490" s="7"/>
      <c r="B490" s="7"/>
      <c r="C490" s="7"/>
      <c r="D490" s="7"/>
      <c r="E490" s="7"/>
      <c r="F490" s="7"/>
      <c r="G490" s="7"/>
      <c r="H490" s="2"/>
      <c r="I490" s="7"/>
      <c r="J490" s="7"/>
      <c r="K490" s="2"/>
      <c r="L490" s="2"/>
      <c r="M490" s="2"/>
      <c r="N490" s="2"/>
      <c r="O490" s="2"/>
      <c r="P490" s="2"/>
      <c r="Q490" s="2"/>
      <c r="R490" s="2"/>
      <c r="S490" s="2"/>
      <c r="T490" s="2"/>
      <c r="U490" s="2"/>
      <c r="V490" s="2"/>
      <c r="W490" s="2"/>
      <c r="X490" s="2"/>
      <c r="Y490" s="2"/>
      <c r="Z490" s="2"/>
    </row>
    <row r="491" ht="22.5" customHeight="1">
      <c r="A491" s="7"/>
      <c r="B491" s="7"/>
      <c r="C491" s="7"/>
      <c r="D491" s="7"/>
      <c r="E491" s="7"/>
      <c r="F491" s="7"/>
      <c r="G491" s="7"/>
      <c r="H491" s="2"/>
      <c r="I491" s="7"/>
      <c r="J491" s="7"/>
      <c r="K491" s="2"/>
      <c r="L491" s="2"/>
      <c r="M491" s="2"/>
      <c r="N491" s="2"/>
      <c r="O491" s="2"/>
      <c r="P491" s="2"/>
      <c r="Q491" s="2"/>
      <c r="R491" s="2"/>
      <c r="S491" s="2"/>
      <c r="T491" s="2"/>
      <c r="U491" s="2"/>
      <c r="V491" s="2"/>
      <c r="W491" s="2"/>
      <c r="X491" s="2"/>
      <c r="Y491" s="2"/>
      <c r="Z491" s="2"/>
    </row>
    <row r="492" ht="22.5" customHeight="1">
      <c r="A492" s="7"/>
      <c r="B492" s="7"/>
      <c r="C492" s="7"/>
      <c r="D492" s="7"/>
      <c r="E492" s="7"/>
      <c r="F492" s="7"/>
      <c r="G492" s="7"/>
      <c r="H492" s="2"/>
      <c r="I492" s="7"/>
      <c r="J492" s="7"/>
      <c r="K492" s="2"/>
      <c r="L492" s="2"/>
      <c r="M492" s="2"/>
      <c r="N492" s="2"/>
      <c r="O492" s="2"/>
      <c r="P492" s="2"/>
      <c r="Q492" s="2"/>
      <c r="R492" s="2"/>
      <c r="S492" s="2"/>
      <c r="T492" s="2"/>
      <c r="U492" s="2"/>
      <c r="V492" s="2"/>
      <c r="W492" s="2"/>
      <c r="X492" s="2"/>
      <c r="Y492" s="2"/>
      <c r="Z492" s="2"/>
    </row>
    <row r="493" ht="22.5" customHeight="1">
      <c r="A493" s="7"/>
      <c r="B493" s="7"/>
      <c r="C493" s="7"/>
      <c r="D493" s="7"/>
      <c r="E493" s="7"/>
      <c r="F493" s="7"/>
      <c r="G493" s="7"/>
      <c r="H493" s="2"/>
      <c r="I493" s="7"/>
      <c r="J493" s="7"/>
      <c r="K493" s="2"/>
      <c r="L493" s="2"/>
      <c r="M493" s="2"/>
      <c r="N493" s="2"/>
      <c r="O493" s="2"/>
      <c r="P493" s="2"/>
      <c r="Q493" s="2"/>
      <c r="R493" s="2"/>
      <c r="S493" s="2"/>
      <c r="T493" s="2"/>
      <c r="U493" s="2"/>
      <c r="V493" s="2"/>
      <c r="W493" s="2"/>
      <c r="X493" s="2"/>
      <c r="Y493" s="2"/>
      <c r="Z493" s="2"/>
    </row>
    <row r="494" ht="22.5" customHeight="1">
      <c r="A494" s="7"/>
      <c r="B494" s="7"/>
      <c r="C494" s="7"/>
      <c r="D494" s="7"/>
      <c r="E494" s="7"/>
      <c r="F494" s="7"/>
      <c r="G494" s="7"/>
      <c r="H494" s="2"/>
      <c r="I494" s="7"/>
      <c r="J494" s="7"/>
      <c r="K494" s="2"/>
      <c r="L494" s="2"/>
      <c r="M494" s="2"/>
      <c r="N494" s="2"/>
      <c r="O494" s="2"/>
      <c r="P494" s="2"/>
      <c r="Q494" s="2"/>
      <c r="R494" s="2"/>
      <c r="S494" s="2"/>
      <c r="T494" s="2"/>
      <c r="U494" s="2"/>
      <c r="V494" s="2"/>
      <c r="W494" s="2"/>
      <c r="X494" s="2"/>
      <c r="Y494" s="2"/>
      <c r="Z494" s="2"/>
    </row>
    <row r="495" ht="22.5" customHeight="1">
      <c r="A495" s="7"/>
      <c r="B495" s="7"/>
      <c r="C495" s="7"/>
      <c r="D495" s="7"/>
      <c r="E495" s="7"/>
      <c r="F495" s="7"/>
      <c r="G495" s="7"/>
      <c r="H495" s="2"/>
      <c r="I495" s="7"/>
      <c r="J495" s="7"/>
      <c r="K495" s="2"/>
      <c r="L495" s="2"/>
      <c r="M495" s="2"/>
      <c r="N495" s="2"/>
      <c r="O495" s="2"/>
      <c r="P495" s="2"/>
      <c r="Q495" s="2"/>
      <c r="R495" s="2"/>
      <c r="S495" s="2"/>
      <c r="T495" s="2"/>
      <c r="U495" s="2"/>
      <c r="V495" s="2"/>
      <c r="W495" s="2"/>
      <c r="X495" s="2"/>
      <c r="Y495" s="2"/>
      <c r="Z495" s="2"/>
    </row>
    <row r="496" ht="22.5" customHeight="1">
      <c r="A496" s="7"/>
      <c r="B496" s="7"/>
      <c r="C496" s="7"/>
      <c r="D496" s="7"/>
      <c r="E496" s="7"/>
      <c r="F496" s="7"/>
      <c r="G496" s="7"/>
      <c r="H496" s="2"/>
      <c r="I496" s="7"/>
      <c r="J496" s="7"/>
      <c r="K496" s="2"/>
      <c r="L496" s="2"/>
      <c r="M496" s="2"/>
      <c r="N496" s="2"/>
      <c r="O496" s="2"/>
      <c r="P496" s="2"/>
      <c r="Q496" s="2"/>
      <c r="R496" s="2"/>
      <c r="S496" s="2"/>
      <c r="T496" s="2"/>
      <c r="U496" s="2"/>
      <c r="V496" s="2"/>
      <c r="W496" s="2"/>
      <c r="X496" s="2"/>
      <c r="Y496" s="2"/>
      <c r="Z496" s="2"/>
    </row>
    <row r="497" ht="22.5" customHeight="1">
      <c r="A497" s="7"/>
      <c r="B497" s="7"/>
      <c r="C497" s="7"/>
      <c r="D497" s="7"/>
      <c r="E497" s="7"/>
      <c r="F497" s="7"/>
      <c r="G497" s="7"/>
      <c r="H497" s="2"/>
      <c r="I497" s="7"/>
      <c r="J497" s="7"/>
      <c r="K497" s="2"/>
      <c r="L497" s="2"/>
      <c r="M497" s="2"/>
      <c r="N497" s="2"/>
      <c r="O497" s="2"/>
      <c r="P497" s="2"/>
      <c r="Q497" s="2"/>
      <c r="R497" s="2"/>
      <c r="S497" s="2"/>
      <c r="T497" s="2"/>
      <c r="U497" s="2"/>
      <c r="V497" s="2"/>
      <c r="W497" s="2"/>
      <c r="X497" s="2"/>
      <c r="Y497" s="2"/>
      <c r="Z497" s="2"/>
    </row>
    <row r="498" ht="22.5" customHeight="1">
      <c r="A498" s="7"/>
      <c r="B498" s="7"/>
      <c r="C498" s="7"/>
      <c r="D498" s="7"/>
      <c r="E498" s="7"/>
      <c r="F498" s="7"/>
      <c r="G498" s="7"/>
      <c r="H498" s="2"/>
      <c r="I498" s="7"/>
      <c r="J498" s="7"/>
      <c r="K498" s="2"/>
      <c r="L498" s="2"/>
      <c r="M498" s="2"/>
      <c r="N498" s="2"/>
      <c r="O498" s="2"/>
      <c r="P498" s="2"/>
      <c r="Q498" s="2"/>
      <c r="R498" s="2"/>
      <c r="S498" s="2"/>
      <c r="T498" s="2"/>
      <c r="U498" s="2"/>
      <c r="V498" s="2"/>
      <c r="W498" s="2"/>
      <c r="X498" s="2"/>
      <c r="Y498" s="2"/>
      <c r="Z498" s="2"/>
    </row>
    <row r="499" ht="22.5" customHeight="1">
      <c r="A499" s="7"/>
      <c r="B499" s="7"/>
      <c r="C499" s="7"/>
      <c r="D499" s="7"/>
      <c r="E499" s="7"/>
      <c r="F499" s="7"/>
      <c r="G499" s="7"/>
      <c r="H499" s="2"/>
      <c r="I499" s="7"/>
      <c r="J499" s="7"/>
      <c r="K499" s="2"/>
      <c r="L499" s="2"/>
      <c r="M499" s="2"/>
      <c r="N499" s="2"/>
      <c r="O499" s="2"/>
      <c r="P499" s="2"/>
      <c r="Q499" s="2"/>
      <c r="R499" s="2"/>
      <c r="S499" s="2"/>
      <c r="T499" s="2"/>
      <c r="U499" s="2"/>
      <c r="V499" s="2"/>
      <c r="W499" s="2"/>
      <c r="X499" s="2"/>
      <c r="Y499" s="2"/>
      <c r="Z499" s="2"/>
    </row>
    <row r="500" ht="22.5" customHeight="1">
      <c r="A500" s="7"/>
      <c r="B500" s="7"/>
      <c r="C500" s="7"/>
      <c r="D500" s="7"/>
      <c r="E500" s="7"/>
      <c r="F500" s="7"/>
      <c r="G500" s="7"/>
      <c r="H500" s="2"/>
      <c r="I500" s="7"/>
      <c r="J500" s="7"/>
      <c r="K500" s="2"/>
      <c r="L500" s="2"/>
      <c r="M500" s="2"/>
      <c r="N500" s="2"/>
      <c r="O500" s="2"/>
      <c r="P500" s="2"/>
      <c r="Q500" s="2"/>
      <c r="R500" s="2"/>
      <c r="S500" s="2"/>
      <c r="T500" s="2"/>
      <c r="U500" s="2"/>
      <c r="V500" s="2"/>
      <c r="W500" s="2"/>
      <c r="X500" s="2"/>
      <c r="Y500" s="2"/>
      <c r="Z500" s="2"/>
    </row>
    <row r="501" ht="22.5" customHeight="1">
      <c r="A501" s="7"/>
      <c r="B501" s="7"/>
      <c r="C501" s="7"/>
      <c r="D501" s="7"/>
      <c r="E501" s="7"/>
      <c r="F501" s="7"/>
      <c r="G501" s="7"/>
      <c r="H501" s="2"/>
      <c r="I501" s="7"/>
      <c r="J501" s="7"/>
      <c r="K501" s="2"/>
      <c r="L501" s="2"/>
      <c r="M501" s="2"/>
      <c r="N501" s="2"/>
      <c r="O501" s="2"/>
      <c r="P501" s="2"/>
      <c r="Q501" s="2"/>
      <c r="R501" s="2"/>
      <c r="S501" s="2"/>
      <c r="T501" s="2"/>
      <c r="U501" s="2"/>
      <c r="V501" s="2"/>
      <c r="W501" s="2"/>
      <c r="X501" s="2"/>
      <c r="Y501" s="2"/>
      <c r="Z501" s="2"/>
    </row>
    <row r="502" ht="22.5" customHeight="1">
      <c r="A502" s="7"/>
      <c r="B502" s="7"/>
      <c r="C502" s="7"/>
      <c r="D502" s="7"/>
      <c r="E502" s="7"/>
      <c r="F502" s="7"/>
      <c r="G502" s="7"/>
      <c r="H502" s="2"/>
      <c r="I502" s="7"/>
      <c r="J502" s="7"/>
      <c r="K502" s="2"/>
      <c r="L502" s="2"/>
      <c r="M502" s="2"/>
      <c r="N502" s="2"/>
      <c r="O502" s="2"/>
      <c r="P502" s="2"/>
      <c r="Q502" s="2"/>
      <c r="R502" s="2"/>
      <c r="S502" s="2"/>
      <c r="T502" s="2"/>
      <c r="U502" s="2"/>
      <c r="V502" s="2"/>
      <c r="W502" s="2"/>
      <c r="X502" s="2"/>
      <c r="Y502" s="2"/>
      <c r="Z502" s="2"/>
    </row>
    <row r="503" ht="22.5" customHeight="1">
      <c r="A503" s="7"/>
      <c r="B503" s="7"/>
      <c r="C503" s="7"/>
      <c r="D503" s="7"/>
      <c r="E503" s="7"/>
      <c r="F503" s="7"/>
      <c r="G503" s="7"/>
      <c r="H503" s="2"/>
      <c r="I503" s="7"/>
      <c r="J503" s="7"/>
      <c r="K503" s="2"/>
      <c r="L503" s="2"/>
      <c r="M503" s="2"/>
      <c r="N503" s="2"/>
      <c r="O503" s="2"/>
      <c r="P503" s="2"/>
      <c r="Q503" s="2"/>
      <c r="R503" s="2"/>
      <c r="S503" s="2"/>
      <c r="T503" s="2"/>
      <c r="U503" s="2"/>
      <c r="V503" s="2"/>
      <c r="W503" s="2"/>
      <c r="X503" s="2"/>
      <c r="Y503" s="2"/>
      <c r="Z503" s="2"/>
    </row>
    <row r="504" ht="22.5" customHeight="1">
      <c r="A504" s="7"/>
      <c r="B504" s="7"/>
      <c r="C504" s="7"/>
      <c r="D504" s="7"/>
      <c r="E504" s="7"/>
      <c r="F504" s="7"/>
      <c r="G504" s="7"/>
      <c r="H504" s="2"/>
      <c r="I504" s="7"/>
      <c r="J504" s="7"/>
      <c r="K504" s="2"/>
      <c r="L504" s="2"/>
      <c r="M504" s="2"/>
      <c r="N504" s="2"/>
      <c r="O504" s="2"/>
      <c r="P504" s="2"/>
      <c r="Q504" s="2"/>
      <c r="R504" s="2"/>
      <c r="S504" s="2"/>
      <c r="T504" s="2"/>
      <c r="U504" s="2"/>
      <c r="V504" s="2"/>
      <c r="W504" s="2"/>
      <c r="X504" s="2"/>
      <c r="Y504" s="2"/>
      <c r="Z504" s="2"/>
    </row>
    <row r="505" ht="22.5" customHeight="1">
      <c r="A505" s="7"/>
      <c r="B505" s="7"/>
      <c r="C505" s="7"/>
      <c r="D505" s="7"/>
      <c r="E505" s="7"/>
      <c r="F505" s="7"/>
      <c r="G505" s="7"/>
      <c r="H505" s="2"/>
      <c r="I505" s="7"/>
      <c r="J505" s="7"/>
      <c r="K505" s="2"/>
      <c r="L505" s="2"/>
      <c r="M505" s="2"/>
      <c r="N505" s="2"/>
      <c r="O505" s="2"/>
      <c r="P505" s="2"/>
      <c r="Q505" s="2"/>
      <c r="R505" s="2"/>
      <c r="S505" s="2"/>
      <c r="T505" s="2"/>
      <c r="U505" s="2"/>
      <c r="V505" s="2"/>
      <c r="W505" s="2"/>
      <c r="X505" s="2"/>
      <c r="Y505" s="2"/>
      <c r="Z505" s="2"/>
    </row>
    <row r="506" ht="22.5" customHeight="1">
      <c r="A506" s="7"/>
      <c r="B506" s="7"/>
      <c r="C506" s="7"/>
      <c r="D506" s="7"/>
      <c r="E506" s="7"/>
      <c r="F506" s="7"/>
      <c r="G506" s="7"/>
      <c r="H506" s="2"/>
      <c r="I506" s="7"/>
      <c r="J506" s="7"/>
      <c r="K506" s="2"/>
      <c r="L506" s="2"/>
      <c r="M506" s="2"/>
      <c r="N506" s="2"/>
      <c r="O506" s="2"/>
      <c r="P506" s="2"/>
      <c r="Q506" s="2"/>
      <c r="R506" s="2"/>
      <c r="S506" s="2"/>
      <c r="T506" s="2"/>
      <c r="U506" s="2"/>
      <c r="V506" s="2"/>
      <c r="W506" s="2"/>
      <c r="X506" s="2"/>
      <c r="Y506" s="2"/>
      <c r="Z506" s="2"/>
    </row>
    <row r="507" ht="22.5" customHeight="1">
      <c r="A507" s="7"/>
      <c r="B507" s="7"/>
      <c r="C507" s="7"/>
      <c r="D507" s="7"/>
      <c r="E507" s="7"/>
      <c r="F507" s="7"/>
      <c r="G507" s="7"/>
      <c r="H507" s="2"/>
      <c r="I507" s="7"/>
      <c r="J507" s="7"/>
      <c r="K507" s="2"/>
      <c r="L507" s="2"/>
      <c r="M507" s="2"/>
      <c r="N507" s="2"/>
      <c r="O507" s="2"/>
      <c r="P507" s="2"/>
      <c r="Q507" s="2"/>
      <c r="R507" s="2"/>
      <c r="S507" s="2"/>
      <c r="T507" s="2"/>
      <c r="U507" s="2"/>
      <c r="V507" s="2"/>
      <c r="W507" s="2"/>
      <c r="X507" s="2"/>
      <c r="Y507" s="2"/>
      <c r="Z507" s="2"/>
    </row>
    <row r="508" ht="22.5" customHeight="1">
      <c r="A508" s="7"/>
      <c r="B508" s="7"/>
      <c r="C508" s="7"/>
      <c r="D508" s="7"/>
      <c r="E508" s="7"/>
      <c r="F508" s="7"/>
      <c r="G508" s="7"/>
      <c r="H508" s="2"/>
      <c r="I508" s="7"/>
      <c r="J508" s="7"/>
      <c r="K508" s="2"/>
      <c r="L508" s="2"/>
      <c r="M508" s="2"/>
      <c r="N508" s="2"/>
      <c r="O508" s="2"/>
      <c r="P508" s="2"/>
      <c r="Q508" s="2"/>
      <c r="R508" s="2"/>
      <c r="S508" s="2"/>
      <c r="T508" s="2"/>
      <c r="U508" s="2"/>
      <c r="V508" s="2"/>
      <c r="W508" s="2"/>
      <c r="X508" s="2"/>
      <c r="Y508" s="2"/>
      <c r="Z508" s="2"/>
    </row>
    <row r="509" ht="22.5" customHeight="1">
      <c r="A509" s="7"/>
      <c r="B509" s="7"/>
      <c r="C509" s="7"/>
      <c r="D509" s="7"/>
      <c r="E509" s="7"/>
      <c r="F509" s="7"/>
      <c r="G509" s="7"/>
      <c r="H509" s="2"/>
      <c r="I509" s="7"/>
      <c r="J509" s="7"/>
      <c r="K509" s="2"/>
      <c r="L509" s="2"/>
      <c r="M509" s="2"/>
      <c r="N509" s="2"/>
      <c r="O509" s="2"/>
      <c r="P509" s="2"/>
      <c r="Q509" s="2"/>
      <c r="R509" s="2"/>
      <c r="S509" s="2"/>
      <c r="T509" s="2"/>
      <c r="U509" s="2"/>
      <c r="V509" s="2"/>
      <c r="W509" s="2"/>
      <c r="X509" s="2"/>
      <c r="Y509" s="2"/>
      <c r="Z509" s="2"/>
    </row>
    <row r="510" ht="22.5" customHeight="1">
      <c r="A510" s="7"/>
      <c r="B510" s="7"/>
      <c r="C510" s="7"/>
      <c r="D510" s="7"/>
      <c r="E510" s="7"/>
      <c r="F510" s="7"/>
      <c r="G510" s="7"/>
      <c r="H510" s="2"/>
      <c r="I510" s="7"/>
      <c r="J510" s="7"/>
      <c r="K510" s="2"/>
      <c r="L510" s="2"/>
      <c r="M510" s="2"/>
      <c r="N510" s="2"/>
      <c r="O510" s="2"/>
      <c r="P510" s="2"/>
      <c r="Q510" s="2"/>
      <c r="R510" s="2"/>
      <c r="S510" s="2"/>
      <c r="T510" s="2"/>
      <c r="U510" s="2"/>
      <c r="V510" s="2"/>
      <c r="W510" s="2"/>
      <c r="X510" s="2"/>
      <c r="Y510" s="2"/>
      <c r="Z510" s="2"/>
    </row>
    <row r="511" ht="22.5" customHeight="1">
      <c r="A511" s="7"/>
      <c r="B511" s="7"/>
      <c r="C511" s="7"/>
      <c r="D511" s="7"/>
      <c r="E511" s="7"/>
      <c r="F511" s="7"/>
      <c r="G511" s="7"/>
      <c r="H511" s="2"/>
      <c r="I511" s="7"/>
      <c r="J511" s="7"/>
      <c r="K511" s="2"/>
      <c r="L511" s="2"/>
      <c r="M511" s="2"/>
      <c r="N511" s="2"/>
      <c r="O511" s="2"/>
      <c r="P511" s="2"/>
      <c r="Q511" s="2"/>
      <c r="R511" s="2"/>
      <c r="S511" s="2"/>
      <c r="T511" s="2"/>
      <c r="U511" s="2"/>
      <c r="V511" s="2"/>
      <c r="W511" s="2"/>
      <c r="X511" s="2"/>
      <c r="Y511" s="2"/>
      <c r="Z511" s="2"/>
    </row>
    <row r="512" ht="22.5" customHeight="1">
      <c r="A512" s="7"/>
      <c r="B512" s="7"/>
      <c r="C512" s="7"/>
      <c r="D512" s="7"/>
      <c r="E512" s="7"/>
      <c r="F512" s="7"/>
      <c r="G512" s="7"/>
      <c r="H512" s="2"/>
      <c r="I512" s="7"/>
      <c r="J512" s="7"/>
      <c r="K512" s="2"/>
      <c r="L512" s="2"/>
      <c r="M512" s="2"/>
      <c r="N512" s="2"/>
      <c r="O512" s="2"/>
      <c r="P512" s="2"/>
      <c r="Q512" s="2"/>
      <c r="R512" s="2"/>
      <c r="S512" s="2"/>
      <c r="T512" s="2"/>
      <c r="U512" s="2"/>
      <c r="V512" s="2"/>
      <c r="W512" s="2"/>
      <c r="X512" s="2"/>
      <c r="Y512" s="2"/>
      <c r="Z512" s="2"/>
    </row>
    <row r="513" ht="22.5" customHeight="1">
      <c r="A513" s="7"/>
      <c r="B513" s="7"/>
      <c r="C513" s="7"/>
      <c r="D513" s="7"/>
      <c r="E513" s="7"/>
      <c r="F513" s="7"/>
      <c r="G513" s="7"/>
      <c r="H513" s="2"/>
      <c r="I513" s="7"/>
      <c r="J513" s="7"/>
      <c r="K513" s="2"/>
      <c r="L513" s="2"/>
      <c r="M513" s="2"/>
      <c r="N513" s="2"/>
      <c r="O513" s="2"/>
      <c r="P513" s="2"/>
      <c r="Q513" s="2"/>
      <c r="R513" s="2"/>
      <c r="S513" s="2"/>
      <c r="T513" s="2"/>
      <c r="U513" s="2"/>
      <c r="V513" s="2"/>
      <c r="W513" s="2"/>
      <c r="X513" s="2"/>
      <c r="Y513" s="2"/>
      <c r="Z513" s="2"/>
    </row>
    <row r="514" ht="22.5" customHeight="1">
      <c r="A514" s="7"/>
      <c r="B514" s="7"/>
      <c r="C514" s="7"/>
      <c r="D514" s="7"/>
      <c r="E514" s="7"/>
      <c r="F514" s="7"/>
      <c r="G514" s="7"/>
      <c r="H514" s="2"/>
      <c r="I514" s="7"/>
      <c r="J514" s="7"/>
      <c r="K514" s="2"/>
      <c r="L514" s="2"/>
      <c r="M514" s="2"/>
      <c r="N514" s="2"/>
      <c r="O514" s="2"/>
      <c r="P514" s="2"/>
      <c r="Q514" s="2"/>
      <c r="R514" s="2"/>
      <c r="S514" s="2"/>
      <c r="T514" s="2"/>
      <c r="U514" s="2"/>
      <c r="V514" s="2"/>
      <c r="W514" s="2"/>
      <c r="X514" s="2"/>
      <c r="Y514" s="2"/>
      <c r="Z514" s="2"/>
    </row>
    <row r="515" ht="22.5" customHeight="1">
      <c r="A515" s="7"/>
      <c r="B515" s="7"/>
      <c r="C515" s="7"/>
      <c r="D515" s="7"/>
      <c r="E515" s="7"/>
      <c r="F515" s="7"/>
      <c r="G515" s="7"/>
      <c r="H515" s="2"/>
      <c r="I515" s="7"/>
      <c r="J515" s="7"/>
      <c r="K515" s="2"/>
      <c r="L515" s="2"/>
      <c r="M515" s="2"/>
      <c r="N515" s="2"/>
      <c r="O515" s="2"/>
      <c r="P515" s="2"/>
      <c r="Q515" s="2"/>
      <c r="R515" s="2"/>
      <c r="S515" s="2"/>
      <c r="T515" s="2"/>
      <c r="U515" s="2"/>
      <c r="V515" s="2"/>
      <c r="W515" s="2"/>
      <c r="X515" s="2"/>
      <c r="Y515" s="2"/>
      <c r="Z515" s="2"/>
    </row>
    <row r="516" ht="22.5" customHeight="1">
      <c r="A516" s="7"/>
      <c r="B516" s="7"/>
      <c r="C516" s="7"/>
      <c r="D516" s="7"/>
      <c r="E516" s="7"/>
      <c r="F516" s="7"/>
      <c r="G516" s="7"/>
      <c r="H516" s="2"/>
      <c r="I516" s="7"/>
      <c r="J516" s="7"/>
      <c r="K516" s="2"/>
      <c r="L516" s="2"/>
      <c r="M516" s="2"/>
      <c r="N516" s="2"/>
      <c r="O516" s="2"/>
      <c r="P516" s="2"/>
      <c r="Q516" s="2"/>
      <c r="R516" s="2"/>
      <c r="S516" s="2"/>
      <c r="T516" s="2"/>
      <c r="U516" s="2"/>
      <c r="V516" s="2"/>
      <c r="W516" s="2"/>
      <c r="X516" s="2"/>
      <c r="Y516" s="2"/>
      <c r="Z516" s="2"/>
    </row>
    <row r="517" ht="22.5" customHeight="1">
      <c r="A517" s="7"/>
      <c r="B517" s="7"/>
      <c r="C517" s="7"/>
      <c r="D517" s="7"/>
      <c r="E517" s="7"/>
      <c r="F517" s="7"/>
      <c r="G517" s="7"/>
      <c r="H517" s="2"/>
      <c r="I517" s="7"/>
      <c r="J517" s="7"/>
      <c r="K517" s="2"/>
      <c r="L517" s="2"/>
      <c r="M517" s="2"/>
      <c r="N517" s="2"/>
      <c r="O517" s="2"/>
      <c r="P517" s="2"/>
      <c r="Q517" s="2"/>
      <c r="R517" s="2"/>
      <c r="S517" s="2"/>
      <c r="T517" s="2"/>
      <c r="U517" s="2"/>
      <c r="V517" s="2"/>
      <c r="W517" s="2"/>
      <c r="X517" s="2"/>
      <c r="Y517" s="2"/>
      <c r="Z517" s="2"/>
    </row>
    <row r="518" ht="22.5" customHeight="1">
      <c r="A518" s="7"/>
      <c r="B518" s="7"/>
      <c r="C518" s="7"/>
      <c r="D518" s="7"/>
      <c r="E518" s="7"/>
      <c r="F518" s="7"/>
      <c r="G518" s="7"/>
      <c r="H518" s="2"/>
      <c r="I518" s="7"/>
      <c r="J518" s="7"/>
      <c r="K518" s="2"/>
      <c r="L518" s="2"/>
      <c r="M518" s="2"/>
      <c r="N518" s="2"/>
      <c r="O518" s="2"/>
      <c r="P518" s="2"/>
      <c r="Q518" s="2"/>
      <c r="R518" s="2"/>
      <c r="S518" s="2"/>
      <c r="T518" s="2"/>
      <c r="U518" s="2"/>
      <c r="V518" s="2"/>
      <c r="W518" s="2"/>
      <c r="X518" s="2"/>
      <c r="Y518" s="2"/>
      <c r="Z518" s="2"/>
    </row>
    <row r="519" ht="22.5" customHeight="1">
      <c r="A519" s="7"/>
      <c r="B519" s="7"/>
      <c r="C519" s="7"/>
      <c r="D519" s="7"/>
      <c r="E519" s="7"/>
      <c r="F519" s="7"/>
      <c r="G519" s="7"/>
      <c r="H519" s="2"/>
      <c r="I519" s="7"/>
      <c r="J519" s="7"/>
      <c r="K519" s="2"/>
      <c r="L519" s="2"/>
      <c r="M519" s="2"/>
      <c r="N519" s="2"/>
      <c r="O519" s="2"/>
      <c r="P519" s="2"/>
      <c r="Q519" s="2"/>
      <c r="R519" s="2"/>
      <c r="S519" s="2"/>
      <c r="T519" s="2"/>
      <c r="U519" s="2"/>
      <c r="V519" s="2"/>
      <c r="W519" s="2"/>
      <c r="X519" s="2"/>
      <c r="Y519" s="2"/>
      <c r="Z519" s="2"/>
    </row>
    <row r="520" ht="22.5" customHeight="1">
      <c r="A520" s="7"/>
      <c r="B520" s="7"/>
      <c r="C520" s="7"/>
      <c r="D520" s="7"/>
      <c r="E520" s="7"/>
      <c r="F520" s="7"/>
      <c r="G520" s="7"/>
      <c r="H520" s="2"/>
      <c r="I520" s="7"/>
      <c r="J520" s="7"/>
      <c r="K520" s="2"/>
      <c r="L520" s="2"/>
      <c r="M520" s="2"/>
      <c r="N520" s="2"/>
      <c r="O520" s="2"/>
      <c r="P520" s="2"/>
      <c r="Q520" s="2"/>
      <c r="R520" s="2"/>
      <c r="S520" s="2"/>
      <c r="T520" s="2"/>
      <c r="U520" s="2"/>
      <c r="V520" s="2"/>
      <c r="W520" s="2"/>
      <c r="X520" s="2"/>
      <c r="Y520" s="2"/>
      <c r="Z520" s="2"/>
    </row>
    <row r="521" ht="22.5" customHeight="1">
      <c r="A521" s="7"/>
      <c r="B521" s="7"/>
      <c r="C521" s="7"/>
      <c r="D521" s="7"/>
      <c r="E521" s="7"/>
      <c r="F521" s="7"/>
      <c r="G521" s="7"/>
      <c r="H521" s="2"/>
      <c r="I521" s="7"/>
      <c r="J521" s="7"/>
      <c r="K521" s="2"/>
      <c r="L521" s="2"/>
      <c r="M521" s="2"/>
      <c r="N521" s="2"/>
      <c r="O521" s="2"/>
      <c r="P521" s="2"/>
      <c r="Q521" s="2"/>
      <c r="R521" s="2"/>
      <c r="S521" s="2"/>
      <c r="T521" s="2"/>
      <c r="U521" s="2"/>
      <c r="V521" s="2"/>
      <c r="W521" s="2"/>
      <c r="X521" s="2"/>
      <c r="Y521" s="2"/>
      <c r="Z521" s="2"/>
    </row>
    <row r="522" ht="22.5" customHeight="1">
      <c r="A522" s="7"/>
      <c r="B522" s="7"/>
      <c r="C522" s="7"/>
      <c r="D522" s="7"/>
      <c r="E522" s="7"/>
      <c r="F522" s="7"/>
      <c r="G522" s="7"/>
      <c r="H522" s="2"/>
      <c r="I522" s="7"/>
      <c r="J522" s="7"/>
      <c r="K522" s="2"/>
      <c r="L522" s="2"/>
      <c r="M522" s="2"/>
      <c r="N522" s="2"/>
      <c r="O522" s="2"/>
      <c r="P522" s="2"/>
      <c r="Q522" s="2"/>
      <c r="R522" s="2"/>
      <c r="S522" s="2"/>
      <c r="T522" s="2"/>
      <c r="U522" s="2"/>
      <c r="V522" s="2"/>
      <c r="W522" s="2"/>
      <c r="X522" s="2"/>
      <c r="Y522" s="2"/>
      <c r="Z522" s="2"/>
    </row>
    <row r="523" ht="22.5" customHeight="1">
      <c r="A523" s="7"/>
      <c r="B523" s="7"/>
      <c r="C523" s="7"/>
      <c r="D523" s="7"/>
      <c r="E523" s="7"/>
      <c r="F523" s="7"/>
      <c r="G523" s="7"/>
      <c r="H523" s="2"/>
      <c r="I523" s="7"/>
      <c r="J523" s="7"/>
      <c r="K523" s="2"/>
      <c r="L523" s="2"/>
      <c r="M523" s="2"/>
      <c r="N523" s="2"/>
      <c r="O523" s="2"/>
      <c r="P523" s="2"/>
      <c r="Q523" s="2"/>
      <c r="R523" s="2"/>
      <c r="S523" s="2"/>
      <c r="T523" s="2"/>
      <c r="U523" s="2"/>
      <c r="V523" s="2"/>
      <c r="W523" s="2"/>
      <c r="X523" s="2"/>
      <c r="Y523" s="2"/>
      <c r="Z523" s="2"/>
    </row>
    <row r="524" ht="22.5" customHeight="1">
      <c r="A524" s="7"/>
      <c r="B524" s="7"/>
      <c r="C524" s="7"/>
      <c r="D524" s="7"/>
      <c r="E524" s="7"/>
      <c r="F524" s="7"/>
      <c r="G524" s="7"/>
      <c r="H524" s="2"/>
      <c r="I524" s="7"/>
      <c r="J524" s="7"/>
      <c r="K524" s="2"/>
      <c r="L524" s="2"/>
      <c r="M524" s="2"/>
      <c r="N524" s="2"/>
      <c r="O524" s="2"/>
      <c r="P524" s="2"/>
      <c r="Q524" s="2"/>
      <c r="R524" s="2"/>
      <c r="S524" s="2"/>
      <c r="T524" s="2"/>
      <c r="U524" s="2"/>
      <c r="V524" s="2"/>
      <c r="W524" s="2"/>
      <c r="X524" s="2"/>
      <c r="Y524" s="2"/>
      <c r="Z524" s="2"/>
    </row>
    <row r="525" ht="22.5" customHeight="1">
      <c r="A525" s="7"/>
      <c r="B525" s="7"/>
      <c r="C525" s="7"/>
      <c r="D525" s="7"/>
      <c r="E525" s="7"/>
      <c r="F525" s="7"/>
      <c r="G525" s="7"/>
      <c r="H525" s="2"/>
      <c r="I525" s="7"/>
      <c r="J525" s="7"/>
      <c r="K525" s="2"/>
      <c r="L525" s="2"/>
      <c r="M525" s="2"/>
      <c r="N525" s="2"/>
      <c r="O525" s="2"/>
      <c r="P525" s="2"/>
      <c r="Q525" s="2"/>
      <c r="R525" s="2"/>
      <c r="S525" s="2"/>
      <c r="T525" s="2"/>
      <c r="U525" s="2"/>
      <c r="V525" s="2"/>
      <c r="W525" s="2"/>
      <c r="X525" s="2"/>
      <c r="Y525" s="2"/>
      <c r="Z525" s="2"/>
    </row>
    <row r="526" ht="22.5" customHeight="1">
      <c r="A526" s="7"/>
      <c r="B526" s="7"/>
      <c r="C526" s="7"/>
      <c r="D526" s="7"/>
      <c r="E526" s="7"/>
      <c r="F526" s="7"/>
      <c r="G526" s="7"/>
      <c r="H526" s="2"/>
      <c r="I526" s="7"/>
      <c r="J526" s="7"/>
      <c r="K526" s="2"/>
      <c r="L526" s="2"/>
      <c r="M526" s="2"/>
      <c r="N526" s="2"/>
      <c r="O526" s="2"/>
      <c r="P526" s="2"/>
      <c r="Q526" s="2"/>
      <c r="R526" s="2"/>
      <c r="S526" s="2"/>
      <c r="T526" s="2"/>
      <c r="U526" s="2"/>
      <c r="V526" s="2"/>
      <c r="W526" s="2"/>
      <c r="X526" s="2"/>
      <c r="Y526" s="2"/>
      <c r="Z526" s="2"/>
    </row>
    <row r="527" ht="22.5" customHeight="1">
      <c r="A527" s="7"/>
      <c r="B527" s="7"/>
      <c r="C527" s="7"/>
      <c r="D527" s="7"/>
      <c r="E527" s="7"/>
      <c r="F527" s="7"/>
      <c r="G527" s="7"/>
      <c r="H527" s="2"/>
      <c r="I527" s="7"/>
      <c r="J527" s="7"/>
      <c r="K527" s="2"/>
      <c r="L527" s="2"/>
      <c r="M527" s="2"/>
      <c r="N527" s="2"/>
      <c r="O527" s="2"/>
      <c r="P527" s="2"/>
      <c r="Q527" s="2"/>
      <c r="R527" s="2"/>
      <c r="S527" s="2"/>
      <c r="T527" s="2"/>
      <c r="U527" s="2"/>
      <c r="V527" s="2"/>
      <c r="W527" s="2"/>
      <c r="X527" s="2"/>
      <c r="Y527" s="2"/>
      <c r="Z527" s="2"/>
    </row>
    <row r="528" ht="22.5" customHeight="1">
      <c r="A528" s="7"/>
      <c r="B528" s="7"/>
      <c r="C528" s="7"/>
      <c r="D528" s="7"/>
      <c r="E528" s="7"/>
      <c r="F528" s="7"/>
      <c r="G528" s="7"/>
      <c r="H528" s="2"/>
      <c r="I528" s="7"/>
      <c r="J528" s="7"/>
      <c r="K528" s="2"/>
      <c r="L528" s="2"/>
      <c r="M528" s="2"/>
      <c r="N528" s="2"/>
      <c r="O528" s="2"/>
      <c r="P528" s="2"/>
      <c r="Q528" s="2"/>
      <c r="R528" s="2"/>
      <c r="S528" s="2"/>
      <c r="T528" s="2"/>
      <c r="U528" s="2"/>
      <c r="V528" s="2"/>
      <c r="W528" s="2"/>
      <c r="X528" s="2"/>
      <c r="Y528" s="2"/>
      <c r="Z528" s="2"/>
    </row>
    <row r="529" ht="22.5" customHeight="1">
      <c r="A529" s="7"/>
      <c r="B529" s="7"/>
      <c r="C529" s="7"/>
      <c r="D529" s="7"/>
      <c r="E529" s="7"/>
      <c r="F529" s="7"/>
      <c r="G529" s="7"/>
      <c r="H529" s="2"/>
      <c r="I529" s="7"/>
      <c r="J529" s="7"/>
      <c r="K529" s="2"/>
      <c r="L529" s="2"/>
      <c r="M529" s="2"/>
      <c r="N529" s="2"/>
      <c r="O529" s="2"/>
      <c r="P529" s="2"/>
      <c r="Q529" s="2"/>
      <c r="R529" s="2"/>
      <c r="S529" s="2"/>
      <c r="T529" s="2"/>
      <c r="U529" s="2"/>
      <c r="V529" s="2"/>
      <c r="W529" s="2"/>
      <c r="X529" s="2"/>
      <c r="Y529" s="2"/>
      <c r="Z529" s="2"/>
    </row>
    <row r="530" ht="22.5" customHeight="1">
      <c r="A530" s="7"/>
      <c r="B530" s="7"/>
      <c r="C530" s="7"/>
      <c r="D530" s="7"/>
      <c r="E530" s="7"/>
      <c r="F530" s="7"/>
      <c r="G530" s="7"/>
      <c r="H530" s="2"/>
      <c r="I530" s="7"/>
      <c r="J530" s="7"/>
      <c r="K530" s="2"/>
      <c r="L530" s="2"/>
      <c r="M530" s="2"/>
      <c r="N530" s="2"/>
      <c r="O530" s="2"/>
      <c r="P530" s="2"/>
      <c r="Q530" s="2"/>
      <c r="R530" s="2"/>
      <c r="S530" s="2"/>
      <c r="T530" s="2"/>
      <c r="U530" s="2"/>
      <c r="V530" s="2"/>
      <c r="W530" s="2"/>
      <c r="X530" s="2"/>
      <c r="Y530" s="2"/>
      <c r="Z530" s="2"/>
    </row>
    <row r="531" ht="22.5" customHeight="1">
      <c r="A531" s="7"/>
      <c r="B531" s="7"/>
      <c r="C531" s="7"/>
      <c r="D531" s="7"/>
      <c r="E531" s="7"/>
      <c r="F531" s="7"/>
      <c r="G531" s="7"/>
      <c r="H531" s="2"/>
      <c r="I531" s="7"/>
      <c r="J531" s="7"/>
      <c r="K531" s="2"/>
      <c r="L531" s="2"/>
      <c r="M531" s="2"/>
      <c r="N531" s="2"/>
      <c r="O531" s="2"/>
      <c r="P531" s="2"/>
      <c r="Q531" s="2"/>
      <c r="R531" s="2"/>
      <c r="S531" s="2"/>
      <c r="T531" s="2"/>
      <c r="U531" s="2"/>
      <c r="V531" s="2"/>
      <c r="W531" s="2"/>
      <c r="X531" s="2"/>
      <c r="Y531" s="2"/>
      <c r="Z531" s="2"/>
    </row>
    <row r="532" ht="22.5" customHeight="1">
      <c r="A532" s="7"/>
      <c r="B532" s="7"/>
      <c r="C532" s="7"/>
      <c r="D532" s="7"/>
      <c r="E532" s="7"/>
      <c r="F532" s="7"/>
      <c r="G532" s="7"/>
      <c r="H532" s="2"/>
      <c r="I532" s="7"/>
      <c r="J532" s="7"/>
      <c r="K532" s="2"/>
      <c r="L532" s="2"/>
      <c r="M532" s="2"/>
      <c r="N532" s="2"/>
      <c r="O532" s="2"/>
      <c r="P532" s="2"/>
      <c r="Q532" s="2"/>
      <c r="R532" s="2"/>
      <c r="S532" s="2"/>
      <c r="T532" s="2"/>
      <c r="U532" s="2"/>
      <c r="V532" s="2"/>
      <c r="W532" s="2"/>
      <c r="X532" s="2"/>
      <c r="Y532" s="2"/>
      <c r="Z532" s="2"/>
    </row>
    <row r="533" ht="22.5" customHeight="1">
      <c r="A533" s="7"/>
      <c r="B533" s="7"/>
      <c r="C533" s="7"/>
      <c r="D533" s="7"/>
      <c r="E533" s="7"/>
      <c r="F533" s="7"/>
      <c r="G533" s="7"/>
      <c r="H533" s="2"/>
      <c r="I533" s="7"/>
      <c r="J533" s="7"/>
      <c r="K533" s="2"/>
      <c r="L533" s="2"/>
      <c r="M533" s="2"/>
      <c r="N533" s="2"/>
      <c r="O533" s="2"/>
      <c r="P533" s="2"/>
      <c r="Q533" s="2"/>
      <c r="R533" s="2"/>
      <c r="S533" s="2"/>
      <c r="T533" s="2"/>
      <c r="U533" s="2"/>
      <c r="V533" s="2"/>
      <c r="W533" s="2"/>
      <c r="X533" s="2"/>
      <c r="Y533" s="2"/>
      <c r="Z533" s="2"/>
    </row>
    <row r="534" ht="22.5" customHeight="1">
      <c r="A534" s="7"/>
      <c r="B534" s="7"/>
      <c r="C534" s="7"/>
      <c r="D534" s="7"/>
      <c r="E534" s="7"/>
      <c r="F534" s="7"/>
      <c r="G534" s="7"/>
      <c r="H534" s="2"/>
      <c r="I534" s="7"/>
      <c r="J534" s="7"/>
      <c r="K534" s="2"/>
      <c r="L534" s="2"/>
      <c r="M534" s="2"/>
      <c r="N534" s="2"/>
      <c r="O534" s="2"/>
      <c r="P534" s="2"/>
      <c r="Q534" s="2"/>
      <c r="R534" s="2"/>
      <c r="S534" s="2"/>
      <c r="T534" s="2"/>
      <c r="U534" s="2"/>
      <c r="V534" s="2"/>
      <c r="W534" s="2"/>
      <c r="X534" s="2"/>
      <c r="Y534" s="2"/>
      <c r="Z534" s="2"/>
    </row>
    <row r="535" ht="22.5" customHeight="1">
      <c r="A535" s="7"/>
      <c r="B535" s="7"/>
      <c r="C535" s="7"/>
      <c r="D535" s="7"/>
      <c r="E535" s="7"/>
      <c r="F535" s="7"/>
      <c r="G535" s="7"/>
      <c r="H535" s="2"/>
      <c r="I535" s="7"/>
      <c r="J535" s="7"/>
      <c r="K535" s="2"/>
      <c r="L535" s="2"/>
      <c r="M535" s="2"/>
      <c r="N535" s="2"/>
      <c r="O535" s="2"/>
      <c r="P535" s="2"/>
      <c r="Q535" s="2"/>
      <c r="R535" s="2"/>
      <c r="S535" s="2"/>
      <c r="T535" s="2"/>
      <c r="U535" s="2"/>
      <c r="V535" s="2"/>
      <c r="W535" s="2"/>
      <c r="X535" s="2"/>
      <c r="Y535" s="2"/>
      <c r="Z535" s="2"/>
    </row>
    <row r="536" ht="22.5" customHeight="1">
      <c r="A536" s="7"/>
      <c r="B536" s="7"/>
      <c r="C536" s="7"/>
      <c r="D536" s="7"/>
      <c r="E536" s="7"/>
      <c r="F536" s="7"/>
      <c r="G536" s="7"/>
      <c r="H536" s="2"/>
      <c r="I536" s="7"/>
      <c r="J536" s="7"/>
      <c r="K536" s="2"/>
      <c r="L536" s="2"/>
      <c r="M536" s="2"/>
      <c r="N536" s="2"/>
      <c r="O536" s="2"/>
      <c r="P536" s="2"/>
      <c r="Q536" s="2"/>
      <c r="R536" s="2"/>
      <c r="S536" s="2"/>
      <c r="T536" s="2"/>
      <c r="U536" s="2"/>
      <c r="V536" s="2"/>
      <c r="W536" s="2"/>
      <c r="X536" s="2"/>
      <c r="Y536" s="2"/>
      <c r="Z536" s="2"/>
    </row>
    <row r="537" ht="22.5" customHeight="1">
      <c r="A537" s="7"/>
      <c r="B537" s="7"/>
      <c r="C537" s="7"/>
      <c r="D537" s="7"/>
      <c r="E537" s="7"/>
      <c r="F537" s="7"/>
      <c r="G537" s="7"/>
      <c r="H537" s="2"/>
      <c r="I537" s="7"/>
      <c r="J537" s="7"/>
      <c r="K537" s="2"/>
      <c r="L537" s="2"/>
      <c r="M537" s="2"/>
      <c r="N537" s="2"/>
      <c r="O537" s="2"/>
      <c r="P537" s="2"/>
      <c r="Q537" s="2"/>
      <c r="R537" s="2"/>
      <c r="S537" s="2"/>
      <c r="T537" s="2"/>
      <c r="U537" s="2"/>
      <c r="V537" s="2"/>
      <c r="W537" s="2"/>
      <c r="X537" s="2"/>
      <c r="Y537" s="2"/>
      <c r="Z537" s="2"/>
    </row>
    <row r="538" ht="22.5" customHeight="1">
      <c r="A538" s="7"/>
      <c r="B538" s="7"/>
      <c r="C538" s="7"/>
      <c r="D538" s="7"/>
      <c r="E538" s="7"/>
      <c r="F538" s="7"/>
      <c r="G538" s="7"/>
      <c r="H538" s="2"/>
      <c r="I538" s="7"/>
      <c r="J538" s="7"/>
      <c r="K538" s="2"/>
      <c r="L538" s="2"/>
      <c r="M538" s="2"/>
      <c r="N538" s="2"/>
      <c r="O538" s="2"/>
      <c r="P538" s="2"/>
      <c r="Q538" s="2"/>
      <c r="R538" s="2"/>
      <c r="S538" s="2"/>
      <c r="T538" s="2"/>
      <c r="U538" s="2"/>
      <c r="V538" s="2"/>
      <c r="W538" s="2"/>
      <c r="X538" s="2"/>
      <c r="Y538" s="2"/>
      <c r="Z538" s="2"/>
    </row>
    <row r="539" ht="22.5" customHeight="1">
      <c r="A539" s="7"/>
      <c r="B539" s="7"/>
      <c r="C539" s="7"/>
      <c r="D539" s="7"/>
      <c r="E539" s="7"/>
      <c r="F539" s="7"/>
      <c r="G539" s="7"/>
      <c r="H539" s="2"/>
      <c r="I539" s="7"/>
      <c r="J539" s="7"/>
      <c r="K539" s="2"/>
      <c r="L539" s="2"/>
      <c r="M539" s="2"/>
      <c r="N539" s="2"/>
      <c r="O539" s="2"/>
      <c r="P539" s="2"/>
      <c r="Q539" s="2"/>
      <c r="R539" s="2"/>
      <c r="S539" s="2"/>
      <c r="T539" s="2"/>
      <c r="U539" s="2"/>
      <c r="V539" s="2"/>
      <c r="W539" s="2"/>
      <c r="X539" s="2"/>
      <c r="Y539" s="2"/>
      <c r="Z539" s="2"/>
    </row>
    <row r="540" ht="22.5" customHeight="1">
      <c r="A540" s="7"/>
      <c r="B540" s="7"/>
      <c r="C540" s="7"/>
      <c r="D540" s="7"/>
      <c r="E540" s="7"/>
      <c r="F540" s="7"/>
      <c r="G540" s="7"/>
      <c r="H540" s="2"/>
      <c r="I540" s="7"/>
      <c r="J540" s="7"/>
      <c r="K540" s="2"/>
      <c r="L540" s="2"/>
      <c r="M540" s="2"/>
      <c r="N540" s="2"/>
      <c r="O540" s="2"/>
      <c r="P540" s="2"/>
      <c r="Q540" s="2"/>
      <c r="R540" s="2"/>
      <c r="S540" s="2"/>
      <c r="T540" s="2"/>
      <c r="U540" s="2"/>
      <c r="V540" s="2"/>
      <c r="W540" s="2"/>
      <c r="X540" s="2"/>
      <c r="Y540" s="2"/>
      <c r="Z540" s="2"/>
    </row>
    <row r="541" ht="22.5" customHeight="1">
      <c r="A541" s="7"/>
      <c r="B541" s="7"/>
      <c r="C541" s="7"/>
      <c r="D541" s="7"/>
      <c r="E541" s="7"/>
      <c r="F541" s="7"/>
      <c r="G541" s="7"/>
      <c r="H541" s="2"/>
      <c r="I541" s="7"/>
      <c r="J541" s="7"/>
      <c r="K541" s="2"/>
      <c r="L541" s="2"/>
      <c r="M541" s="2"/>
      <c r="N541" s="2"/>
      <c r="O541" s="2"/>
      <c r="P541" s="2"/>
      <c r="Q541" s="2"/>
      <c r="R541" s="2"/>
      <c r="S541" s="2"/>
      <c r="T541" s="2"/>
      <c r="U541" s="2"/>
      <c r="V541" s="2"/>
      <c r="W541" s="2"/>
      <c r="X541" s="2"/>
      <c r="Y541" s="2"/>
      <c r="Z541" s="2"/>
    </row>
    <row r="542" ht="22.5" customHeight="1">
      <c r="A542" s="7"/>
      <c r="B542" s="7"/>
      <c r="C542" s="7"/>
      <c r="D542" s="7"/>
      <c r="E542" s="7"/>
      <c r="F542" s="7"/>
      <c r="G542" s="7"/>
      <c r="H542" s="2"/>
      <c r="I542" s="7"/>
      <c r="J542" s="7"/>
      <c r="K542" s="2"/>
      <c r="L542" s="2"/>
      <c r="M542" s="2"/>
      <c r="N542" s="2"/>
      <c r="O542" s="2"/>
      <c r="P542" s="2"/>
      <c r="Q542" s="2"/>
      <c r="R542" s="2"/>
      <c r="S542" s="2"/>
      <c r="T542" s="2"/>
      <c r="U542" s="2"/>
      <c r="V542" s="2"/>
      <c r="W542" s="2"/>
      <c r="X542" s="2"/>
      <c r="Y542" s="2"/>
      <c r="Z542" s="2"/>
    </row>
    <row r="543" ht="22.5" customHeight="1">
      <c r="A543" s="7"/>
      <c r="B543" s="7"/>
      <c r="C543" s="7"/>
      <c r="D543" s="7"/>
      <c r="E543" s="7"/>
      <c r="F543" s="7"/>
      <c r="G543" s="7"/>
      <c r="H543" s="2"/>
      <c r="I543" s="7"/>
      <c r="J543" s="7"/>
      <c r="K543" s="2"/>
      <c r="L543" s="2"/>
      <c r="M543" s="2"/>
      <c r="N543" s="2"/>
      <c r="O543" s="2"/>
      <c r="P543" s="2"/>
      <c r="Q543" s="2"/>
      <c r="R543" s="2"/>
      <c r="S543" s="2"/>
      <c r="T543" s="2"/>
      <c r="U543" s="2"/>
      <c r="V543" s="2"/>
      <c r="W543" s="2"/>
      <c r="X543" s="2"/>
      <c r="Y543" s="2"/>
      <c r="Z543" s="2"/>
    </row>
    <row r="544" ht="22.5" customHeight="1">
      <c r="A544" s="7"/>
      <c r="B544" s="7"/>
      <c r="C544" s="7"/>
      <c r="D544" s="7"/>
      <c r="E544" s="7"/>
      <c r="F544" s="7"/>
      <c r="G544" s="7"/>
      <c r="H544" s="2"/>
      <c r="I544" s="7"/>
      <c r="J544" s="7"/>
      <c r="K544" s="2"/>
      <c r="L544" s="2"/>
      <c r="M544" s="2"/>
      <c r="N544" s="2"/>
      <c r="O544" s="2"/>
      <c r="P544" s="2"/>
      <c r="Q544" s="2"/>
      <c r="R544" s="2"/>
      <c r="S544" s="2"/>
      <c r="T544" s="2"/>
      <c r="U544" s="2"/>
      <c r="V544" s="2"/>
      <c r="W544" s="2"/>
      <c r="X544" s="2"/>
      <c r="Y544" s="2"/>
      <c r="Z544" s="2"/>
    </row>
    <row r="545" ht="22.5" customHeight="1">
      <c r="A545" s="7"/>
      <c r="B545" s="7"/>
      <c r="C545" s="7"/>
      <c r="D545" s="7"/>
      <c r="E545" s="7"/>
      <c r="F545" s="7"/>
      <c r="G545" s="7"/>
      <c r="H545" s="2"/>
      <c r="I545" s="7"/>
      <c r="J545" s="7"/>
      <c r="K545" s="2"/>
      <c r="L545" s="2"/>
      <c r="M545" s="2"/>
      <c r="N545" s="2"/>
      <c r="O545" s="2"/>
      <c r="P545" s="2"/>
      <c r="Q545" s="2"/>
      <c r="R545" s="2"/>
      <c r="S545" s="2"/>
      <c r="T545" s="2"/>
      <c r="U545" s="2"/>
      <c r="V545" s="2"/>
      <c r="W545" s="2"/>
      <c r="X545" s="2"/>
      <c r="Y545" s="2"/>
      <c r="Z545" s="2"/>
    </row>
    <row r="546" ht="22.5" customHeight="1">
      <c r="A546" s="7"/>
      <c r="B546" s="7"/>
      <c r="C546" s="7"/>
      <c r="D546" s="7"/>
      <c r="E546" s="7"/>
      <c r="F546" s="7"/>
      <c r="G546" s="7"/>
      <c r="H546" s="2"/>
      <c r="I546" s="7"/>
      <c r="J546" s="7"/>
      <c r="K546" s="2"/>
      <c r="L546" s="2"/>
      <c r="M546" s="2"/>
      <c r="N546" s="2"/>
      <c r="O546" s="2"/>
      <c r="P546" s="2"/>
      <c r="Q546" s="2"/>
      <c r="R546" s="2"/>
      <c r="S546" s="2"/>
      <c r="T546" s="2"/>
      <c r="U546" s="2"/>
      <c r="V546" s="2"/>
      <c r="W546" s="2"/>
      <c r="X546" s="2"/>
      <c r="Y546" s="2"/>
      <c r="Z546" s="2"/>
    </row>
    <row r="547" ht="22.5" customHeight="1">
      <c r="A547" s="7"/>
      <c r="B547" s="7"/>
      <c r="C547" s="7"/>
      <c r="D547" s="7"/>
      <c r="E547" s="7"/>
      <c r="F547" s="7"/>
      <c r="G547" s="7"/>
      <c r="H547" s="2"/>
      <c r="I547" s="7"/>
      <c r="J547" s="7"/>
      <c r="K547" s="2"/>
      <c r="L547" s="2"/>
      <c r="M547" s="2"/>
      <c r="N547" s="2"/>
      <c r="O547" s="2"/>
      <c r="P547" s="2"/>
      <c r="Q547" s="2"/>
      <c r="R547" s="2"/>
      <c r="S547" s="2"/>
      <c r="T547" s="2"/>
      <c r="U547" s="2"/>
      <c r="V547" s="2"/>
      <c r="W547" s="2"/>
      <c r="X547" s="2"/>
      <c r="Y547" s="2"/>
      <c r="Z547" s="2"/>
    </row>
    <row r="548" ht="22.5" customHeight="1">
      <c r="A548" s="7"/>
      <c r="B548" s="7"/>
      <c r="C548" s="7"/>
      <c r="D548" s="7"/>
      <c r="E548" s="7"/>
      <c r="F548" s="7"/>
      <c r="G548" s="7"/>
      <c r="H548" s="2"/>
      <c r="I548" s="7"/>
      <c r="J548" s="7"/>
      <c r="K548" s="2"/>
      <c r="L548" s="2"/>
      <c r="M548" s="2"/>
      <c r="N548" s="2"/>
      <c r="O548" s="2"/>
      <c r="P548" s="2"/>
      <c r="Q548" s="2"/>
      <c r="R548" s="2"/>
      <c r="S548" s="2"/>
      <c r="T548" s="2"/>
      <c r="U548" s="2"/>
      <c r="V548" s="2"/>
      <c r="W548" s="2"/>
      <c r="X548" s="2"/>
      <c r="Y548" s="2"/>
      <c r="Z548" s="2"/>
    </row>
    <row r="549" ht="22.5" customHeight="1">
      <c r="A549" s="7"/>
      <c r="B549" s="7"/>
      <c r="C549" s="7"/>
      <c r="D549" s="7"/>
      <c r="E549" s="7"/>
      <c r="F549" s="7"/>
      <c r="G549" s="7"/>
      <c r="H549" s="2"/>
      <c r="I549" s="7"/>
      <c r="J549" s="7"/>
      <c r="K549" s="2"/>
      <c r="L549" s="2"/>
      <c r="M549" s="2"/>
      <c r="N549" s="2"/>
      <c r="O549" s="2"/>
      <c r="P549" s="2"/>
      <c r="Q549" s="2"/>
      <c r="R549" s="2"/>
      <c r="S549" s="2"/>
      <c r="T549" s="2"/>
      <c r="U549" s="2"/>
      <c r="V549" s="2"/>
      <c r="W549" s="2"/>
      <c r="X549" s="2"/>
      <c r="Y549" s="2"/>
      <c r="Z549" s="2"/>
    </row>
    <row r="550" ht="22.5" customHeight="1">
      <c r="A550" s="7"/>
      <c r="B550" s="7"/>
      <c r="C550" s="7"/>
      <c r="D550" s="7"/>
      <c r="E550" s="7"/>
      <c r="F550" s="7"/>
      <c r="G550" s="7"/>
      <c r="H550" s="2"/>
      <c r="I550" s="7"/>
      <c r="J550" s="7"/>
      <c r="K550" s="2"/>
      <c r="L550" s="2"/>
      <c r="M550" s="2"/>
      <c r="N550" s="2"/>
      <c r="O550" s="2"/>
      <c r="P550" s="2"/>
      <c r="Q550" s="2"/>
      <c r="R550" s="2"/>
      <c r="S550" s="2"/>
      <c r="T550" s="2"/>
      <c r="U550" s="2"/>
      <c r="V550" s="2"/>
      <c r="W550" s="2"/>
      <c r="X550" s="2"/>
      <c r="Y550" s="2"/>
      <c r="Z550" s="2"/>
    </row>
    <row r="551" ht="22.5" customHeight="1">
      <c r="A551" s="7"/>
      <c r="B551" s="7"/>
      <c r="C551" s="7"/>
      <c r="D551" s="7"/>
      <c r="E551" s="7"/>
      <c r="F551" s="7"/>
      <c r="G551" s="7"/>
      <c r="H551" s="2"/>
      <c r="I551" s="7"/>
      <c r="J551" s="7"/>
      <c r="K551" s="2"/>
      <c r="L551" s="2"/>
      <c r="M551" s="2"/>
      <c r="N551" s="2"/>
      <c r="O551" s="2"/>
      <c r="P551" s="2"/>
      <c r="Q551" s="2"/>
      <c r="R551" s="2"/>
      <c r="S551" s="2"/>
      <c r="T551" s="2"/>
      <c r="U551" s="2"/>
      <c r="V551" s="2"/>
      <c r="W551" s="2"/>
      <c r="X551" s="2"/>
      <c r="Y551" s="2"/>
      <c r="Z551" s="2"/>
    </row>
    <row r="552" ht="22.5" customHeight="1">
      <c r="A552" s="7"/>
      <c r="B552" s="7"/>
      <c r="C552" s="7"/>
      <c r="D552" s="7"/>
      <c r="E552" s="7"/>
      <c r="F552" s="7"/>
      <c r="G552" s="7"/>
      <c r="H552" s="2"/>
      <c r="I552" s="7"/>
      <c r="J552" s="7"/>
      <c r="K552" s="2"/>
      <c r="L552" s="2"/>
      <c r="M552" s="2"/>
      <c r="N552" s="2"/>
      <c r="O552" s="2"/>
      <c r="P552" s="2"/>
      <c r="Q552" s="2"/>
      <c r="R552" s="2"/>
      <c r="S552" s="2"/>
      <c r="T552" s="2"/>
      <c r="U552" s="2"/>
      <c r="V552" s="2"/>
      <c r="W552" s="2"/>
      <c r="X552" s="2"/>
      <c r="Y552" s="2"/>
      <c r="Z552" s="2"/>
    </row>
    <row r="553" ht="22.5" customHeight="1">
      <c r="A553" s="7"/>
      <c r="B553" s="7"/>
      <c r="C553" s="7"/>
      <c r="D553" s="7"/>
      <c r="E553" s="7"/>
      <c r="F553" s="7"/>
      <c r="G553" s="7"/>
      <c r="H553" s="2"/>
      <c r="I553" s="7"/>
      <c r="J553" s="7"/>
      <c r="K553" s="2"/>
      <c r="L553" s="2"/>
      <c r="M553" s="2"/>
      <c r="N553" s="2"/>
      <c r="O553" s="2"/>
      <c r="P553" s="2"/>
      <c r="Q553" s="2"/>
      <c r="R553" s="2"/>
      <c r="S553" s="2"/>
      <c r="T553" s="2"/>
      <c r="U553" s="2"/>
      <c r="V553" s="2"/>
      <c r="W553" s="2"/>
      <c r="X553" s="2"/>
      <c r="Y553" s="2"/>
      <c r="Z553" s="2"/>
    </row>
    <row r="554" ht="22.5" customHeight="1">
      <c r="A554" s="7"/>
      <c r="B554" s="7"/>
      <c r="C554" s="7"/>
      <c r="D554" s="7"/>
      <c r="E554" s="7"/>
      <c r="F554" s="7"/>
      <c r="G554" s="7"/>
      <c r="H554" s="2"/>
      <c r="I554" s="7"/>
      <c r="J554" s="7"/>
      <c r="K554" s="2"/>
      <c r="L554" s="2"/>
      <c r="M554" s="2"/>
      <c r="N554" s="2"/>
      <c r="O554" s="2"/>
      <c r="P554" s="2"/>
      <c r="Q554" s="2"/>
      <c r="R554" s="2"/>
      <c r="S554" s="2"/>
      <c r="T554" s="2"/>
      <c r="U554" s="2"/>
      <c r="V554" s="2"/>
      <c r="W554" s="2"/>
      <c r="X554" s="2"/>
      <c r="Y554" s="2"/>
      <c r="Z554" s="2"/>
    </row>
    <row r="555" ht="22.5" customHeight="1">
      <c r="A555" s="7"/>
      <c r="B555" s="7"/>
      <c r="C555" s="7"/>
      <c r="D555" s="7"/>
      <c r="E555" s="7"/>
      <c r="F555" s="7"/>
      <c r="G555" s="7"/>
      <c r="H555" s="2"/>
      <c r="I555" s="7"/>
      <c r="J555" s="7"/>
      <c r="K555" s="2"/>
      <c r="L555" s="2"/>
      <c r="M555" s="2"/>
      <c r="N555" s="2"/>
      <c r="O555" s="2"/>
      <c r="P555" s="2"/>
      <c r="Q555" s="2"/>
      <c r="R555" s="2"/>
      <c r="S555" s="2"/>
      <c r="T555" s="2"/>
      <c r="U555" s="2"/>
      <c r="V555" s="2"/>
      <c r="W555" s="2"/>
      <c r="X555" s="2"/>
      <c r="Y555" s="2"/>
      <c r="Z555" s="2"/>
    </row>
    <row r="556" ht="22.5" customHeight="1">
      <c r="A556" s="7"/>
      <c r="B556" s="7"/>
      <c r="C556" s="7"/>
      <c r="D556" s="7"/>
      <c r="E556" s="7"/>
      <c r="F556" s="7"/>
      <c r="G556" s="7"/>
      <c r="H556" s="2"/>
      <c r="I556" s="7"/>
      <c r="J556" s="7"/>
      <c r="K556" s="2"/>
      <c r="L556" s="2"/>
      <c r="M556" s="2"/>
      <c r="N556" s="2"/>
      <c r="O556" s="2"/>
      <c r="P556" s="2"/>
      <c r="Q556" s="2"/>
      <c r="R556" s="2"/>
      <c r="S556" s="2"/>
      <c r="T556" s="2"/>
      <c r="U556" s="2"/>
      <c r="V556" s="2"/>
      <c r="W556" s="2"/>
      <c r="X556" s="2"/>
      <c r="Y556" s="2"/>
      <c r="Z556" s="2"/>
    </row>
    <row r="557" ht="22.5" customHeight="1">
      <c r="A557" s="7"/>
      <c r="B557" s="7"/>
      <c r="C557" s="7"/>
      <c r="D557" s="7"/>
      <c r="E557" s="7"/>
      <c r="F557" s="7"/>
      <c r="G557" s="7"/>
      <c r="H557" s="2"/>
      <c r="I557" s="7"/>
      <c r="J557" s="7"/>
      <c r="K557" s="2"/>
      <c r="L557" s="2"/>
      <c r="M557" s="2"/>
      <c r="N557" s="2"/>
      <c r="O557" s="2"/>
      <c r="P557" s="2"/>
      <c r="Q557" s="2"/>
      <c r="R557" s="2"/>
      <c r="S557" s="2"/>
      <c r="T557" s="2"/>
      <c r="U557" s="2"/>
      <c r="V557" s="2"/>
      <c r="W557" s="2"/>
      <c r="X557" s="2"/>
      <c r="Y557" s="2"/>
      <c r="Z557" s="2"/>
    </row>
    <row r="558" ht="22.5" customHeight="1">
      <c r="A558" s="7"/>
      <c r="B558" s="7"/>
      <c r="C558" s="7"/>
      <c r="D558" s="7"/>
      <c r="E558" s="7"/>
      <c r="F558" s="7"/>
      <c r="G558" s="7"/>
      <c r="H558" s="2"/>
      <c r="I558" s="7"/>
      <c r="J558" s="7"/>
      <c r="K558" s="2"/>
      <c r="L558" s="2"/>
      <c r="M558" s="2"/>
      <c r="N558" s="2"/>
      <c r="O558" s="2"/>
      <c r="P558" s="2"/>
      <c r="Q558" s="2"/>
      <c r="R558" s="2"/>
      <c r="S558" s="2"/>
      <c r="T558" s="2"/>
      <c r="U558" s="2"/>
      <c r="V558" s="2"/>
      <c r="W558" s="2"/>
      <c r="X558" s="2"/>
      <c r="Y558" s="2"/>
      <c r="Z558" s="2"/>
    </row>
    <row r="559" ht="22.5" customHeight="1">
      <c r="A559" s="7"/>
      <c r="B559" s="7"/>
      <c r="C559" s="7"/>
      <c r="D559" s="7"/>
      <c r="E559" s="7"/>
      <c r="F559" s="7"/>
      <c r="G559" s="7"/>
      <c r="H559" s="2"/>
      <c r="I559" s="7"/>
      <c r="J559" s="7"/>
      <c r="K559" s="2"/>
      <c r="L559" s="2"/>
      <c r="M559" s="2"/>
      <c r="N559" s="2"/>
      <c r="O559" s="2"/>
      <c r="P559" s="2"/>
      <c r="Q559" s="2"/>
      <c r="R559" s="2"/>
      <c r="S559" s="2"/>
      <c r="T559" s="2"/>
      <c r="U559" s="2"/>
      <c r="V559" s="2"/>
      <c r="W559" s="2"/>
      <c r="X559" s="2"/>
      <c r="Y559" s="2"/>
      <c r="Z559" s="2"/>
    </row>
    <row r="560" ht="22.5" customHeight="1">
      <c r="A560" s="7"/>
      <c r="B560" s="7"/>
      <c r="C560" s="7"/>
      <c r="D560" s="7"/>
      <c r="E560" s="7"/>
      <c r="F560" s="7"/>
      <c r="G560" s="7"/>
      <c r="H560" s="2"/>
      <c r="I560" s="7"/>
      <c r="J560" s="7"/>
      <c r="K560" s="2"/>
      <c r="L560" s="2"/>
      <c r="M560" s="2"/>
      <c r="N560" s="2"/>
      <c r="O560" s="2"/>
      <c r="P560" s="2"/>
      <c r="Q560" s="2"/>
      <c r="R560" s="2"/>
      <c r="S560" s="2"/>
      <c r="T560" s="2"/>
      <c r="U560" s="2"/>
      <c r="V560" s="2"/>
      <c r="W560" s="2"/>
      <c r="X560" s="2"/>
      <c r="Y560" s="2"/>
      <c r="Z560" s="2"/>
    </row>
    <row r="561" ht="22.5" customHeight="1">
      <c r="A561" s="7"/>
      <c r="B561" s="7"/>
      <c r="C561" s="7"/>
      <c r="D561" s="7"/>
      <c r="E561" s="7"/>
      <c r="F561" s="7"/>
      <c r="G561" s="7"/>
      <c r="H561" s="2"/>
      <c r="I561" s="7"/>
      <c r="J561" s="7"/>
      <c r="K561" s="2"/>
      <c r="L561" s="2"/>
      <c r="M561" s="2"/>
      <c r="N561" s="2"/>
      <c r="O561" s="2"/>
      <c r="P561" s="2"/>
      <c r="Q561" s="2"/>
      <c r="R561" s="2"/>
      <c r="S561" s="2"/>
      <c r="T561" s="2"/>
      <c r="U561" s="2"/>
      <c r="V561" s="2"/>
      <c r="W561" s="2"/>
      <c r="X561" s="2"/>
      <c r="Y561" s="2"/>
      <c r="Z561" s="2"/>
    </row>
    <row r="562" ht="22.5" customHeight="1">
      <c r="A562" s="7"/>
      <c r="B562" s="7"/>
      <c r="C562" s="7"/>
      <c r="D562" s="7"/>
      <c r="E562" s="7"/>
      <c r="F562" s="7"/>
      <c r="G562" s="7"/>
      <c r="H562" s="2"/>
      <c r="I562" s="7"/>
      <c r="J562" s="7"/>
      <c r="K562" s="2"/>
      <c r="L562" s="2"/>
      <c r="M562" s="2"/>
      <c r="N562" s="2"/>
      <c r="O562" s="2"/>
      <c r="P562" s="2"/>
      <c r="Q562" s="2"/>
      <c r="R562" s="2"/>
      <c r="S562" s="2"/>
      <c r="T562" s="2"/>
      <c r="U562" s="2"/>
      <c r="V562" s="2"/>
      <c r="W562" s="2"/>
      <c r="X562" s="2"/>
      <c r="Y562" s="2"/>
      <c r="Z562" s="2"/>
    </row>
    <row r="563" ht="22.5" customHeight="1">
      <c r="A563" s="7"/>
      <c r="B563" s="7"/>
      <c r="C563" s="7"/>
      <c r="D563" s="7"/>
      <c r="E563" s="7"/>
      <c r="F563" s="7"/>
      <c r="G563" s="7"/>
      <c r="H563" s="2"/>
      <c r="I563" s="7"/>
      <c r="J563" s="7"/>
      <c r="K563" s="2"/>
      <c r="L563" s="2"/>
      <c r="M563" s="2"/>
      <c r="N563" s="2"/>
      <c r="O563" s="2"/>
      <c r="P563" s="2"/>
      <c r="Q563" s="2"/>
      <c r="R563" s="2"/>
      <c r="S563" s="2"/>
      <c r="T563" s="2"/>
      <c r="U563" s="2"/>
      <c r="V563" s="2"/>
      <c r="W563" s="2"/>
      <c r="X563" s="2"/>
      <c r="Y563" s="2"/>
      <c r="Z563" s="2"/>
    </row>
    <row r="564" ht="22.5" customHeight="1">
      <c r="A564" s="7"/>
      <c r="B564" s="7"/>
      <c r="C564" s="7"/>
      <c r="D564" s="7"/>
      <c r="E564" s="7"/>
      <c r="F564" s="7"/>
      <c r="G564" s="7"/>
      <c r="H564" s="2"/>
      <c r="I564" s="7"/>
      <c r="J564" s="7"/>
      <c r="K564" s="2"/>
      <c r="L564" s="2"/>
      <c r="M564" s="2"/>
      <c r="N564" s="2"/>
      <c r="O564" s="2"/>
      <c r="P564" s="2"/>
      <c r="Q564" s="2"/>
      <c r="R564" s="2"/>
      <c r="S564" s="2"/>
      <c r="T564" s="2"/>
      <c r="U564" s="2"/>
      <c r="V564" s="2"/>
      <c r="W564" s="2"/>
      <c r="X564" s="2"/>
      <c r="Y564" s="2"/>
      <c r="Z564" s="2"/>
    </row>
    <row r="565" ht="22.5" customHeight="1">
      <c r="A565" s="7"/>
      <c r="B565" s="7"/>
      <c r="C565" s="7"/>
      <c r="D565" s="7"/>
      <c r="E565" s="7"/>
      <c r="F565" s="7"/>
      <c r="G565" s="7"/>
      <c r="H565" s="2"/>
      <c r="I565" s="7"/>
      <c r="J565" s="7"/>
      <c r="K565" s="2"/>
      <c r="L565" s="2"/>
      <c r="M565" s="2"/>
      <c r="N565" s="2"/>
      <c r="O565" s="2"/>
      <c r="P565" s="2"/>
      <c r="Q565" s="2"/>
      <c r="R565" s="2"/>
      <c r="S565" s="2"/>
      <c r="T565" s="2"/>
      <c r="U565" s="2"/>
      <c r="V565" s="2"/>
      <c r="W565" s="2"/>
      <c r="X565" s="2"/>
      <c r="Y565" s="2"/>
      <c r="Z565" s="2"/>
    </row>
    <row r="566" ht="22.5" customHeight="1">
      <c r="A566" s="7"/>
      <c r="B566" s="7"/>
      <c r="C566" s="7"/>
      <c r="D566" s="7"/>
      <c r="E566" s="7"/>
      <c r="F566" s="7"/>
      <c r="G566" s="7"/>
      <c r="H566" s="2"/>
      <c r="I566" s="7"/>
      <c r="J566" s="7"/>
      <c r="K566" s="2"/>
      <c r="L566" s="2"/>
      <c r="M566" s="2"/>
      <c r="N566" s="2"/>
      <c r="O566" s="2"/>
      <c r="P566" s="2"/>
      <c r="Q566" s="2"/>
      <c r="R566" s="2"/>
      <c r="S566" s="2"/>
      <c r="T566" s="2"/>
      <c r="U566" s="2"/>
      <c r="V566" s="2"/>
      <c r="W566" s="2"/>
      <c r="X566" s="2"/>
      <c r="Y566" s="2"/>
      <c r="Z566" s="2"/>
    </row>
    <row r="567" ht="22.5" customHeight="1">
      <c r="A567" s="7"/>
      <c r="B567" s="7"/>
      <c r="C567" s="7"/>
      <c r="D567" s="7"/>
      <c r="E567" s="7"/>
      <c r="F567" s="7"/>
      <c r="G567" s="7"/>
      <c r="H567" s="2"/>
      <c r="I567" s="7"/>
      <c r="J567" s="7"/>
      <c r="K567" s="2"/>
      <c r="L567" s="2"/>
      <c r="M567" s="2"/>
      <c r="N567" s="2"/>
      <c r="O567" s="2"/>
      <c r="P567" s="2"/>
      <c r="Q567" s="2"/>
      <c r="R567" s="2"/>
      <c r="S567" s="2"/>
      <c r="T567" s="2"/>
      <c r="U567" s="2"/>
      <c r="V567" s="2"/>
      <c r="W567" s="2"/>
      <c r="X567" s="2"/>
      <c r="Y567" s="2"/>
      <c r="Z567" s="2"/>
    </row>
    <row r="568" ht="22.5" customHeight="1">
      <c r="A568" s="7"/>
      <c r="B568" s="7"/>
      <c r="C568" s="7"/>
      <c r="D568" s="7"/>
      <c r="E568" s="7"/>
      <c r="F568" s="7"/>
      <c r="G568" s="7"/>
      <c r="H568" s="2"/>
      <c r="I568" s="7"/>
      <c r="J568" s="7"/>
      <c r="K568" s="2"/>
      <c r="L568" s="2"/>
      <c r="M568" s="2"/>
      <c r="N568" s="2"/>
      <c r="O568" s="2"/>
      <c r="P568" s="2"/>
      <c r="Q568" s="2"/>
      <c r="R568" s="2"/>
      <c r="S568" s="2"/>
      <c r="T568" s="2"/>
      <c r="U568" s="2"/>
      <c r="V568" s="2"/>
      <c r="W568" s="2"/>
      <c r="X568" s="2"/>
      <c r="Y568" s="2"/>
      <c r="Z568" s="2"/>
    </row>
    <row r="569" ht="22.5" customHeight="1">
      <c r="A569" s="7"/>
      <c r="B569" s="7"/>
      <c r="C569" s="7"/>
      <c r="D569" s="7"/>
      <c r="E569" s="7"/>
      <c r="F569" s="7"/>
      <c r="G569" s="7"/>
      <c r="H569" s="2"/>
      <c r="I569" s="7"/>
      <c r="J569" s="7"/>
      <c r="K569" s="2"/>
      <c r="L569" s="2"/>
      <c r="M569" s="2"/>
      <c r="N569" s="2"/>
      <c r="O569" s="2"/>
      <c r="P569" s="2"/>
      <c r="Q569" s="2"/>
      <c r="R569" s="2"/>
      <c r="S569" s="2"/>
      <c r="T569" s="2"/>
      <c r="U569" s="2"/>
      <c r="V569" s="2"/>
      <c r="W569" s="2"/>
      <c r="X569" s="2"/>
      <c r="Y569" s="2"/>
      <c r="Z569" s="2"/>
    </row>
    <row r="570" ht="22.5" customHeight="1">
      <c r="A570" s="7"/>
      <c r="B570" s="7"/>
      <c r="C570" s="7"/>
      <c r="D570" s="7"/>
      <c r="E570" s="7"/>
      <c r="F570" s="7"/>
      <c r="G570" s="7"/>
      <c r="H570" s="2"/>
      <c r="I570" s="7"/>
      <c r="J570" s="7"/>
      <c r="K570" s="2"/>
      <c r="L570" s="2"/>
      <c r="M570" s="2"/>
      <c r="N570" s="2"/>
      <c r="O570" s="2"/>
      <c r="P570" s="2"/>
      <c r="Q570" s="2"/>
      <c r="R570" s="2"/>
      <c r="S570" s="2"/>
      <c r="T570" s="2"/>
      <c r="U570" s="2"/>
      <c r="V570" s="2"/>
      <c r="W570" s="2"/>
      <c r="X570" s="2"/>
      <c r="Y570" s="2"/>
      <c r="Z570" s="2"/>
    </row>
    <row r="571" ht="22.5" customHeight="1">
      <c r="A571" s="7"/>
      <c r="B571" s="7"/>
      <c r="C571" s="7"/>
      <c r="D571" s="7"/>
      <c r="E571" s="7"/>
      <c r="F571" s="7"/>
      <c r="G571" s="7"/>
      <c r="H571" s="2"/>
      <c r="I571" s="7"/>
      <c r="J571" s="7"/>
      <c r="K571" s="2"/>
      <c r="L571" s="2"/>
      <c r="M571" s="2"/>
      <c r="N571" s="2"/>
      <c r="O571" s="2"/>
      <c r="P571" s="2"/>
      <c r="Q571" s="2"/>
      <c r="R571" s="2"/>
      <c r="S571" s="2"/>
      <c r="T571" s="2"/>
      <c r="U571" s="2"/>
      <c r="V571" s="2"/>
      <c r="W571" s="2"/>
      <c r="X571" s="2"/>
      <c r="Y571" s="2"/>
      <c r="Z571" s="2"/>
    </row>
    <row r="572" ht="22.5" customHeight="1">
      <c r="A572" s="7"/>
      <c r="B572" s="7"/>
      <c r="C572" s="7"/>
      <c r="D572" s="7"/>
      <c r="E572" s="7"/>
      <c r="F572" s="7"/>
      <c r="G572" s="7"/>
      <c r="H572" s="2"/>
      <c r="I572" s="7"/>
      <c r="J572" s="7"/>
      <c r="K572" s="2"/>
      <c r="L572" s="2"/>
      <c r="M572" s="2"/>
      <c r="N572" s="2"/>
      <c r="O572" s="2"/>
      <c r="P572" s="2"/>
      <c r="Q572" s="2"/>
      <c r="R572" s="2"/>
      <c r="S572" s="2"/>
      <c r="T572" s="2"/>
      <c r="U572" s="2"/>
      <c r="V572" s="2"/>
      <c r="W572" s="2"/>
      <c r="X572" s="2"/>
      <c r="Y572" s="2"/>
      <c r="Z572" s="2"/>
    </row>
    <row r="573" ht="22.5" customHeight="1">
      <c r="A573" s="7"/>
      <c r="B573" s="7"/>
      <c r="C573" s="7"/>
      <c r="D573" s="7"/>
      <c r="E573" s="7"/>
      <c r="F573" s="7"/>
      <c r="G573" s="7"/>
      <c r="H573" s="2"/>
      <c r="I573" s="7"/>
      <c r="J573" s="7"/>
      <c r="K573" s="2"/>
      <c r="L573" s="2"/>
      <c r="M573" s="2"/>
      <c r="N573" s="2"/>
      <c r="O573" s="2"/>
      <c r="P573" s="2"/>
      <c r="Q573" s="2"/>
      <c r="R573" s="2"/>
      <c r="S573" s="2"/>
      <c r="T573" s="2"/>
      <c r="U573" s="2"/>
      <c r="V573" s="2"/>
      <c r="W573" s="2"/>
      <c r="X573" s="2"/>
      <c r="Y573" s="2"/>
      <c r="Z573" s="2"/>
    </row>
    <row r="574" ht="22.5" customHeight="1">
      <c r="A574" s="7"/>
      <c r="B574" s="7"/>
      <c r="C574" s="7"/>
      <c r="D574" s="7"/>
      <c r="E574" s="7"/>
      <c r="F574" s="7"/>
      <c r="G574" s="7"/>
      <c r="H574" s="2"/>
      <c r="I574" s="7"/>
      <c r="J574" s="7"/>
      <c r="K574" s="2"/>
      <c r="L574" s="2"/>
      <c r="M574" s="2"/>
      <c r="N574" s="2"/>
      <c r="O574" s="2"/>
      <c r="P574" s="2"/>
      <c r="Q574" s="2"/>
      <c r="R574" s="2"/>
      <c r="S574" s="2"/>
      <c r="T574" s="2"/>
      <c r="U574" s="2"/>
      <c r="V574" s="2"/>
      <c r="W574" s="2"/>
      <c r="X574" s="2"/>
      <c r="Y574" s="2"/>
      <c r="Z574" s="2"/>
    </row>
    <row r="575" ht="22.5" customHeight="1">
      <c r="A575" s="7"/>
      <c r="B575" s="7"/>
      <c r="C575" s="7"/>
      <c r="D575" s="7"/>
      <c r="E575" s="7"/>
      <c r="F575" s="7"/>
      <c r="G575" s="7"/>
      <c r="H575" s="2"/>
      <c r="I575" s="7"/>
      <c r="J575" s="7"/>
      <c r="K575" s="2"/>
      <c r="L575" s="2"/>
      <c r="M575" s="2"/>
      <c r="N575" s="2"/>
      <c r="O575" s="2"/>
      <c r="P575" s="2"/>
      <c r="Q575" s="2"/>
      <c r="R575" s="2"/>
      <c r="S575" s="2"/>
      <c r="T575" s="2"/>
      <c r="U575" s="2"/>
      <c r="V575" s="2"/>
      <c r="W575" s="2"/>
      <c r="X575" s="2"/>
      <c r="Y575" s="2"/>
      <c r="Z575" s="2"/>
    </row>
    <row r="576" ht="22.5" customHeight="1">
      <c r="A576" s="7"/>
      <c r="B576" s="7"/>
      <c r="C576" s="7"/>
      <c r="D576" s="7"/>
      <c r="E576" s="7"/>
      <c r="F576" s="7"/>
      <c r="G576" s="7"/>
      <c r="H576" s="2"/>
      <c r="I576" s="7"/>
      <c r="J576" s="7"/>
      <c r="K576" s="2"/>
      <c r="L576" s="2"/>
      <c r="M576" s="2"/>
      <c r="N576" s="2"/>
      <c r="O576" s="2"/>
      <c r="P576" s="2"/>
      <c r="Q576" s="2"/>
      <c r="R576" s="2"/>
      <c r="S576" s="2"/>
      <c r="T576" s="2"/>
      <c r="U576" s="2"/>
      <c r="V576" s="2"/>
      <c r="W576" s="2"/>
      <c r="X576" s="2"/>
      <c r="Y576" s="2"/>
      <c r="Z576" s="2"/>
    </row>
    <row r="577" ht="22.5" customHeight="1">
      <c r="A577" s="7"/>
      <c r="B577" s="7"/>
      <c r="C577" s="7"/>
      <c r="D577" s="7"/>
      <c r="E577" s="7"/>
      <c r="F577" s="7"/>
      <c r="G577" s="7"/>
      <c r="H577" s="2"/>
      <c r="I577" s="7"/>
      <c r="J577" s="7"/>
      <c r="K577" s="2"/>
      <c r="L577" s="2"/>
      <c r="M577" s="2"/>
      <c r="N577" s="2"/>
      <c r="O577" s="2"/>
      <c r="P577" s="2"/>
      <c r="Q577" s="2"/>
      <c r="R577" s="2"/>
      <c r="S577" s="2"/>
      <c r="T577" s="2"/>
      <c r="U577" s="2"/>
      <c r="V577" s="2"/>
      <c r="W577" s="2"/>
      <c r="X577" s="2"/>
      <c r="Y577" s="2"/>
      <c r="Z577" s="2"/>
    </row>
    <row r="578" ht="22.5" customHeight="1">
      <c r="A578" s="7"/>
      <c r="B578" s="7"/>
      <c r="C578" s="7"/>
      <c r="D578" s="7"/>
      <c r="E578" s="7"/>
      <c r="F578" s="7"/>
      <c r="G578" s="7"/>
      <c r="H578" s="2"/>
      <c r="I578" s="7"/>
      <c r="J578" s="7"/>
      <c r="K578" s="2"/>
      <c r="L578" s="2"/>
      <c r="M578" s="2"/>
      <c r="N578" s="2"/>
      <c r="O578" s="2"/>
      <c r="P578" s="2"/>
      <c r="Q578" s="2"/>
      <c r="R578" s="2"/>
      <c r="S578" s="2"/>
      <c r="T578" s="2"/>
      <c r="U578" s="2"/>
      <c r="V578" s="2"/>
      <c r="W578" s="2"/>
      <c r="X578" s="2"/>
      <c r="Y578" s="2"/>
      <c r="Z578" s="2"/>
    </row>
    <row r="579" ht="22.5" customHeight="1">
      <c r="A579" s="7"/>
      <c r="B579" s="7"/>
      <c r="C579" s="7"/>
      <c r="D579" s="7"/>
      <c r="E579" s="7"/>
      <c r="F579" s="7"/>
      <c r="G579" s="7"/>
      <c r="H579" s="2"/>
      <c r="I579" s="7"/>
      <c r="J579" s="7"/>
      <c r="K579" s="2"/>
      <c r="L579" s="2"/>
      <c r="M579" s="2"/>
      <c r="N579" s="2"/>
      <c r="O579" s="2"/>
      <c r="P579" s="2"/>
      <c r="Q579" s="2"/>
      <c r="R579" s="2"/>
      <c r="S579" s="2"/>
      <c r="T579" s="2"/>
      <c r="U579" s="2"/>
      <c r="V579" s="2"/>
      <c r="W579" s="2"/>
      <c r="X579" s="2"/>
      <c r="Y579" s="2"/>
      <c r="Z579" s="2"/>
    </row>
    <row r="580" ht="22.5" customHeight="1">
      <c r="A580" s="7"/>
      <c r="B580" s="7"/>
      <c r="C580" s="7"/>
      <c r="D580" s="7"/>
      <c r="E580" s="7"/>
      <c r="F580" s="7"/>
      <c r="G580" s="7"/>
      <c r="H580" s="2"/>
      <c r="I580" s="7"/>
      <c r="J580" s="7"/>
      <c r="K580" s="2"/>
      <c r="L580" s="2"/>
      <c r="M580" s="2"/>
      <c r="N580" s="2"/>
      <c r="O580" s="2"/>
      <c r="P580" s="2"/>
      <c r="Q580" s="2"/>
      <c r="R580" s="2"/>
      <c r="S580" s="2"/>
      <c r="T580" s="2"/>
      <c r="U580" s="2"/>
      <c r="V580" s="2"/>
      <c r="W580" s="2"/>
      <c r="X580" s="2"/>
      <c r="Y580" s="2"/>
      <c r="Z580" s="2"/>
    </row>
    <row r="581" ht="22.5" customHeight="1">
      <c r="A581" s="7"/>
      <c r="B581" s="7"/>
      <c r="C581" s="7"/>
      <c r="D581" s="7"/>
      <c r="E581" s="7"/>
      <c r="F581" s="7"/>
      <c r="G581" s="7"/>
      <c r="H581" s="2"/>
      <c r="I581" s="7"/>
      <c r="J581" s="7"/>
      <c r="K581" s="2"/>
      <c r="L581" s="2"/>
      <c r="M581" s="2"/>
      <c r="N581" s="2"/>
      <c r="O581" s="2"/>
      <c r="P581" s="2"/>
      <c r="Q581" s="2"/>
      <c r="R581" s="2"/>
      <c r="S581" s="2"/>
      <c r="T581" s="2"/>
      <c r="U581" s="2"/>
      <c r="V581" s="2"/>
      <c r="W581" s="2"/>
      <c r="X581" s="2"/>
      <c r="Y581" s="2"/>
      <c r="Z581" s="2"/>
    </row>
    <row r="582" ht="22.5" customHeight="1">
      <c r="A582" s="7"/>
      <c r="B582" s="7"/>
      <c r="C582" s="7"/>
      <c r="D582" s="7"/>
      <c r="E582" s="7"/>
      <c r="F582" s="7"/>
      <c r="G582" s="7"/>
      <c r="H582" s="2"/>
      <c r="I582" s="7"/>
      <c r="J582" s="7"/>
      <c r="K582" s="2"/>
      <c r="L582" s="2"/>
      <c r="M582" s="2"/>
      <c r="N582" s="2"/>
      <c r="O582" s="2"/>
      <c r="P582" s="2"/>
      <c r="Q582" s="2"/>
      <c r="R582" s="2"/>
      <c r="S582" s="2"/>
      <c r="T582" s="2"/>
      <c r="U582" s="2"/>
      <c r="V582" s="2"/>
      <c r="W582" s="2"/>
      <c r="X582" s="2"/>
      <c r="Y582" s="2"/>
      <c r="Z582" s="2"/>
    </row>
    <row r="583" ht="22.5" customHeight="1">
      <c r="A583" s="7"/>
      <c r="B583" s="7"/>
      <c r="C583" s="7"/>
      <c r="D583" s="7"/>
      <c r="E583" s="7"/>
      <c r="F583" s="7"/>
      <c r="G583" s="7"/>
      <c r="H583" s="2"/>
      <c r="I583" s="7"/>
      <c r="J583" s="7"/>
      <c r="K583" s="2"/>
      <c r="L583" s="2"/>
      <c r="M583" s="2"/>
      <c r="N583" s="2"/>
      <c r="O583" s="2"/>
      <c r="P583" s="2"/>
      <c r="Q583" s="2"/>
      <c r="R583" s="2"/>
      <c r="S583" s="2"/>
      <c r="T583" s="2"/>
      <c r="U583" s="2"/>
      <c r="V583" s="2"/>
      <c r="W583" s="2"/>
      <c r="X583" s="2"/>
      <c r="Y583" s="2"/>
      <c r="Z583" s="2"/>
    </row>
    <row r="584" ht="22.5" customHeight="1">
      <c r="A584" s="7"/>
      <c r="B584" s="7"/>
      <c r="C584" s="7"/>
      <c r="D584" s="7"/>
      <c r="E584" s="7"/>
      <c r="F584" s="7"/>
      <c r="G584" s="7"/>
      <c r="H584" s="2"/>
      <c r="I584" s="7"/>
      <c r="J584" s="7"/>
      <c r="K584" s="2"/>
      <c r="L584" s="2"/>
      <c r="M584" s="2"/>
      <c r="N584" s="2"/>
      <c r="O584" s="2"/>
      <c r="P584" s="2"/>
      <c r="Q584" s="2"/>
      <c r="R584" s="2"/>
      <c r="S584" s="2"/>
      <c r="T584" s="2"/>
      <c r="U584" s="2"/>
      <c r="V584" s="2"/>
      <c r="W584" s="2"/>
      <c r="X584" s="2"/>
      <c r="Y584" s="2"/>
      <c r="Z584" s="2"/>
    </row>
    <row r="585" ht="22.5" customHeight="1">
      <c r="A585" s="7"/>
      <c r="B585" s="7"/>
      <c r="C585" s="7"/>
      <c r="D585" s="7"/>
      <c r="E585" s="7"/>
      <c r="F585" s="7"/>
      <c r="G585" s="7"/>
      <c r="H585" s="2"/>
      <c r="I585" s="7"/>
      <c r="J585" s="7"/>
      <c r="K585" s="2"/>
      <c r="L585" s="2"/>
      <c r="M585" s="2"/>
      <c r="N585" s="2"/>
      <c r="O585" s="2"/>
      <c r="P585" s="2"/>
      <c r="Q585" s="2"/>
      <c r="R585" s="2"/>
      <c r="S585" s="2"/>
      <c r="T585" s="2"/>
      <c r="U585" s="2"/>
      <c r="V585" s="2"/>
      <c r="W585" s="2"/>
      <c r="X585" s="2"/>
      <c r="Y585" s="2"/>
      <c r="Z585" s="2"/>
    </row>
    <row r="586" ht="22.5" customHeight="1">
      <c r="A586" s="7"/>
      <c r="B586" s="7"/>
      <c r="C586" s="7"/>
      <c r="D586" s="7"/>
      <c r="E586" s="7"/>
      <c r="F586" s="7"/>
      <c r="G586" s="7"/>
      <c r="H586" s="2"/>
      <c r="I586" s="7"/>
      <c r="J586" s="7"/>
      <c r="K586" s="2"/>
      <c r="L586" s="2"/>
      <c r="M586" s="2"/>
      <c r="N586" s="2"/>
      <c r="O586" s="2"/>
      <c r="P586" s="2"/>
      <c r="Q586" s="2"/>
      <c r="R586" s="2"/>
      <c r="S586" s="2"/>
      <c r="T586" s="2"/>
      <c r="U586" s="2"/>
      <c r="V586" s="2"/>
      <c r="W586" s="2"/>
      <c r="X586" s="2"/>
      <c r="Y586" s="2"/>
      <c r="Z586" s="2"/>
    </row>
    <row r="587" ht="22.5" customHeight="1">
      <c r="A587" s="7"/>
      <c r="B587" s="7"/>
      <c r="C587" s="7"/>
      <c r="D587" s="7"/>
      <c r="E587" s="7"/>
      <c r="F587" s="7"/>
      <c r="G587" s="7"/>
      <c r="H587" s="2"/>
      <c r="I587" s="7"/>
      <c r="J587" s="7"/>
      <c r="K587" s="2"/>
      <c r="L587" s="2"/>
      <c r="M587" s="2"/>
      <c r="N587" s="2"/>
      <c r="O587" s="2"/>
      <c r="P587" s="2"/>
      <c r="Q587" s="2"/>
      <c r="R587" s="2"/>
      <c r="S587" s="2"/>
      <c r="T587" s="2"/>
      <c r="U587" s="2"/>
      <c r="V587" s="2"/>
      <c r="W587" s="2"/>
      <c r="X587" s="2"/>
      <c r="Y587" s="2"/>
      <c r="Z587" s="2"/>
    </row>
    <row r="588" ht="22.5" customHeight="1">
      <c r="A588" s="7"/>
      <c r="B588" s="7"/>
      <c r="C588" s="7"/>
      <c r="D588" s="7"/>
      <c r="E588" s="7"/>
      <c r="F588" s="7"/>
      <c r="G588" s="7"/>
      <c r="H588" s="2"/>
      <c r="I588" s="7"/>
      <c r="J588" s="7"/>
      <c r="K588" s="2"/>
      <c r="L588" s="2"/>
      <c r="M588" s="2"/>
      <c r="N588" s="2"/>
      <c r="O588" s="2"/>
      <c r="P588" s="2"/>
      <c r="Q588" s="2"/>
      <c r="R588" s="2"/>
      <c r="S588" s="2"/>
      <c r="T588" s="2"/>
      <c r="U588" s="2"/>
      <c r="V588" s="2"/>
      <c r="W588" s="2"/>
      <c r="X588" s="2"/>
      <c r="Y588" s="2"/>
      <c r="Z588" s="2"/>
    </row>
    <row r="589" ht="22.5" customHeight="1">
      <c r="A589" s="7"/>
      <c r="B589" s="7"/>
      <c r="C589" s="7"/>
      <c r="D589" s="7"/>
      <c r="E589" s="7"/>
      <c r="F589" s="7"/>
      <c r="G589" s="7"/>
      <c r="H589" s="2"/>
      <c r="I589" s="7"/>
      <c r="J589" s="7"/>
      <c r="K589" s="2"/>
      <c r="L589" s="2"/>
      <c r="M589" s="2"/>
      <c r="N589" s="2"/>
      <c r="O589" s="2"/>
      <c r="P589" s="2"/>
      <c r="Q589" s="2"/>
      <c r="R589" s="2"/>
      <c r="S589" s="2"/>
      <c r="T589" s="2"/>
      <c r="U589" s="2"/>
      <c r="V589" s="2"/>
      <c r="W589" s="2"/>
      <c r="X589" s="2"/>
      <c r="Y589" s="2"/>
      <c r="Z589" s="2"/>
    </row>
    <row r="590" ht="22.5" customHeight="1">
      <c r="A590" s="7"/>
      <c r="B590" s="7"/>
      <c r="C590" s="7"/>
      <c r="D590" s="7"/>
      <c r="E590" s="7"/>
      <c r="F590" s="7"/>
      <c r="G590" s="7"/>
      <c r="H590" s="2"/>
      <c r="I590" s="7"/>
      <c r="J590" s="7"/>
      <c r="K590" s="2"/>
      <c r="L590" s="2"/>
      <c r="M590" s="2"/>
      <c r="N590" s="2"/>
      <c r="O590" s="2"/>
      <c r="P590" s="2"/>
      <c r="Q590" s="2"/>
      <c r="R590" s="2"/>
      <c r="S590" s="2"/>
      <c r="T590" s="2"/>
      <c r="U590" s="2"/>
      <c r="V590" s="2"/>
      <c r="W590" s="2"/>
      <c r="X590" s="2"/>
      <c r="Y590" s="2"/>
      <c r="Z590" s="2"/>
    </row>
    <row r="591" ht="22.5" customHeight="1">
      <c r="A591" s="7"/>
      <c r="B591" s="7"/>
      <c r="C591" s="7"/>
      <c r="D591" s="7"/>
      <c r="E591" s="7"/>
      <c r="F591" s="7"/>
      <c r="G591" s="7"/>
      <c r="H591" s="2"/>
      <c r="I591" s="7"/>
      <c r="J591" s="7"/>
      <c r="K591" s="2"/>
      <c r="L591" s="2"/>
      <c r="M591" s="2"/>
      <c r="N591" s="2"/>
      <c r="O591" s="2"/>
      <c r="P591" s="2"/>
      <c r="Q591" s="2"/>
      <c r="R591" s="2"/>
      <c r="S591" s="2"/>
      <c r="T591" s="2"/>
      <c r="U591" s="2"/>
      <c r="V591" s="2"/>
      <c r="W591" s="2"/>
      <c r="X591" s="2"/>
      <c r="Y591" s="2"/>
      <c r="Z591" s="2"/>
    </row>
    <row r="592" ht="22.5" customHeight="1">
      <c r="A592" s="7"/>
      <c r="B592" s="7"/>
      <c r="C592" s="7"/>
      <c r="D592" s="7"/>
      <c r="E592" s="7"/>
      <c r="F592" s="7"/>
      <c r="G592" s="7"/>
      <c r="H592" s="2"/>
      <c r="I592" s="7"/>
      <c r="J592" s="7"/>
      <c r="K592" s="2"/>
      <c r="L592" s="2"/>
      <c r="M592" s="2"/>
      <c r="N592" s="2"/>
      <c r="O592" s="2"/>
      <c r="P592" s="2"/>
      <c r="Q592" s="2"/>
      <c r="R592" s="2"/>
      <c r="S592" s="2"/>
      <c r="T592" s="2"/>
      <c r="U592" s="2"/>
      <c r="V592" s="2"/>
      <c r="W592" s="2"/>
      <c r="X592" s="2"/>
      <c r="Y592" s="2"/>
      <c r="Z592" s="2"/>
    </row>
    <row r="593" ht="22.5" customHeight="1">
      <c r="A593" s="7"/>
      <c r="B593" s="7"/>
      <c r="C593" s="7"/>
      <c r="D593" s="7"/>
      <c r="E593" s="7"/>
      <c r="F593" s="7"/>
      <c r="G593" s="7"/>
      <c r="H593" s="2"/>
      <c r="I593" s="7"/>
      <c r="J593" s="7"/>
      <c r="K593" s="2"/>
      <c r="L593" s="2"/>
      <c r="M593" s="2"/>
      <c r="N593" s="2"/>
      <c r="O593" s="2"/>
      <c r="P593" s="2"/>
      <c r="Q593" s="2"/>
      <c r="R593" s="2"/>
      <c r="S593" s="2"/>
      <c r="T593" s="2"/>
      <c r="U593" s="2"/>
      <c r="V593" s="2"/>
      <c r="W593" s="2"/>
      <c r="X593" s="2"/>
      <c r="Y593" s="2"/>
      <c r="Z593" s="2"/>
    </row>
    <row r="594" ht="22.5" customHeight="1">
      <c r="A594" s="7"/>
      <c r="B594" s="7"/>
      <c r="C594" s="7"/>
      <c r="D594" s="7"/>
      <c r="E594" s="7"/>
      <c r="F594" s="7"/>
      <c r="G594" s="7"/>
      <c r="H594" s="2"/>
      <c r="I594" s="7"/>
      <c r="J594" s="7"/>
      <c r="K594" s="2"/>
      <c r="L594" s="2"/>
      <c r="M594" s="2"/>
      <c r="N594" s="2"/>
      <c r="O594" s="2"/>
      <c r="P594" s="2"/>
      <c r="Q594" s="2"/>
      <c r="R594" s="2"/>
      <c r="S594" s="2"/>
      <c r="T594" s="2"/>
      <c r="U594" s="2"/>
      <c r="V594" s="2"/>
      <c r="W594" s="2"/>
      <c r="X594" s="2"/>
      <c r="Y594" s="2"/>
      <c r="Z594" s="2"/>
    </row>
    <row r="595" ht="22.5" customHeight="1">
      <c r="A595" s="7"/>
      <c r="B595" s="7"/>
      <c r="C595" s="7"/>
      <c r="D595" s="7"/>
      <c r="E595" s="7"/>
      <c r="F595" s="7"/>
      <c r="G595" s="7"/>
      <c r="H595" s="2"/>
      <c r="I595" s="7"/>
      <c r="J595" s="7"/>
      <c r="K595" s="2"/>
      <c r="L595" s="2"/>
      <c r="M595" s="2"/>
      <c r="N595" s="2"/>
      <c r="O595" s="2"/>
      <c r="P595" s="2"/>
      <c r="Q595" s="2"/>
      <c r="R595" s="2"/>
      <c r="S595" s="2"/>
      <c r="T595" s="2"/>
      <c r="U595" s="2"/>
      <c r="V595" s="2"/>
      <c r="W595" s="2"/>
      <c r="X595" s="2"/>
      <c r="Y595" s="2"/>
      <c r="Z595" s="2"/>
    </row>
    <row r="596" ht="22.5" customHeight="1">
      <c r="A596" s="7"/>
      <c r="B596" s="7"/>
      <c r="C596" s="7"/>
      <c r="D596" s="7"/>
      <c r="E596" s="7"/>
      <c r="F596" s="7"/>
      <c r="G596" s="7"/>
      <c r="H596" s="2"/>
      <c r="I596" s="7"/>
      <c r="J596" s="7"/>
      <c r="K596" s="2"/>
      <c r="L596" s="2"/>
      <c r="M596" s="2"/>
      <c r="N596" s="2"/>
      <c r="O596" s="2"/>
      <c r="P596" s="2"/>
      <c r="Q596" s="2"/>
      <c r="R596" s="2"/>
      <c r="S596" s="2"/>
      <c r="T596" s="2"/>
      <c r="U596" s="2"/>
      <c r="V596" s="2"/>
      <c r="W596" s="2"/>
      <c r="X596" s="2"/>
      <c r="Y596" s="2"/>
      <c r="Z596" s="2"/>
    </row>
    <row r="597" ht="22.5" customHeight="1">
      <c r="A597" s="7"/>
      <c r="B597" s="7"/>
      <c r="C597" s="7"/>
      <c r="D597" s="7"/>
      <c r="E597" s="7"/>
      <c r="F597" s="7"/>
      <c r="G597" s="7"/>
      <c r="H597" s="2"/>
      <c r="I597" s="7"/>
      <c r="J597" s="7"/>
      <c r="K597" s="2"/>
      <c r="L597" s="2"/>
      <c r="M597" s="2"/>
      <c r="N597" s="2"/>
      <c r="O597" s="2"/>
      <c r="P597" s="2"/>
      <c r="Q597" s="2"/>
      <c r="R597" s="2"/>
      <c r="S597" s="2"/>
      <c r="T597" s="2"/>
      <c r="U597" s="2"/>
      <c r="V597" s="2"/>
      <c r="W597" s="2"/>
      <c r="X597" s="2"/>
      <c r="Y597" s="2"/>
      <c r="Z597" s="2"/>
    </row>
    <row r="598" ht="22.5" customHeight="1">
      <c r="A598" s="7"/>
      <c r="B598" s="7"/>
      <c r="C598" s="7"/>
      <c r="D598" s="7"/>
      <c r="E598" s="7"/>
      <c r="F598" s="7"/>
      <c r="G598" s="7"/>
      <c r="H598" s="2"/>
      <c r="I598" s="7"/>
      <c r="J598" s="7"/>
      <c r="K598" s="2"/>
      <c r="L598" s="2"/>
      <c r="M598" s="2"/>
      <c r="N598" s="2"/>
      <c r="O598" s="2"/>
      <c r="P598" s="2"/>
      <c r="Q598" s="2"/>
      <c r="R598" s="2"/>
      <c r="S598" s="2"/>
      <c r="T598" s="2"/>
      <c r="U598" s="2"/>
      <c r="V598" s="2"/>
      <c r="W598" s="2"/>
      <c r="X598" s="2"/>
      <c r="Y598" s="2"/>
      <c r="Z598" s="2"/>
    </row>
    <row r="599" ht="22.5" customHeight="1">
      <c r="A599" s="7"/>
      <c r="B599" s="7"/>
      <c r="C599" s="7"/>
      <c r="D599" s="7"/>
      <c r="E599" s="7"/>
      <c r="F599" s="7"/>
      <c r="G599" s="7"/>
      <c r="H599" s="2"/>
      <c r="I599" s="7"/>
      <c r="J599" s="7"/>
      <c r="K599" s="2"/>
      <c r="L599" s="2"/>
      <c r="M599" s="2"/>
      <c r="N599" s="2"/>
      <c r="O599" s="2"/>
      <c r="P599" s="2"/>
      <c r="Q599" s="2"/>
      <c r="R599" s="2"/>
      <c r="S599" s="2"/>
      <c r="T599" s="2"/>
      <c r="U599" s="2"/>
      <c r="V599" s="2"/>
      <c r="W599" s="2"/>
      <c r="X599" s="2"/>
      <c r="Y599" s="2"/>
      <c r="Z599" s="2"/>
    </row>
    <row r="600" ht="22.5" customHeight="1">
      <c r="A600" s="7"/>
      <c r="B600" s="7"/>
      <c r="C600" s="7"/>
      <c r="D600" s="7"/>
      <c r="E600" s="7"/>
      <c r="F600" s="7"/>
      <c r="G600" s="7"/>
      <c r="H600" s="2"/>
      <c r="I600" s="7"/>
      <c r="J600" s="7"/>
      <c r="K600" s="2"/>
      <c r="L600" s="2"/>
      <c r="M600" s="2"/>
      <c r="N600" s="2"/>
      <c r="O600" s="2"/>
      <c r="P600" s="2"/>
      <c r="Q600" s="2"/>
      <c r="R600" s="2"/>
      <c r="S600" s="2"/>
      <c r="T600" s="2"/>
      <c r="U600" s="2"/>
      <c r="V600" s="2"/>
      <c r="W600" s="2"/>
      <c r="X600" s="2"/>
      <c r="Y600" s="2"/>
      <c r="Z600" s="2"/>
    </row>
    <row r="601" ht="22.5" customHeight="1">
      <c r="A601" s="7"/>
      <c r="B601" s="7"/>
      <c r="C601" s="7"/>
      <c r="D601" s="7"/>
      <c r="E601" s="7"/>
      <c r="F601" s="7"/>
      <c r="G601" s="7"/>
      <c r="H601" s="2"/>
      <c r="I601" s="7"/>
      <c r="J601" s="7"/>
      <c r="K601" s="2"/>
      <c r="L601" s="2"/>
      <c r="M601" s="2"/>
      <c r="N601" s="2"/>
      <c r="O601" s="2"/>
      <c r="P601" s="2"/>
      <c r="Q601" s="2"/>
      <c r="R601" s="2"/>
      <c r="S601" s="2"/>
      <c r="T601" s="2"/>
      <c r="U601" s="2"/>
      <c r="V601" s="2"/>
      <c r="W601" s="2"/>
      <c r="X601" s="2"/>
      <c r="Y601" s="2"/>
      <c r="Z601" s="2"/>
    </row>
    <row r="602" ht="22.5" customHeight="1">
      <c r="A602" s="7"/>
      <c r="B602" s="7"/>
      <c r="C602" s="7"/>
      <c r="D602" s="7"/>
      <c r="E602" s="7"/>
      <c r="F602" s="7"/>
      <c r="G602" s="7"/>
      <c r="H602" s="2"/>
      <c r="I602" s="7"/>
      <c r="J602" s="7"/>
      <c r="K602" s="2"/>
      <c r="L602" s="2"/>
      <c r="M602" s="2"/>
      <c r="N602" s="2"/>
      <c r="O602" s="2"/>
      <c r="P602" s="2"/>
      <c r="Q602" s="2"/>
      <c r="R602" s="2"/>
      <c r="S602" s="2"/>
      <c r="T602" s="2"/>
      <c r="U602" s="2"/>
      <c r="V602" s="2"/>
      <c r="W602" s="2"/>
      <c r="X602" s="2"/>
      <c r="Y602" s="2"/>
      <c r="Z602" s="2"/>
    </row>
    <row r="603" ht="22.5" customHeight="1">
      <c r="A603" s="7"/>
      <c r="B603" s="7"/>
      <c r="C603" s="7"/>
      <c r="D603" s="7"/>
      <c r="E603" s="7"/>
      <c r="F603" s="7"/>
      <c r="G603" s="7"/>
      <c r="H603" s="2"/>
      <c r="I603" s="7"/>
      <c r="J603" s="7"/>
      <c r="K603" s="2"/>
      <c r="L603" s="2"/>
      <c r="M603" s="2"/>
      <c r="N603" s="2"/>
      <c r="O603" s="2"/>
      <c r="P603" s="2"/>
      <c r="Q603" s="2"/>
      <c r="R603" s="2"/>
      <c r="S603" s="2"/>
      <c r="T603" s="2"/>
      <c r="U603" s="2"/>
      <c r="V603" s="2"/>
      <c r="W603" s="2"/>
      <c r="X603" s="2"/>
      <c r="Y603" s="2"/>
      <c r="Z603" s="2"/>
    </row>
    <row r="604" ht="22.5" customHeight="1">
      <c r="A604" s="7"/>
      <c r="B604" s="7"/>
      <c r="C604" s="7"/>
      <c r="D604" s="7"/>
      <c r="E604" s="7"/>
      <c r="F604" s="7"/>
      <c r="G604" s="7"/>
      <c r="H604" s="2"/>
      <c r="I604" s="7"/>
      <c r="J604" s="7"/>
      <c r="K604" s="2"/>
      <c r="L604" s="2"/>
      <c r="M604" s="2"/>
      <c r="N604" s="2"/>
      <c r="O604" s="2"/>
      <c r="P604" s="2"/>
      <c r="Q604" s="2"/>
      <c r="R604" s="2"/>
      <c r="S604" s="2"/>
      <c r="T604" s="2"/>
      <c r="U604" s="2"/>
      <c r="V604" s="2"/>
      <c r="W604" s="2"/>
      <c r="X604" s="2"/>
      <c r="Y604" s="2"/>
      <c r="Z604" s="2"/>
    </row>
    <row r="605" ht="22.5" customHeight="1">
      <c r="A605" s="7"/>
      <c r="B605" s="7"/>
      <c r="C605" s="7"/>
      <c r="D605" s="7"/>
      <c r="E605" s="7"/>
      <c r="F605" s="7"/>
      <c r="G605" s="7"/>
      <c r="H605" s="2"/>
      <c r="I605" s="7"/>
      <c r="J605" s="7"/>
      <c r="K605" s="2"/>
      <c r="L605" s="2"/>
      <c r="M605" s="2"/>
      <c r="N605" s="2"/>
      <c r="O605" s="2"/>
      <c r="P605" s="2"/>
      <c r="Q605" s="2"/>
      <c r="R605" s="2"/>
      <c r="S605" s="2"/>
      <c r="T605" s="2"/>
      <c r="U605" s="2"/>
      <c r="V605" s="2"/>
      <c r="W605" s="2"/>
      <c r="X605" s="2"/>
      <c r="Y605" s="2"/>
      <c r="Z605" s="2"/>
    </row>
    <row r="606" ht="22.5" customHeight="1">
      <c r="A606" s="7"/>
      <c r="B606" s="7"/>
      <c r="C606" s="7"/>
      <c r="D606" s="7"/>
      <c r="E606" s="7"/>
      <c r="F606" s="7"/>
      <c r="G606" s="7"/>
      <c r="H606" s="2"/>
      <c r="I606" s="7"/>
      <c r="J606" s="7"/>
      <c r="K606" s="2"/>
      <c r="L606" s="2"/>
      <c r="M606" s="2"/>
      <c r="N606" s="2"/>
      <c r="O606" s="2"/>
      <c r="P606" s="2"/>
      <c r="Q606" s="2"/>
      <c r="R606" s="2"/>
      <c r="S606" s="2"/>
      <c r="T606" s="2"/>
      <c r="U606" s="2"/>
      <c r="V606" s="2"/>
      <c r="W606" s="2"/>
      <c r="X606" s="2"/>
      <c r="Y606" s="2"/>
      <c r="Z606" s="2"/>
    </row>
    <row r="607" ht="22.5" customHeight="1">
      <c r="A607" s="7"/>
      <c r="B607" s="7"/>
      <c r="C607" s="7"/>
      <c r="D607" s="7"/>
      <c r="E607" s="7"/>
      <c r="F607" s="7"/>
      <c r="G607" s="7"/>
      <c r="H607" s="2"/>
      <c r="I607" s="7"/>
      <c r="J607" s="7"/>
      <c r="K607" s="2"/>
      <c r="L607" s="2"/>
      <c r="M607" s="2"/>
      <c r="N607" s="2"/>
      <c r="O607" s="2"/>
      <c r="P607" s="2"/>
      <c r="Q607" s="2"/>
      <c r="R607" s="2"/>
      <c r="S607" s="2"/>
      <c r="T607" s="2"/>
      <c r="U607" s="2"/>
      <c r="V607" s="2"/>
      <c r="W607" s="2"/>
      <c r="X607" s="2"/>
      <c r="Y607" s="2"/>
      <c r="Z607" s="2"/>
    </row>
    <row r="608" ht="22.5" customHeight="1">
      <c r="A608" s="7"/>
      <c r="B608" s="7"/>
      <c r="C608" s="7"/>
      <c r="D608" s="7"/>
      <c r="E608" s="7"/>
      <c r="F608" s="7"/>
      <c r="G608" s="7"/>
      <c r="H608" s="2"/>
      <c r="I608" s="7"/>
      <c r="J608" s="7"/>
      <c r="K608" s="2"/>
      <c r="L608" s="2"/>
      <c r="M608" s="2"/>
      <c r="N608" s="2"/>
      <c r="O608" s="2"/>
      <c r="P608" s="2"/>
      <c r="Q608" s="2"/>
      <c r="R608" s="2"/>
      <c r="S608" s="2"/>
      <c r="T608" s="2"/>
      <c r="U608" s="2"/>
      <c r="V608" s="2"/>
      <c r="W608" s="2"/>
      <c r="X608" s="2"/>
      <c r="Y608" s="2"/>
      <c r="Z608" s="2"/>
    </row>
    <row r="609" ht="22.5" customHeight="1">
      <c r="A609" s="7"/>
      <c r="B609" s="7"/>
      <c r="C609" s="7"/>
      <c r="D609" s="7"/>
      <c r="E609" s="7"/>
      <c r="F609" s="7"/>
      <c r="G609" s="7"/>
      <c r="H609" s="2"/>
      <c r="I609" s="7"/>
      <c r="J609" s="7"/>
      <c r="K609" s="2"/>
      <c r="L609" s="2"/>
      <c r="M609" s="2"/>
      <c r="N609" s="2"/>
      <c r="O609" s="2"/>
      <c r="P609" s="2"/>
      <c r="Q609" s="2"/>
      <c r="R609" s="2"/>
      <c r="S609" s="2"/>
      <c r="T609" s="2"/>
      <c r="U609" s="2"/>
      <c r="V609" s="2"/>
      <c r="W609" s="2"/>
      <c r="X609" s="2"/>
      <c r="Y609" s="2"/>
      <c r="Z609" s="2"/>
    </row>
    <row r="610" ht="22.5" customHeight="1">
      <c r="A610" s="7"/>
      <c r="B610" s="7"/>
      <c r="C610" s="7"/>
      <c r="D610" s="7"/>
      <c r="E610" s="7"/>
      <c r="F610" s="7"/>
      <c r="G610" s="7"/>
      <c r="H610" s="2"/>
      <c r="I610" s="7"/>
      <c r="J610" s="7"/>
      <c r="K610" s="2"/>
      <c r="L610" s="2"/>
      <c r="M610" s="2"/>
      <c r="N610" s="2"/>
      <c r="O610" s="2"/>
      <c r="P610" s="2"/>
      <c r="Q610" s="2"/>
      <c r="R610" s="2"/>
      <c r="S610" s="2"/>
      <c r="T610" s="2"/>
      <c r="U610" s="2"/>
      <c r="V610" s="2"/>
      <c r="W610" s="2"/>
      <c r="X610" s="2"/>
      <c r="Y610" s="2"/>
      <c r="Z610" s="2"/>
    </row>
    <row r="611" ht="22.5" customHeight="1">
      <c r="A611" s="7"/>
      <c r="B611" s="7"/>
      <c r="C611" s="7"/>
      <c r="D611" s="7"/>
      <c r="E611" s="7"/>
      <c r="F611" s="7"/>
      <c r="G611" s="7"/>
      <c r="H611" s="2"/>
      <c r="I611" s="7"/>
      <c r="J611" s="7"/>
      <c r="K611" s="2"/>
      <c r="L611" s="2"/>
      <c r="M611" s="2"/>
      <c r="N611" s="2"/>
      <c r="O611" s="2"/>
      <c r="P611" s="2"/>
      <c r="Q611" s="2"/>
      <c r="R611" s="2"/>
      <c r="S611" s="2"/>
      <c r="T611" s="2"/>
      <c r="U611" s="2"/>
      <c r="V611" s="2"/>
      <c r="W611" s="2"/>
      <c r="X611" s="2"/>
      <c r="Y611" s="2"/>
      <c r="Z611" s="2"/>
    </row>
    <row r="612" ht="22.5" customHeight="1">
      <c r="A612" s="7"/>
      <c r="B612" s="7"/>
      <c r="C612" s="7"/>
      <c r="D612" s="7"/>
      <c r="E612" s="7"/>
      <c r="F612" s="7"/>
      <c r="G612" s="7"/>
      <c r="H612" s="2"/>
      <c r="I612" s="7"/>
      <c r="J612" s="7"/>
      <c r="K612" s="2"/>
      <c r="L612" s="2"/>
      <c r="M612" s="2"/>
      <c r="N612" s="2"/>
      <c r="O612" s="2"/>
      <c r="P612" s="2"/>
      <c r="Q612" s="2"/>
      <c r="R612" s="2"/>
      <c r="S612" s="2"/>
      <c r="T612" s="2"/>
      <c r="U612" s="2"/>
      <c r="V612" s="2"/>
      <c r="W612" s="2"/>
      <c r="X612" s="2"/>
      <c r="Y612" s="2"/>
      <c r="Z612" s="2"/>
    </row>
    <row r="613" ht="22.5" customHeight="1">
      <c r="A613" s="7"/>
      <c r="B613" s="7"/>
      <c r="C613" s="7"/>
      <c r="D613" s="7"/>
      <c r="E613" s="7"/>
      <c r="F613" s="7"/>
      <c r="G613" s="7"/>
      <c r="H613" s="2"/>
      <c r="I613" s="7"/>
      <c r="J613" s="7"/>
      <c r="K613" s="2"/>
      <c r="L613" s="2"/>
      <c r="M613" s="2"/>
      <c r="N613" s="2"/>
      <c r="O613" s="2"/>
      <c r="P613" s="2"/>
      <c r="Q613" s="2"/>
      <c r="R613" s="2"/>
      <c r="S613" s="2"/>
      <c r="T613" s="2"/>
      <c r="U613" s="2"/>
      <c r="V613" s="2"/>
      <c r="W613" s="2"/>
      <c r="X613" s="2"/>
      <c r="Y613" s="2"/>
      <c r="Z613" s="2"/>
    </row>
    <row r="614" ht="22.5" customHeight="1">
      <c r="A614" s="7"/>
      <c r="B614" s="7"/>
      <c r="C614" s="7"/>
      <c r="D614" s="7"/>
      <c r="E614" s="7"/>
      <c r="F614" s="7"/>
      <c r="G614" s="7"/>
      <c r="H614" s="2"/>
      <c r="I614" s="7"/>
      <c r="J614" s="7"/>
      <c r="K614" s="2"/>
      <c r="L614" s="2"/>
      <c r="M614" s="2"/>
      <c r="N614" s="2"/>
      <c r="O614" s="2"/>
      <c r="P614" s="2"/>
      <c r="Q614" s="2"/>
      <c r="R614" s="2"/>
      <c r="S614" s="2"/>
      <c r="T614" s="2"/>
      <c r="U614" s="2"/>
      <c r="V614" s="2"/>
      <c r="W614" s="2"/>
      <c r="X614" s="2"/>
      <c r="Y614" s="2"/>
      <c r="Z614" s="2"/>
    </row>
    <row r="615" ht="22.5" customHeight="1">
      <c r="A615" s="7"/>
      <c r="B615" s="7"/>
      <c r="C615" s="7"/>
      <c r="D615" s="7"/>
      <c r="E615" s="7"/>
      <c r="F615" s="7"/>
      <c r="G615" s="7"/>
      <c r="H615" s="2"/>
      <c r="I615" s="7"/>
      <c r="J615" s="7"/>
      <c r="K615" s="2"/>
      <c r="L615" s="2"/>
      <c r="M615" s="2"/>
      <c r="N615" s="2"/>
      <c r="O615" s="2"/>
      <c r="P615" s="2"/>
      <c r="Q615" s="2"/>
      <c r="R615" s="2"/>
      <c r="S615" s="2"/>
      <c r="T615" s="2"/>
      <c r="U615" s="2"/>
      <c r="V615" s="2"/>
      <c r="W615" s="2"/>
      <c r="X615" s="2"/>
      <c r="Y615" s="2"/>
      <c r="Z615" s="2"/>
    </row>
    <row r="616" ht="22.5" customHeight="1">
      <c r="A616" s="7"/>
      <c r="B616" s="7"/>
      <c r="C616" s="7"/>
      <c r="D616" s="7"/>
      <c r="E616" s="7"/>
      <c r="F616" s="7"/>
      <c r="G616" s="7"/>
      <c r="H616" s="2"/>
      <c r="I616" s="7"/>
      <c r="J616" s="7"/>
      <c r="K616" s="2"/>
      <c r="L616" s="2"/>
      <c r="M616" s="2"/>
      <c r="N616" s="2"/>
      <c r="O616" s="2"/>
      <c r="P616" s="2"/>
      <c r="Q616" s="2"/>
      <c r="R616" s="2"/>
      <c r="S616" s="2"/>
      <c r="T616" s="2"/>
      <c r="U616" s="2"/>
      <c r="V616" s="2"/>
      <c r="W616" s="2"/>
      <c r="X616" s="2"/>
      <c r="Y616" s="2"/>
      <c r="Z616" s="2"/>
    </row>
    <row r="617" ht="22.5" customHeight="1">
      <c r="A617" s="7"/>
      <c r="B617" s="7"/>
      <c r="C617" s="7"/>
      <c r="D617" s="7"/>
      <c r="E617" s="7"/>
      <c r="F617" s="7"/>
      <c r="G617" s="7"/>
      <c r="H617" s="2"/>
      <c r="I617" s="7"/>
      <c r="J617" s="7"/>
      <c r="K617" s="2"/>
      <c r="L617" s="2"/>
      <c r="M617" s="2"/>
      <c r="N617" s="2"/>
      <c r="O617" s="2"/>
      <c r="P617" s="2"/>
      <c r="Q617" s="2"/>
      <c r="R617" s="2"/>
      <c r="S617" s="2"/>
      <c r="T617" s="2"/>
      <c r="U617" s="2"/>
      <c r="V617" s="2"/>
      <c r="W617" s="2"/>
      <c r="X617" s="2"/>
      <c r="Y617" s="2"/>
      <c r="Z617" s="2"/>
    </row>
    <row r="618" ht="22.5" customHeight="1">
      <c r="A618" s="7"/>
      <c r="B618" s="7"/>
      <c r="C618" s="7"/>
      <c r="D618" s="7"/>
      <c r="E618" s="7"/>
      <c r="F618" s="7"/>
      <c r="G618" s="7"/>
      <c r="H618" s="2"/>
      <c r="I618" s="7"/>
      <c r="J618" s="7"/>
      <c r="K618" s="2"/>
      <c r="L618" s="2"/>
      <c r="M618" s="2"/>
      <c r="N618" s="2"/>
      <c r="O618" s="2"/>
      <c r="P618" s="2"/>
      <c r="Q618" s="2"/>
      <c r="R618" s="2"/>
      <c r="S618" s="2"/>
      <c r="T618" s="2"/>
      <c r="U618" s="2"/>
      <c r="V618" s="2"/>
      <c r="W618" s="2"/>
      <c r="X618" s="2"/>
      <c r="Y618" s="2"/>
      <c r="Z618" s="2"/>
    </row>
    <row r="619" ht="22.5" customHeight="1">
      <c r="A619" s="7"/>
      <c r="B619" s="7"/>
      <c r="C619" s="7"/>
      <c r="D619" s="7"/>
      <c r="E619" s="7"/>
      <c r="F619" s="7"/>
      <c r="G619" s="7"/>
      <c r="H619" s="2"/>
      <c r="I619" s="7"/>
      <c r="J619" s="7"/>
      <c r="K619" s="2"/>
      <c r="L619" s="2"/>
      <c r="M619" s="2"/>
      <c r="N619" s="2"/>
      <c r="O619" s="2"/>
      <c r="P619" s="2"/>
      <c r="Q619" s="2"/>
      <c r="R619" s="2"/>
      <c r="S619" s="2"/>
      <c r="T619" s="2"/>
      <c r="U619" s="2"/>
      <c r="V619" s="2"/>
      <c r="W619" s="2"/>
      <c r="X619" s="2"/>
      <c r="Y619" s="2"/>
      <c r="Z619" s="2"/>
    </row>
    <row r="620" ht="22.5" customHeight="1">
      <c r="A620" s="7"/>
      <c r="B620" s="7"/>
      <c r="C620" s="7"/>
      <c r="D620" s="7"/>
      <c r="E620" s="7"/>
      <c r="F620" s="7"/>
      <c r="G620" s="7"/>
      <c r="H620" s="2"/>
      <c r="I620" s="7"/>
      <c r="J620" s="7"/>
      <c r="K620" s="2"/>
      <c r="L620" s="2"/>
      <c r="M620" s="2"/>
      <c r="N620" s="2"/>
      <c r="O620" s="2"/>
      <c r="P620" s="2"/>
      <c r="Q620" s="2"/>
      <c r="R620" s="2"/>
      <c r="S620" s="2"/>
      <c r="T620" s="2"/>
      <c r="U620" s="2"/>
      <c r="V620" s="2"/>
      <c r="W620" s="2"/>
      <c r="X620" s="2"/>
      <c r="Y620" s="2"/>
      <c r="Z620" s="2"/>
    </row>
    <row r="621" ht="22.5" customHeight="1">
      <c r="A621" s="7"/>
      <c r="B621" s="7"/>
      <c r="C621" s="7"/>
      <c r="D621" s="7"/>
      <c r="E621" s="7"/>
      <c r="F621" s="7"/>
      <c r="G621" s="7"/>
      <c r="H621" s="2"/>
      <c r="I621" s="7"/>
      <c r="J621" s="7"/>
      <c r="K621" s="2"/>
      <c r="L621" s="2"/>
      <c r="M621" s="2"/>
      <c r="N621" s="2"/>
      <c r="O621" s="2"/>
      <c r="P621" s="2"/>
      <c r="Q621" s="2"/>
      <c r="R621" s="2"/>
      <c r="S621" s="2"/>
      <c r="T621" s="2"/>
      <c r="U621" s="2"/>
      <c r="V621" s="2"/>
      <c r="W621" s="2"/>
      <c r="X621" s="2"/>
      <c r="Y621" s="2"/>
      <c r="Z621" s="2"/>
    </row>
    <row r="622" ht="22.5" customHeight="1">
      <c r="A622" s="7"/>
      <c r="B622" s="7"/>
      <c r="C622" s="7"/>
      <c r="D622" s="7"/>
      <c r="E622" s="7"/>
      <c r="F622" s="7"/>
      <c r="G622" s="7"/>
      <c r="H622" s="2"/>
      <c r="I622" s="7"/>
      <c r="J622" s="7"/>
      <c r="K622" s="2"/>
      <c r="L622" s="2"/>
      <c r="M622" s="2"/>
      <c r="N622" s="2"/>
      <c r="O622" s="2"/>
      <c r="P622" s="2"/>
      <c r="Q622" s="2"/>
      <c r="R622" s="2"/>
      <c r="S622" s="2"/>
      <c r="T622" s="2"/>
      <c r="U622" s="2"/>
      <c r="V622" s="2"/>
      <c r="W622" s="2"/>
      <c r="X622" s="2"/>
      <c r="Y622" s="2"/>
      <c r="Z622" s="2"/>
    </row>
    <row r="623" ht="22.5" customHeight="1">
      <c r="A623" s="7"/>
      <c r="B623" s="7"/>
      <c r="C623" s="7"/>
      <c r="D623" s="7"/>
      <c r="E623" s="7"/>
      <c r="F623" s="7"/>
      <c r="G623" s="7"/>
      <c r="H623" s="2"/>
      <c r="I623" s="7"/>
      <c r="J623" s="7"/>
      <c r="K623" s="2"/>
      <c r="L623" s="2"/>
      <c r="M623" s="2"/>
      <c r="N623" s="2"/>
      <c r="O623" s="2"/>
      <c r="P623" s="2"/>
      <c r="Q623" s="2"/>
      <c r="R623" s="2"/>
      <c r="S623" s="2"/>
      <c r="T623" s="2"/>
      <c r="U623" s="2"/>
      <c r="V623" s="2"/>
      <c r="W623" s="2"/>
      <c r="X623" s="2"/>
      <c r="Y623" s="2"/>
      <c r="Z623" s="2"/>
    </row>
    <row r="624" ht="22.5" customHeight="1">
      <c r="A624" s="7"/>
      <c r="B624" s="7"/>
      <c r="C624" s="7"/>
      <c r="D624" s="7"/>
      <c r="E624" s="7"/>
      <c r="F624" s="7"/>
      <c r="G624" s="7"/>
      <c r="H624" s="2"/>
      <c r="I624" s="7"/>
      <c r="J624" s="7"/>
      <c r="K624" s="2"/>
      <c r="L624" s="2"/>
      <c r="M624" s="2"/>
      <c r="N624" s="2"/>
      <c r="O624" s="2"/>
      <c r="P624" s="2"/>
      <c r="Q624" s="2"/>
      <c r="R624" s="2"/>
      <c r="S624" s="2"/>
      <c r="T624" s="2"/>
      <c r="U624" s="2"/>
      <c r="V624" s="2"/>
      <c r="W624" s="2"/>
      <c r="X624" s="2"/>
      <c r="Y624" s="2"/>
      <c r="Z624" s="2"/>
    </row>
    <row r="625" ht="22.5" customHeight="1">
      <c r="A625" s="7"/>
      <c r="B625" s="7"/>
      <c r="C625" s="7"/>
      <c r="D625" s="7"/>
      <c r="E625" s="7"/>
      <c r="F625" s="7"/>
      <c r="G625" s="7"/>
      <c r="H625" s="2"/>
      <c r="I625" s="7"/>
      <c r="J625" s="7"/>
      <c r="K625" s="2"/>
      <c r="L625" s="2"/>
      <c r="M625" s="2"/>
      <c r="N625" s="2"/>
      <c r="O625" s="2"/>
      <c r="P625" s="2"/>
      <c r="Q625" s="2"/>
      <c r="R625" s="2"/>
      <c r="S625" s="2"/>
      <c r="T625" s="2"/>
      <c r="U625" s="2"/>
      <c r="V625" s="2"/>
      <c r="W625" s="2"/>
      <c r="X625" s="2"/>
      <c r="Y625" s="2"/>
      <c r="Z625" s="2"/>
    </row>
    <row r="626" ht="22.5" customHeight="1">
      <c r="A626" s="7"/>
      <c r="B626" s="7"/>
      <c r="C626" s="7"/>
      <c r="D626" s="7"/>
      <c r="E626" s="7"/>
      <c r="F626" s="7"/>
      <c r="G626" s="7"/>
      <c r="H626" s="2"/>
      <c r="I626" s="7"/>
      <c r="J626" s="7"/>
      <c r="K626" s="2"/>
      <c r="L626" s="2"/>
      <c r="M626" s="2"/>
      <c r="N626" s="2"/>
      <c r="O626" s="2"/>
      <c r="P626" s="2"/>
      <c r="Q626" s="2"/>
      <c r="R626" s="2"/>
      <c r="S626" s="2"/>
      <c r="T626" s="2"/>
      <c r="U626" s="2"/>
      <c r="V626" s="2"/>
      <c r="W626" s="2"/>
      <c r="X626" s="2"/>
      <c r="Y626" s="2"/>
      <c r="Z626" s="2"/>
    </row>
    <row r="627" ht="22.5" customHeight="1">
      <c r="A627" s="7"/>
      <c r="B627" s="7"/>
      <c r="C627" s="7"/>
      <c r="D627" s="7"/>
      <c r="E627" s="7"/>
      <c r="F627" s="7"/>
      <c r="G627" s="7"/>
      <c r="H627" s="2"/>
      <c r="I627" s="7"/>
      <c r="J627" s="7"/>
      <c r="K627" s="2"/>
      <c r="L627" s="2"/>
      <c r="M627" s="2"/>
      <c r="N627" s="2"/>
      <c r="O627" s="2"/>
      <c r="P627" s="2"/>
      <c r="Q627" s="2"/>
      <c r="R627" s="2"/>
      <c r="S627" s="2"/>
      <c r="T627" s="2"/>
      <c r="U627" s="2"/>
      <c r="V627" s="2"/>
      <c r="W627" s="2"/>
      <c r="X627" s="2"/>
      <c r="Y627" s="2"/>
      <c r="Z627" s="2"/>
    </row>
    <row r="628" ht="22.5" customHeight="1">
      <c r="A628" s="7"/>
      <c r="B628" s="7"/>
      <c r="C628" s="7"/>
      <c r="D628" s="7"/>
      <c r="E628" s="7"/>
      <c r="F628" s="7"/>
      <c r="G628" s="7"/>
      <c r="H628" s="2"/>
      <c r="I628" s="7"/>
      <c r="J628" s="7"/>
      <c r="K628" s="2"/>
      <c r="L628" s="2"/>
      <c r="M628" s="2"/>
      <c r="N628" s="2"/>
      <c r="O628" s="2"/>
      <c r="P628" s="2"/>
      <c r="Q628" s="2"/>
      <c r="R628" s="2"/>
      <c r="S628" s="2"/>
      <c r="T628" s="2"/>
      <c r="U628" s="2"/>
      <c r="V628" s="2"/>
      <c r="W628" s="2"/>
      <c r="X628" s="2"/>
      <c r="Y628" s="2"/>
      <c r="Z628" s="2"/>
    </row>
    <row r="629" ht="22.5" customHeight="1">
      <c r="A629" s="7"/>
      <c r="B629" s="7"/>
      <c r="C629" s="7"/>
      <c r="D629" s="7"/>
      <c r="E629" s="7"/>
      <c r="F629" s="7"/>
      <c r="G629" s="7"/>
      <c r="H629" s="2"/>
      <c r="I629" s="7"/>
      <c r="J629" s="7"/>
      <c r="K629" s="2"/>
      <c r="L629" s="2"/>
      <c r="M629" s="2"/>
      <c r="N629" s="2"/>
      <c r="O629" s="2"/>
      <c r="P629" s="2"/>
      <c r="Q629" s="2"/>
      <c r="R629" s="2"/>
      <c r="S629" s="2"/>
      <c r="T629" s="2"/>
      <c r="U629" s="2"/>
      <c r="V629" s="2"/>
      <c r="W629" s="2"/>
      <c r="X629" s="2"/>
      <c r="Y629" s="2"/>
      <c r="Z629" s="2"/>
    </row>
    <row r="630" ht="22.5" customHeight="1">
      <c r="A630" s="7"/>
      <c r="B630" s="7"/>
      <c r="C630" s="7"/>
      <c r="D630" s="7"/>
      <c r="E630" s="7"/>
      <c r="F630" s="7"/>
      <c r="G630" s="7"/>
      <c r="H630" s="2"/>
      <c r="I630" s="7"/>
      <c r="J630" s="7"/>
      <c r="K630" s="2"/>
      <c r="L630" s="2"/>
      <c r="M630" s="2"/>
      <c r="N630" s="2"/>
      <c r="O630" s="2"/>
      <c r="P630" s="2"/>
      <c r="Q630" s="2"/>
      <c r="R630" s="2"/>
      <c r="S630" s="2"/>
      <c r="T630" s="2"/>
      <c r="U630" s="2"/>
      <c r="V630" s="2"/>
      <c r="W630" s="2"/>
      <c r="X630" s="2"/>
      <c r="Y630" s="2"/>
      <c r="Z630" s="2"/>
    </row>
    <row r="631" ht="22.5" customHeight="1">
      <c r="A631" s="7"/>
      <c r="B631" s="7"/>
      <c r="C631" s="7"/>
      <c r="D631" s="7"/>
      <c r="E631" s="7"/>
      <c r="F631" s="7"/>
      <c r="G631" s="7"/>
      <c r="H631" s="2"/>
      <c r="I631" s="7"/>
      <c r="J631" s="7"/>
      <c r="K631" s="2"/>
      <c r="L631" s="2"/>
      <c r="M631" s="2"/>
      <c r="N631" s="2"/>
      <c r="O631" s="2"/>
      <c r="P631" s="2"/>
      <c r="Q631" s="2"/>
      <c r="R631" s="2"/>
      <c r="S631" s="2"/>
      <c r="T631" s="2"/>
      <c r="U631" s="2"/>
      <c r="V631" s="2"/>
      <c r="W631" s="2"/>
      <c r="X631" s="2"/>
      <c r="Y631" s="2"/>
      <c r="Z631" s="2"/>
    </row>
    <row r="632" ht="22.5" customHeight="1">
      <c r="A632" s="7"/>
      <c r="B632" s="7"/>
      <c r="C632" s="7"/>
      <c r="D632" s="7"/>
      <c r="E632" s="7"/>
      <c r="F632" s="7"/>
      <c r="G632" s="7"/>
      <c r="H632" s="2"/>
      <c r="I632" s="7"/>
      <c r="J632" s="7"/>
      <c r="K632" s="2"/>
      <c r="L632" s="2"/>
      <c r="M632" s="2"/>
      <c r="N632" s="2"/>
      <c r="O632" s="2"/>
      <c r="P632" s="2"/>
      <c r="Q632" s="2"/>
      <c r="R632" s="2"/>
      <c r="S632" s="2"/>
      <c r="T632" s="2"/>
      <c r="U632" s="2"/>
      <c r="V632" s="2"/>
      <c r="W632" s="2"/>
      <c r="X632" s="2"/>
      <c r="Y632" s="2"/>
      <c r="Z632" s="2"/>
    </row>
    <row r="633" ht="22.5" customHeight="1">
      <c r="A633" s="7"/>
      <c r="B633" s="7"/>
      <c r="C633" s="7"/>
      <c r="D633" s="7"/>
      <c r="E633" s="7"/>
      <c r="F633" s="7"/>
      <c r="G633" s="7"/>
      <c r="H633" s="2"/>
      <c r="I633" s="7"/>
      <c r="J633" s="7"/>
      <c r="K633" s="2"/>
      <c r="L633" s="2"/>
      <c r="M633" s="2"/>
      <c r="N633" s="2"/>
      <c r="O633" s="2"/>
      <c r="P633" s="2"/>
      <c r="Q633" s="2"/>
      <c r="R633" s="2"/>
      <c r="S633" s="2"/>
      <c r="T633" s="2"/>
      <c r="U633" s="2"/>
      <c r="V633" s="2"/>
      <c r="W633" s="2"/>
      <c r="X633" s="2"/>
      <c r="Y633" s="2"/>
      <c r="Z633" s="2"/>
    </row>
    <row r="634" ht="22.5" customHeight="1">
      <c r="A634" s="7"/>
      <c r="B634" s="7"/>
      <c r="C634" s="7"/>
      <c r="D634" s="7"/>
      <c r="E634" s="7"/>
      <c r="F634" s="7"/>
      <c r="G634" s="7"/>
      <c r="H634" s="2"/>
      <c r="I634" s="7"/>
      <c r="J634" s="7"/>
      <c r="K634" s="2"/>
      <c r="L634" s="2"/>
      <c r="M634" s="2"/>
      <c r="N634" s="2"/>
      <c r="O634" s="2"/>
      <c r="P634" s="2"/>
      <c r="Q634" s="2"/>
      <c r="R634" s="2"/>
      <c r="S634" s="2"/>
      <c r="T634" s="2"/>
      <c r="U634" s="2"/>
      <c r="V634" s="2"/>
      <c r="W634" s="2"/>
      <c r="X634" s="2"/>
      <c r="Y634" s="2"/>
      <c r="Z634" s="2"/>
    </row>
    <row r="635" ht="22.5" customHeight="1">
      <c r="A635" s="7"/>
      <c r="B635" s="7"/>
      <c r="C635" s="7"/>
      <c r="D635" s="7"/>
      <c r="E635" s="7"/>
      <c r="F635" s="7"/>
      <c r="G635" s="7"/>
      <c r="H635" s="2"/>
      <c r="I635" s="7"/>
      <c r="J635" s="7"/>
      <c r="K635" s="2"/>
      <c r="L635" s="2"/>
      <c r="M635" s="2"/>
      <c r="N635" s="2"/>
      <c r="O635" s="2"/>
      <c r="P635" s="2"/>
      <c r="Q635" s="2"/>
      <c r="R635" s="2"/>
      <c r="S635" s="2"/>
      <c r="T635" s="2"/>
      <c r="U635" s="2"/>
      <c r="V635" s="2"/>
      <c r="W635" s="2"/>
      <c r="X635" s="2"/>
      <c r="Y635" s="2"/>
      <c r="Z635" s="2"/>
    </row>
    <row r="636" ht="22.5" customHeight="1">
      <c r="A636" s="7"/>
      <c r="B636" s="7"/>
      <c r="C636" s="7"/>
      <c r="D636" s="7"/>
      <c r="E636" s="7"/>
      <c r="F636" s="7"/>
      <c r="G636" s="7"/>
      <c r="H636" s="2"/>
      <c r="I636" s="7"/>
      <c r="J636" s="7"/>
      <c r="K636" s="2"/>
      <c r="L636" s="2"/>
      <c r="M636" s="2"/>
      <c r="N636" s="2"/>
      <c r="O636" s="2"/>
      <c r="P636" s="2"/>
      <c r="Q636" s="2"/>
      <c r="R636" s="2"/>
      <c r="S636" s="2"/>
      <c r="T636" s="2"/>
      <c r="U636" s="2"/>
      <c r="V636" s="2"/>
      <c r="W636" s="2"/>
      <c r="X636" s="2"/>
      <c r="Y636" s="2"/>
      <c r="Z636" s="2"/>
    </row>
    <row r="637" ht="22.5" customHeight="1">
      <c r="A637" s="7"/>
      <c r="B637" s="7"/>
      <c r="C637" s="7"/>
      <c r="D637" s="7"/>
      <c r="E637" s="7"/>
      <c r="F637" s="7"/>
      <c r="G637" s="7"/>
      <c r="H637" s="2"/>
      <c r="I637" s="7"/>
      <c r="J637" s="7"/>
      <c r="K637" s="2"/>
      <c r="L637" s="2"/>
      <c r="M637" s="2"/>
      <c r="N637" s="2"/>
      <c r="O637" s="2"/>
      <c r="P637" s="2"/>
      <c r="Q637" s="2"/>
      <c r="R637" s="2"/>
      <c r="S637" s="2"/>
      <c r="T637" s="2"/>
      <c r="U637" s="2"/>
      <c r="V637" s="2"/>
      <c r="W637" s="2"/>
      <c r="X637" s="2"/>
      <c r="Y637" s="2"/>
      <c r="Z637" s="2"/>
    </row>
    <row r="638" ht="22.5" customHeight="1">
      <c r="A638" s="7"/>
      <c r="B638" s="7"/>
      <c r="C638" s="7"/>
      <c r="D638" s="7"/>
      <c r="E638" s="7"/>
      <c r="F638" s="7"/>
      <c r="G638" s="7"/>
      <c r="H638" s="2"/>
      <c r="I638" s="7"/>
      <c r="J638" s="7"/>
      <c r="K638" s="2"/>
      <c r="L638" s="2"/>
      <c r="M638" s="2"/>
      <c r="N638" s="2"/>
      <c r="O638" s="2"/>
      <c r="P638" s="2"/>
      <c r="Q638" s="2"/>
      <c r="R638" s="2"/>
      <c r="S638" s="2"/>
      <c r="T638" s="2"/>
      <c r="U638" s="2"/>
      <c r="V638" s="2"/>
      <c r="W638" s="2"/>
      <c r="X638" s="2"/>
      <c r="Y638" s="2"/>
      <c r="Z638" s="2"/>
    </row>
    <row r="639" ht="22.5" customHeight="1">
      <c r="A639" s="7"/>
      <c r="B639" s="7"/>
      <c r="C639" s="7"/>
      <c r="D639" s="7"/>
      <c r="E639" s="7"/>
      <c r="F639" s="7"/>
      <c r="G639" s="7"/>
      <c r="H639" s="2"/>
      <c r="I639" s="7"/>
      <c r="J639" s="7"/>
      <c r="K639" s="2"/>
      <c r="L639" s="2"/>
      <c r="M639" s="2"/>
      <c r="N639" s="2"/>
      <c r="O639" s="2"/>
      <c r="P639" s="2"/>
      <c r="Q639" s="2"/>
      <c r="R639" s="2"/>
      <c r="S639" s="2"/>
      <c r="T639" s="2"/>
      <c r="U639" s="2"/>
      <c r="V639" s="2"/>
      <c r="W639" s="2"/>
      <c r="X639" s="2"/>
      <c r="Y639" s="2"/>
      <c r="Z639" s="2"/>
    </row>
    <row r="640" ht="22.5" customHeight="1">
      <c r="A640" s="7"/>
      <c r="B640" s="7"/>
      <c r="C640" s="7"/>
      <c r="D640" s="7"/>
      <c r="E640" s="7"/>
      <c r="F640" s="7"/>
      <c r="G640" s="7"/>
      <c r="H640" s="2"/>
      <c r="I640" s="7"/>
      <c r="J640" s="7"/>
      <c r="K640" s="2"/>
      <c r="L640" s="2"/>
      <c r="M640" s="2"/>
      <c r="N640" s="2"/>
      <c r="O640" s="2"/>
      <c r="P640" s="2"/>
      <c r="Q640" s="2"/>
      <c r="R640" s="2"/>
      <c r="S640" s="2"/>
      <c r="T640" s="2"/>
      <c r="U640" s="2"/>
      <c r="V640" s="2"/>
      <c r="W640" s="2"/>
      <c r="X640" s="2"/>
      <c r="Y640" s="2"/>
      <c r="Z640" s="2"/>
    </row>
    <row r="641" ht="22.5" customHeight="1">
      <c r="A641" s="7"/>
      <c r="B641" s="7"/>
      <c r="C641" s="7"/>
      <c r="D641" s="7"/>
      <c r="E641" s="7"/>
      <c r="F641" s="7"/>
      <c r="G641" s="7"/>
      <c r="H641" s="2"/>
      <c r="I641" s="7"/>
      <c r="J641" s="7"/>
      <c r="K641" s="2"/>
      <c r="L641" s="2"/>
      <c r="M641" s="2"/>
      <c r="N641" s="2"/>
      <c r="O641" s="2"/>
      <c r="P641" s="2"/>
      <c r="Q641" s="2"/>
      <c r="R641" s="2"/>
      <c r="S641" s="2"/>
      <c r="T641" s="2"/>
      <c r="U641" s="2"/>
      <c r="V641" s="2"/>
      <c r="W641" s="2"/>
      <c r="X641" s="2"/>
      <c r="Y641" s="2"/>
      <c r="Z641" s="2"/>
    </row>
    <row r="642" ht="22.5" customHeight="1">
      <c r="A642" s="7"/>
      <c r="B642" s="7"/>
      <c r="C642" s="7"/>
      <c r="D642" s="7"/>
      <c r="E642" s="7"/>
      <c r="F642" s="7"/>
      <c r="G642" s="7"/>
      <c r="H642" s="2"/>
      <c r="I642" s="7"/>
      <c r="J642" s="7"/>
      <c r="K642" s="2"/>
      <c r="L642" s="2"/>
      <c r="M642" s="2"/>
      <c r="N642" s="2"/>
      <c r="O642" s="2"/>
      <c r="P642" s="2"/>
      <c r="Q642" s="2"/>
      <c r="R642" s="2"/>
      <c r="S642" s="2"/>
      <c r="T642" s="2"/>
      <c r="U642" s="2"/>
      <c r="V642" s="2"/>
      <c r="W642" s="2"/>
      <c r="X642" s="2"/>
      <c r="Y642" s="2"/>
      <c r="Z642" s="2"/>
    </row>
    <row r="643" ht="22.5" customHeight="1">
      <c r="A643" s="7"/>
      <c r="B643" s="7"/>
      <c r="C643" s="7"/>
      <c r="D643" s="7"/>
      <c r="E643" s="7"/>
      <c r="F643" s="7"/>
      <c r="G643" s="7"/>
      <c r="H643" s="2"/>
      <c r="I643" s="7"/>
      <c r="J643" s="7"/>
      <c r="K643" s="2"/>
      <c r="L643" s="2"/>
      <c r="M643" s="2"/>
      <c r="N643" s="2"/>
      <c r="O643" s="2"/>
      <c r="P643" s="2"/>
      <c r="Q643" s="2"/>
      <c r="R643" s="2"/>
      <c r="S643" s="2"/>
      <c r="T643" s="2"/>
      <c r="U643" s="2"/>
      <c r="V643" s="2"/>
      <c r="W643" s="2"/>
      <c r="X643" s="2"/>
      <c r="Y643" s="2"/>
      <c r="Z643" s="2"/>
    </row>
    <row r="644" ht="22.5" customHeight="1">
      <c r="A644" s="7"/>
      <c r="B644" s="7"/>
      <c r="C644" s="7"/>
      <c r="D644" s="7"/>
      <c r="E644" s="7"/>
      <c r="F644" s="7"/>
      <c r="G644" s="7"/>
      <c r="H644" s="2"/>
      <c r="I644" s="7"/>
      <c r="J644" s="7"/>
      <c r="K644" s="2"/>
      <c r="L644" s="2"/>
      <c r="M644" s="2"/>
      <c r="N644" s="2"/>
      <c r="O644" s="2"/>
      <c r="P644" s="2"/>
      <c r="Q644" s="2"/>
      <c r="R644" s="2"/>
      <c r="S644" s="2"/>
      <c r="T644" s="2"/>
      <c r="U644" s="2"/>
      <c r="V644" s="2"/>
      <c r="W644" s="2"/>
      <c r="X644" s="2"/>
      <c r="Y644" s="2"/>
      <c r="Z644" s="2"/>
    </row>
    <row r="645" ht="22.5" customHeight="1">
      <c r="A645" s="7"/>
      <c r="B645" s="7"/>
      <c r="C645" s="7"/>
      <c r="D645" s="7"/>
      <c r="E645" s="7"/>
      <c r="F645" s="7"/>
      <c r="G645" s="7"/>
      <c r="H645" s="2"/>
      <c r="I645" s="7"/>
      <c r="J645" s="7"/>
      <c r="K645" s="2"/>
      <c r="L645" s="2"/>
      <c r="M645" s="2"/>
      <c r="N645" s="2"/>
      <c r="O645" s="2"/>
      <c r="P645" s="2"/>
      <c r="Q645" s="2"/>
      <c r="R645" s="2"/>
      <c r="S645" s="2"/>
      <c r="T645" s="2"/>
      <c r="U645" s="2"/>
      <c r="V645" s="2"/>
      <c r="W645" s="2"/>
      <c r="X645" s="2"/>
      <c r="Y645" s="2"/>
      <c r="Z645" s="2"/>
    </row>
    <row r="646" ht="22.5" customHeight="1">
      <c r="A646" s="7"/>
      <c r="B646" s="7"/>
      <c r="C646" s="7"/>
      <c r="D646" s="7"/>
      <c r="E646" s="7"/>
      <c r="F646" s="7"/>
      <c r="G646" s="7"/>
      <c r="H646" s="2"/>
      <c r="I646" s="7"/>
      <c r="J646" s="7"/>
      <c r="K646" s="2"/>
      <c r="L646" s="2"/>
      <c r="M646" s="2"/>
      <c r="N646" s="2"/>
      <c r="O646" s="2"/>
      <c r="P646" s="2"/>
      <c r="Q646" s="2"/>
      <c r="R646" s="2"/>
      <c r="S646" s="2"/>
      <c r="T646" s="2"/>
      <c r="U646" s="2"/>
      <c r="V646" s="2"/>
      <c r="W646" s="2"/>
      <c r="X646" s="2"/>
      <c r="Y646" s="2"/>
      <c r="Z646" s="2"/>
    </row>
    <row r="647" ht="22.5" customHeight="1">
      <c r="A647" s="7"/>
      <c r="B647" s="7"/>
      <c r="C647" s="7"/>
      <c r="D647" s="7"/>
      <c r="E647" s="7"/>
      <c r="F647" s="7"/>
      <c r="G647" s="7"/>
      <c r="H647" s="2"/>
      <c r="I647" s="7"/>
      <c r="J647" s="7"/>
      <c r="K647" s="2"/>
      <c r="L647" s="2"/>
      <c r="M647" s="2"/>
      <c r="N647" s="2"/>
      <c r="O647" s="2"/>
      <c r="P647" s="2"/>
      <c r="Q647" s="2"/>
      <c r="R647" s="2"/>
      <c r="S647" s="2"/>
      <c r="T647" s="2"/>
      <c r="U647" s="2"/>
      <c r="V647" s="2"/>
      <c r="W647" s="2"/>
      <c r="X647" s="2"/>
      <c r="Y647" s="2"/>
      <c r="Z647" s="2"/>
    </row>
    <row r="648" ht="22.5" customHeight="1">
      <c r="A648" s="7"/>
      <c r="B648" s="7"/>
      <c r="C648" s="7"/>
      <c r="D648" s="7"/>
      <c r="E648" s="7"/>
      <c r="F648" s="7"/>
      <c r="G648" s="7"/>
      <c r="H648" s="2"/>
      <c r="I648" s="7"/>
      <c r="J648" s="7"/>
      <c r="K648" s="2"/>
      <c r="L648" s="2"/>
      <c r="M648" s="2"/>
      <c r="N648" s="2"/>
      <c r="O648" s="2"/>
      <c r="P648" s="2"/>
      <c r="Q648" s="2"/>
      <c r="R648" s="2"/>
      <c r="S648" s="2"/>
      <c r="T648" s="2"/>
      <c r="U648" s="2"/>
      <c r="V648" s="2"/>
      <c r="W648" s="2"/>
      <c r="X648" s="2"/>
      <c r="Y648" s="2"/>
      <c r="Z648" s="2"/>
    </row>
    <row r="649" ht="22.5" customHeight="1">
      <c r="A649" s="7"/>
      <c r="B649" s="7"/>
      <c r="C649" s="7"/>
      <c r="D649" s="7"/>
      <c r="E649" s="7"/>
      <c r="F649" s="7"/>
      <c r="G649" s="7"/>
      <c r="H649" s="2"/>
      <c r="I649" s="7"/>
      <c r="J649" s="7"/>
      <c r="K649" s="2"/>
      <c r="L649" s="2"/>
      <c r="M649" s="2"/>
      <c r="N649" s="2"/>
      <c r="O649" s="2"/>
      <c r="P649" s="2"/>
      <c r="Q649" s="2"/>
      <c r="R649" s="2"/>
      <c r="S649" s="2"/>
      <c r="T649" s="2"/>
      <c r="U649" s="2"/>
      <c r="V649" s="2"/>
      <c r="W649" s="2"/>
      <c r="X649" s="2"/>
      <c r="Y649" s="2"/>
      <c r="Z649" s="2"/>
    </row>
    <row r="650" ht="22.5" customHeight="1">
      <c r="A650" s="7"/>
      <c r="B650" s="7"/>
      <c r="C650" s="7"/>
      <c r="D650" s="7"/>
      <c r="E650" s="7"/>
      <c r="F650" s="7"/>
      <c r="G650" s="7"/>
      <c r="H650" s="2"/>
      <c r="I650" s="7"/>
      <c r="J650" s="7"/>
      <c r="K650" s="2"/>
      <c r="L650" s="2"/>
      <c r="M650" s="2"/>
      <c r="N650" s="2"/>
      <c r="O650" s="2"/>
      <c r="P650" s="2"/>
      <c r="Q650" s="2"/>
      <c r="R650" s="2"/>
      <c r="S650" s="2"/>
      <c r="T650" s="2"/>
      <c r="U650" s="2"/>
      <c r="V650" s="2"/>
      <c r="W650" s="2"/>
      <c r="X650" s="2"/>
      <c r="Y650" s="2"/>
      <c r="Z650" s="2"/>
    </row>
    <row r="651" ht="22.5" customHeight="1">
      <c r="A651" s="7"/>
      <c r="B651" s="7"/>
      <c r="C651" s="7"/>
      <c r="D651" s="7"/>
      <c r="E651" s="7"/>
      <c r="F651" s="7"/>
      <c r="G651" s="7"/>
      <c r="H651" s="2"/>
      <c r="I651" s="7"/>
      <c r="J651" s="7"/>
      <c r="K651" s="2"/>
      <c r="L651" s="2"/>
      <c r="M651" s="2"/>
      <c r="N651" s="2"/>
      <c r="O651" s="2"/>
      <c r="P651" s="2"/>
      <c r="Q651" s="2"/>
      <c r="R651" s="2"/>
      <c r="S651" s="2"/>
      <c r="T651" s="2"/>
      <c r="U651" s="2"/>
      <c r="V651" s="2"/>
      <c r="W651" s="2"/>
      <c r="X651" s="2"/>
      <c r="Y651" s="2"/>
      <c r="Z651" s="2"/>
    </row>
    <row r="652" ht="22.5" customHeight="1">
      <c r="A652" s="7"/>
      <c r="B652" s="7"/>
      <c r="C652" s="7"/>
      <c r="D652" s="7"/>
      <c r="E652" s="7"/>
      <c r="F652" s="7"/>
      <c r="G652" s="7"/>
      <c r="H652" s="2"/>
      <c r="I652" s="7"/>
      <c r="J652" s="7"/>
      <c r="K652" s="2"/>
      <c r="L652" s="2"/>
      <c r="M652" s="2"/>
      <c r="N652" s="2"/>
      <c r="O652" s="2"/>
      <c r="P652" s="2"/>
      <c r="Q652" s="2"/>
      <c r="R652" s="2"/>
      <c r="S652" s="2"/>
      <c r="T652" s="2"/>
      <c r="U652" s="2"/>
      <c r="V652" s="2"/>
      <c r="W652" s="2"/>
      <c r="X652" s="2"/>
      <c r="Y652" s="2"/>
      <c r="Z652" s="2"/>
    </row>
    <row r="653" ht="22.5" customHeight="1">
      <c r="A653" s="7"/>
      <c r="B653" s="7"/>
      <c r="C653" s="7"/>
      <c r="D653" s="7"/>
      <c r="E653" s="7"/>
      <c r="F653" s="7"/>
      <c r="G653" s="7"/>
      <c r="H653" s="2"/>
      <c r="I653" s="7"/>
      <c r="J653" s="7"/>
      <c r="K653" s="2"/>
      <c r="L653" s="2"/>
      <c r="M653" s="2"/>
      <c r="N653" s="2"/>
      <c r="O653" s="2"/>
      <c r="P653" s="2"/>
      <c r="Q653" s="2"/>
      <c r="R653" s="2"/>
      <c r="S653" s="2"/>
      <c r="T653" s="2"/>
      <c r="U653" s="2"/>
      <c r="V653" s="2"/>
      <c r="W653" s="2"/>
      <c r="X653" s="2"/>
      <c r="Y653" s="2"/>
      <c r="Z653" s="2"/>
    </row>
    <row r="654" ht="22.5" customHeight="1">
      <c r="A654" s="7"/>
      <c r="B654" s="7"/>
      <c r="C654" s="7"/>
      <c r="D654" s="7"/>
      <c r="E654" s="7"/>
      <c r="F654" s="7"/>
      <c r="G654" s="7"/>
      <c r="H654" s="2"/>
      <c r="I654" s="7"/>
      <c r="J654" s="7"/>
      <c r="K654" s="2"/>
      <c r="L654" s="2"/>
      <c r="M654" s="2"/>
      <c r="N654" s="2"/>
      <c r="O654" s="2"/>
      <c r="P654" s="2"/>
      <c r="Q654" s="2"/>
      <c r="R654" s="2"/>
      <c r="S654" s="2"/>
      <c r="T654" s="2"/>
      <c r="U654" s="2"/>
      <c r="V654" s="2"/>
      <c r="W654" s="2"/>
      <c r="X654" s="2"/>
      <c r="Y654" s="2"/>
      <c r="Z654" s="2"/>
    </row>
    <row r="655" ht="22.5" customHeight="1">
      <c r="A655" s="7"/>
      <c r="B655" s="7"/>
      <c r="C655" s="7"/>
      <c r="D655" s="7"/>
      <c r="E655" s="7"/>
      <c r="F655" s="7"/>
      <c r="G655" s="7"/>
      <c r="H655" s="2"/>
      <c r="I655" s="7"/>
      <c r="J655" s="7"/>
      <c r="K655" s="2"/>
      <c r="L655" s="2"/>
      <c r="M655" s="2"/>
      <c r="N655" s="2"/>
      <c r="O655" s="2"/>
      <c r="P655" s="2"/>
      <c r="Q655" s="2"/>
      <c r="R655" s="2"/>
      <c r="S655" s="2"/>
      <c r="T655" s="2"/>
      <c r="U655" s="2"/>
      <c r="V655" s="2"/>
      <c r="W655" s="2"/>
      <c r="X655" s="2"/>
      <c r="Y655" s="2"/>
      <c r="Z655" s="2"/>
    </row>
    <row r="656" ht="22.5" customHeight="1">
      <c r="A656" s="7"/>
      <c r="B656" s="7"/>
      <c r="C656" s="7"/>
      <c r="D656" s="7"/>
      <c r="E656" s="7"/>
      <c r="F656" s="7"/>
      <c r="G656" s="7"/>
      <c r="H656" s="2"/>
      <c r="I656" s="7"/>
      <c r="J656" s="7"/>
      <c r="K656" s="2"/>
      <c r="L656" s="2"/>
      <c r="M656" s="2"/>
      <c r="N656" s="2"/>
      <c r="O656" s="2"/>
      <c r="P656" s="2"/>
      <c r="Q656" s="2"/>
      <c r="R656" s="2"/>
      <c r="S656" s="2"/>
      <c r="T656" s="2"/>
      <c r="U656" s="2"/>
      <c r="V656" s="2"/>
      <c r="W656" s="2"/>
      <c r="X656" s="2"/>
      <c r="Y656" s="2"/>
      <c r="Z656" s="2"/>
    </row>
    <row r="657" ht="22.5" customHeight="1">
      <c r="A657" s="7"/>
      <c r="B657" s="7"/>
      <c r="C657" s="7"/>
      <c r="D657" s="7"/>
      <c r="E657" s="7"/>
      <c r="F657" s="7"/>
      <c r="G657" s="7"/>
      <c r="H657" s="2"/>
      <c r="I657" s="7"/>
      <c r="J657" s="7"/>
      <c r="K657" s="2"/>
      <c r="L657" s="2"/>
      <c r="M657" s="2"/>
      <c r="N657" s="2"/>
      <c r="O657" s="2"/>
      <c r="P657" s="2"/>
      <c r="Q657" s="2"/>
      <c r="R657" s="2"/>
      <c r="S657" s="2"/>
      <c r="T657" s="2"/>
      <c r="U657" s="2"/>
      <c r="V657" s="2"/>
      <c r="W657" s="2"/>
      <c r="X657" s="2"/>
      <c r="Y657" s="2"/>
      <c r="Z657" s="2"/>
    </row>
    <row r="658" ht="22.5" customHeight="1">
      <c r="A658" s="7"/>
      <c r="B658" s="7"/>
      <c r="C658" s="7"/>
      <c r="D658" s="7"/>
      <c r="E658" s="7"/>
      <c r="F658" s="7"/>
      <c r="G658" s="7"/>
      <c r="H658" s="2"/>
      <c r="I658" s="7"/>
      <c r="J658" s="7"/>
      <c r="K658" s="2"/>
      <c r="L658" s="2"/>
      <c r="M658" s="2"/>
      <c r="N658" s="2"/>
      <c r="O658" s="2"/>
      <c r="P658" s="2"/>
      <c r="Q658" s="2"/>
      <c r="R658" s="2"/>
      <c r="S658" s="2"/>
      <c r="T658" s="2"/>
      <c r="U658" s="2"/>
      <c r="V658" s="2"/>
      <c r="W658" s="2"/>
      <c r="X658" s="2"/>
      <c r="Y658" s="2"/>
      <c r="Z658" s="2"/>
    </row>
    <row r="659" ht="22.5" customHeight="1">
      <c r="A659" s="7"/>
      <c r="B659" s="7"/>
      <c r="C659" s="7"/>
      <c r="D659" s="7"/>
      <c r="E659" s="7"/>
      <c r="F659" s="7"/>
      <c r="G659" s="7"/>
      <c r="H659" s="2"/>
      <c r="I659" s="7"/>
      <c r="J659" s="7"/>
      <c r="K659" s="2"/>
      <c r="L659" s="2"/>
      <c r="M659" s="2"/>
      <c r="N659" s="2"/>
      <c r="O659" s="2"/>
      <c r="P659" s="2"/>
      <c r="Q659" s="2"/>
      <c r="R659" s="2"/>
      <c r="S659" s="2"/>
      <c r="T659" s="2"/>
      <c r="U659" s="2"/>
      <c r="V659" s="2"/>
      <c r="W659" s="2"/>
      <c r="X659" s="2"/>
      <c r="Y659" s="2"/>
      <c r="Z659" s="2"/>
    </row>
    <row r="660" ht="22.5" customHeight="1">
      <c r="A660" s="7"/>
      <c r="B660" s="7"/>
      <c r="C660" s="7"/>
      <c r="D660" s="7"/>
      <c r="E660" s="7"/>
      <c r="F660" s="7"/>
      <c r="G660" s="7"/>
      <c r="H660" s="2"/>
      <c r="I660" s="7"/>
      <c r="J660" s="7"/>
      <c r="K660" s="2"/>
      <c r="L660" s="2"/>
      <c r="M660" s="2"/>
      <c r="N660" s="2"/>
      <c r="O660" s="2"/>
      <c r="P660" s="2"/>
      <c r="Q660" s="2"/>
      <c r="R660" s="2"/>
      <c r="S660" s="2"/>
      <c r="T660" s="2"/>
      <c r="U660" s="2"/>
      <c r="V660" s="2"/>
      <c r="W660" s="2"/>
      <c r="X660" s="2"/>
      <c r="Y660" s="2"/>
      <c r="Z660" s="2"/>
    </row>
    <row r="661" ht="22.5" customHeight="1">
      <c r="A661" s="7"/>
      <c r="B661" s="7"/>
      <c r="C661" s="7"/>
      <c r="D661" s="7"/>
      <c r="E661" s="7"/>
      <c r="F661" s="7"/>
      <c r="G661" s="7"/>
      <c r="H661" s="2"/>
      <c r="I661" s="7"/>
      <c r="J661" s="7"/>
      <c r="K661" s="2"/>
      <c r="L661" s="2"/>
      <c r="M661" s="2"/>
      <c r="N661" s="2"/>
      <c r="O661" s="2"/>
      <c r="P661" s="2"/>
      <c r="Q661" s="2"/>
      <c r="R661" s="2"/>
      <c r="S661" s="2"/>
      <c r="T661" s="2"/>
      <c r="U661" s="2"/>
      <c r="V661" s="2"/>
      <c r="W661" s="2"/>
      <c r="X661" s="2"/>
      <c r="Y661" s="2"/>
      <c r="Z661" s="2"/>
    </row>
    <row r="662" ht="22.5" customHeight="1">
      <c r="A662" s="7"/>
      <c r="B662" s="7"/>
      <c r="C662" s="7"/>
      <c r="D662" s="7"/>
      <c r="E662" s="7"/>
      <c r="F662" s="7"/>
      <c r="G662" s="7"/>
      <c r="H662" s="2"/>
      <c r="I662" s="7"/>
      <c r="J662" s="7"/>
      <c r="K662" s="2"/>
      <c r="L662" s="2"/>
      <c r="M662" s="2"/>
      <c r="N662" s="2"/>
      <c r="O662" s="2"/>
      <c r="P662" s="2"/>
      <c r="Q662" s="2"/>
      <c r="R662" s="2"/>
      <c r="S662" s="2"/>
      <c r="T662" s="2"/>
      <c r="U662" s="2"/>
      <c r="V662" s="2"/>
      <c r="W662" s="2"/>
      <c r="X662" s="2"/>
      <c r="Y662" s="2"/>
      <c r="Z662" s="2"/>
    </row>
    <row r="663" ht="22.5" customHeight="1">
      <c r="A663" s="7"/>
      <c r="B663" s="7"/>
      <c r="C663" s="7"/>
      <c r="D663" s="7"/>
      <c r="E663" s="7"/>
      <c r="F663" s="7"/>
      <c r="G663" s="7"/>
      <c r="H663" s="2"/>
      <c r="I663" s="7"/>
      <c r="J663" s="7"/>
      <c r="K663" s="2"/>
      <c r="L663" s="2"/>
      <c r="M663" s="2"/>
      <c r="N663" s="2"/>
      <c r="O663" s="2"/>
      <c r="P663" s="2"/>
      <c r="Q663" s="2"/>
      <c r="R663" s="2"/>
      <c r="S663" s="2"/>
      <c r="T663" s="2"/>
      <c r="U663" s="2"/>
      <c r="V663" s="2"/>
      <c r="W663" s="2"/>
      <c r="X663" s="2"/>
      <c r="Y663" s="2"/>
      <c r="Z663" s="2"/>
    </row>
    <row r="664" ht="22.5" customHeight="1">
      <c r="A664" s="7"/>
      <c r="B664" s="7"/>
      <c r="C664" s="7"/>
      <c r="D664" s="7"/>
      <c r="E664" s="7"/>
      <c r="F664" s="7"/>
      <c r="G664" s="7"/>
      <c r="H664" s="2"/>
      <c r="I664" s="7"/>
      <c r="J664" s="7"/>
      <c r="K664" s="2"/>
      <c r="L664" s="2"/>
      <c r="M664" s="2"/>
      <c r="N664" s="2"/>
      <c r="O664" s="2"/>
      <c r="P664" s="2"/>
      <c r="Q664" s="2"/>
      <c r="R664" s="2"/>
      <c r="S664" s="2"/>
      <c r="T664" s="2"/>
      <c r="U664" s="2"/>
      <c r="V664" s="2"/>
      <c r="W664" s="2"/>
      <c r="X664" s="2"/>
      <c r="Y664" s="2"/>
      <c r="Z664" s="2"/>
    </row>
    <row r="665" ht="22.5" customHeight="1">
      <c r="A665" s="7"/>
      <c r="B665" s="7"/>
      <c r="C665" s="7"/>
      <c r="D665" s="7"/>
      <c r="E665" s="7"/>
      <c r="F665" s="7"/>
      <c r="G665" s="7"/>
      <c r="H665" s="2"/>
      <c r="I665" s="7"/>
      <c r="J665" s="7"/>
      <c r="K665" s="2"/>
      <c r="L665" s="2"/>
      <c r="M665" s="2"/>
      <c r="N665" s="2"/>
      <c r="O665" s="2"/>
      <c r="P665" s="2"/>
      <c r="Q665" s="2"/>
      <c r="R665" s="2"/>
      <c r="S665" s="2"/>
      <c r="T665" s="2"/>
      <c r="U665" s="2"/>
      <c r="V665" s="2"/>
      <c r="W665" s="2"/>
      <c r="X665" s="2"/>
      <c r="Y665" s="2"/>
      <c r="Z665" s="2"/>
    </row>
    <row r="666" ht="22.5" customHeight="1">
      <c r="A666" s="7"/>
      <c r="B666" s="7"/>
      <c r="C666" s="7"/>
      <c r="D666" s="7"/>
      <c r="E666" s="7"/>
      <c r="F666" s="7"/>
      <c r="G666" s="7"/>
      <c r="H666" s="2"/>
      <c r="I666" s="7"/>
      <c r="J666" s="7"/>
      <c r="K666" s="2"/>
      <c r="L666" s="2"/>
      <c r="M666" s="2"/>
      <c r="N666" s="2"/>
      <c r="O666" s="2"/>
      <c r="P666" s="2"/>
      <c r="Q666" s="2"/>
      <c r="R666" s="2"/>
      <c r="S666" s="2"/>
      <c r="T666" s="2"/>
      <c r="U666" s="2"/>
      <c r="V666" s="2"/>
      <c r="W666" s="2"/>
      <c r="X666" s="2"/>
      <c r="Y666" s="2"/>
      <c r="Z666" s="2"/>
    </row>
    <row r="667" ht="22.5" customHeight="1">
      <c r="A667" s="7"/>
      <c r="B667" s="7"/>
      <c r="C667" s="7"/>
      <c r="D667" s="7"/>
      <c r="E667" s="7"/>
      <c r="F667" s="7"/>
      <c r="G667" s="7"/>
      <c r="H667" s="2"/>
      <c r="I667" s="7"/>
      <c r="J667" s="7"/>
      <c r="K667" s="2"/>
      <c r="L667" s="2"/>
      <c r="M667" s="2"/>
      <c r="N667" s="2"/>
      <c r="O667" s="2"/>
      <c r="P667" s="2"/>
      <c r="Q667" s="2"/>
      <c r="R667" s="2"/>
      <c r="S667" s="2"/>
      <c r="T667" s="2"/>
      <c r="U667" s="2"/>
      <c r="V667" s="2"/>
      <c r="W667" s="2"/>
      <c r="X667" s="2"/>
      <c r="Y667" s="2"/>
      <c r="Z667" s="2"/>
    </row>
    <row r="668" ht="22.5" customHeight="1">
      <c r="A668" s="7"/>
      <c r="B668" s="7"/>
      <c r="C668" s="7"/>
      <c r="D668" s="7"/>
      <c r="E668" s="7"/>
      <c r="F668" s="7"/>
      <c r="G668" s="7"/>
      <c r="H668" s="2"/>
      <c r="I668" s="7"/>
      <c r="J668" s="7"/>
      <c r="K668" s="2"/>
      <c r="L668" s="2"/>
      <c r="M668" s="2"/>
      <c r="N668" s="2"/>
      <c r="O668" s="2"/>
      <c r="P668" s="2"/>
      <c r="Q668" s="2"/>
      <c r="R668" s="2"/>
      <c r="S668" s="2"/>
      <c r="T668" s="2"/>
      <c r="U668" s="2"/>
      <c r="V668" s="2"/>
      <c r="W668" s="2"/>
      <c r="X668" s="2"/>
      <c r="Y668" s="2"/>
      <c r="Z668" s="2"/>
    </row>
    <row r="669" ht="22.5" customHeight="1">
      <c r="A669" s="7"/>
      <c r="B669" s="7"/>
      <c r="C669" s="7"/>
      <c r="D669" s="7"/>
      <c r="E669" s="7"/>
      <c r="F669" s="7"/>
      <c r="G669" s="7"/>
      <c r="H669" s="2"/>
      <c r="I669" s="7"/>
      <c r="J669" s="7"/>
      <c r="K669" s="2"/>
      <c r="L669" s="2"/>
      <c r="M669" s="2"/>
      <c r="N669" s="2"/>
      <c r="O669" s="2"/>
      <c r="P669" s="2"/>
      <c r="Q669" s="2"/>
      <c r="R669" s="2"/>
      <c r="S669" s="2"/>
      <c r="T669" s="2"/>
      <c r="U669" s="2"/>
      <c r="V669" s="2"/>
      <c r="W669" s="2"/>
      <c r="X669" s="2"/>
      <c r="Y669" s="2"/>
      <c r="Z669" s="2"/>
    </row>
    <row r="670" ht="22.5" customHeight="1">
      <c r="A670" s="7"/>
      <c r="B670" s="7"/>
      <c r="C670" s="7"/>
      <c r="D670" s="7"/>
      <c r="E670" s="7"/>
      <c r="F670" s="7"/>
      <c r="G670" s="7"/>
      <c r="H670" s="2"/>
      <c r="I670" s="7"/>
      <c r="J670" s="7"/>
      <c r="K670" s="2"/>
      <c r="L670" s="2"/>
      <c r="M670" s="2"/>
      <c r="N670" s="2"/>
      <c r="O670" s="2"/>
      <c r="P670" s="2"/>
      <c r="Q670" s="2"/>
      <c r="R670" s="2"/>
      <c r="S670" s="2"/>
      <c r="T670" s="2"/>
      <c r="U670" s="2"/>
      <c r="V670" s="2"/>
      <c r="W670" s="2"/>
      <c r="X670" s="2"/>
      <c r="Y670" s="2"/>
      <c r="Z670" s="2"/>
    </row>
    <row r="671" ht="22.5" customHeight="1">
      <c r="A671" s="7"/>
      <c r="B671" s="7"/>
      <c r="C671" s="7"/>
      <c r="D671" s="7"/>
      <c r="E671" s="7"/>
      <c r="F671" s="7"/>
      <c r="G671" s="7"/>
      <c r="H671" s="2"/>
      <c r="I671" s="7"/>
      <c r="J671" s="7"/>
      <c r="K671" s="2"/>
      <c r="L671" s="2"/>
      <c r="M671" s="2"/>
      <c r="N671" s="2"/>
      <c r="O671" s="2"/>
      <c r="P671" s="2"/>
      <c r="Q671" s="2"/>
      <c r="R671" s="2"/>
      <c r="S671" s="2"/>
      <c r="T671" s="2"/>
      <c r="U671" s="2"/>
      <c r="V671" s="2"/>
      <c r="W671" s="2"/>
      <c r="X671" s="2"/>
      <c r="Y671" s="2"/>
      <c r="Z671" s="2"/>
    </row>
    <row r="672" ht="22.5" customHeight="1">
      <c r="A672" s="7"/>
      <c r="B672" s="7"/>
      <c r="C672" s="7"/>
      <c r="D672" s="7"/>
      <c r="E672" s="7"/>
      <c r="F672" s="7"/>
      <c r="G672" s="7"/>
      <c r="H672" s="2"/>
      <c r="I672" s="7"/>
      <c r="J672" s="7"/>
      <c r="K672" s="2"/>
      <c r="L672" s="2"/>
      <c r="M672" s="2"/>
      <c r="N672" s="2"/>
      <c r="O672" s="2"/>
      <c r="P672" s="2"/>
      <c r="Q672" s="2"/>
      <c r="R672" s="2"/>
      <c r="S672" s="2"/>
      <c r="T672" s="2"/>
      <c r="U672" s="2"/>
      <c r="V672" s="2"/>
      <c r="W672" s="2"/>
      <c r="X672" s="2"/>
      <c r="Y672" s="2"/>
      <c r="Z672" s="2"/>
    </row>
    <row r="673" ht="22.5" customHeight="1">
      <c r="A673" s="7"/>
      <c r="B673" s="7"/>
      <c r="C673" s="7"/>
      <c r="D673" s="7"/>
      <c r="E673" s="7"/>
      <c r="F673" s="7"/>
      <c r="G673" s="7"/>
      <c r="H673" s="2"/>
      <c r="I673" s="7"/>
      <c r="J673" s="7"/>
      <c r="K673" s="2"/>
      <c r="L673" s="2"/>
      <c r="M673" s="2"/>
      <c r="N673" s="2"/>
      <c r="O673" s="2"/>
      <c r="P673" s="2"/>
      <c r="Q673" s="2"/>
      <c r="R673" s="2"/>
      <c r="S673" s="2"/>
      <c r="T673" s="2"/>
      <c r="U673" s="2"/>
      <c r="V673" s="2"/>
      <c r="W673" s="2"/>
      <c r="X673" s="2"/>
      <c r="Y673" s="2"/>
      <c r="Z673" s="2"/>
    </row>
    <row r="674" ht="22.5" customHeight="1">
      <c r="A674" s="7"/>
      <c r="B674" s="7"/>
      <c r="C674" s="7"/>
      <c r="D674" s="7"/>
      <c r="E674" s="7"/>
      <c r="F674" s="7"/>
      <c r="G674" s="7"/>
      <c r="H674" s="2"/>
      <c r="I674" s="7"/>
      <c r="J674" s="7"/>
      <c r="K674" s="2"/>
      <c r="L674" s="2"/>
      <c r="M674" s="2"/>
      <c r="N674" s="2"/>
      <c r="O674" s="2"/>
      <c r="P674" s="2"/>
      <c r="Q674" s="2"/>
      <c r="R674" s="2"/>
      <c r="S674" s="2"/>
      <c r="T674" s="2"/>
      <c r="U674" s="2"/>
      <c r="V674" s="2"/>
      <c r="W674" s="2"/>
      <c r="X674" s="2"/>
      <c r="Y674" s="2"/>
      <c r="Z674" s="2"/>
    </row>
    <row r="675" ht="22.5" customHeight="1">
      <c r="A675" s="7"/>
      <c r="B675" s="7"/>
      <c r="C675" s="7"/>
      <c r="D675" s="7"/>
      <c r="E675" s="7"/>
      <c r="F675" s="7"/>
      <c r="G675" s="7"/>
      <c r="H675" s="2"/>
      <c r="I675" s="7"/>
      <c r="J675" s="7"/>
      <c r="K675" s="2"/>
      <c r="L675" s="2"/>
      <c r="M675" s="2"/>
      <c r="N675" s="2"/>
      <c r="O675" s="2"/>
      <c r="P675" s="2"/>
      <c r="Q675" s="2"/>
      <c r="R675" s="2"/>
      <c r="S675" s="2"/>
      <c r="T675" s="2"/>
      <c r="U675" s="2"/>
      <c r="V675" s="2"/>
      <c r="W675" s="2"/>
      <c r="X675" s="2"/>
      <c r="Y675" s="2"/>
      <c r="Z675" s="2"/>
    </row>
    <row r="676" ht="22.5" customHeight="1">
      <c r="A676" s="7"/>
      <c r="B676" s="7"/>
      <c r="C676" s="7"/>
      <c r="D676" s="7"/>
      <c r="E676" s="7"/>
      <c r="F676" s="7"/>
      <c r="G676" s="7"/>
      <c r="H676" s="2"/>
      <c r="I676" s="7"/>
      <c r="J676" s="7"/>
      <c r="K676" s="2"/>
      <c r="L676" s="2"/>
      <c r="M676" s="2"/>
      <c r="N676" s="2"/>
      <c r="O676" s="2"/>
      <c r="P676" s="2"/>
      <c r="Q676" s="2"/>
      <c r="R676" s="2"/>
      <c r="S676" s="2"/>
      <c r="T676" s="2"/>
      <c r="U676" s="2"/>
      <c r="V676" s="2"/>
      <c r="W676" s="2"/>
      <c r="X676" s="2"/>
      <c r="Y676" s="2"/>
      <c r="Z676" s="2"/>
    </row>
    <row r="677" ht="22.5" customHeight="1">
      <c r="A677" s="7"/>
      <c r="B677" s="7"/>
      <c r="C677" s="7"/>
      <c r="D677" s="7"/>
      <c r="E677" s="7"/>
      <c r="F677" s="7"/>
      <c r="G677" s="7"/>
      <c r="H677" s="2"/>
      <c r="I677" s="7"/>
      <c r="J677" s="7"/>
      <c r="K677" s="2"/>
      <c r="L677" s="2"/>
      <c r="M677" s="2"/>
      <c r="N677" s="2"/>
      <c r="O677" s="2"/>
      <c r="P677" s="2"/>
      <c r="Q677" s="2"/>
      <c r="R677" s="2"/>
      <c r="S677" s="2"/>
      <c r="T677" s="2"/>
      <c r="U677" s="2"/>
      <c r="V677" s="2"/>
      <c r="W677" s="2"/>
      <c r="X677" s="2"/>
      <c r="Y677" s="2"/>
      <c r="Z677" s="2"/>
    </row>
    <row r="678" ht="22.5" customHeight="1">
      <c r="A678" s="7"/>
      <c r="B678" s="7"/>
      <c r="C678" s="7"/>
      <c r="D678" s="7"/>
      <c r="E678" s="7"/>
      <c r="F678" s="7"/>
      <c r="G678" s="7"/>
      <c r="H678" s="2"/>
      <c r="I678" s="7"/>
      <c r="J678" s="7"/>
      <c r="K678" s="2"/>
      <c r="L678" s="2"/>
      <c r="M678" s="2"/>
      <c r="N678" s="2"/>
      <c r="O678" s="2"/>
      <c r="P678" s="2"/>
      <c r="Q678" s="2"/>
      <c r="R678" s="2"/>
      <c r="S678" s="2"/>
      <c r="T678" s="2"/>
      <c r="U678" s="2"/>
      <c r="V678" s="2"/>
      <c r="W678" s="2"/>
      <c r="X678" s="2"/>
      <c r="Y678" s="2"/>
      <c r="Z678" s="2"/>
    </row>
    <row r="679" ht="22.5" customHeight="1">
      <c r="A679" s="7"/>
      <c r="B679" s="7"/>
      <c r="C679" s="7"/>
      <c r="D679" s="7"/>
      <c r="E679" s="7"/>
      <c r="F679" s="7"/>
      <c r="G679" s="7"/>
      <c r="H679" s="2"/>
      <c r="I679" s="7"/>
      <c r="J679" s="7"/>
      <c r="K679" s="2"/>
      <c r="L679" s="2"/>
      <c r="M679" s="2"/>
      <c r="N679" s="2"/>
      <c r="O679" s="2"/>
      <c r="P679" s="2"/>
      <c r="Q679" s="2"/>
      <c r="R679" s="2"/>
      <c r="S679" s="2"/>
      <c r="T679" s="2"/>
      <c r="U679" s="2"/>
      <c r="V679" s="2"/>
      <c r="W679" s="2"/>
      <c r="X679" s="2"/>
      <c r="Y679" s="2"/>
      <c r="Z679" s="2"/>
    </row>
    <row r="680" ht="22.5" customHeight="1">
      <c r="A680" s="7"/>
      <c r="B680" s="7"/>
      <c r="C680" s="7"/>
      <c r="D680" s="7"/>
      <c r="E680" s="7"/>
      <c r="F680" s="7"/>
      <c r="G680" s="7"/>
      <c r="H680" s="2"/>
      <c r="I680" s="7"/>
      <c r="J680" s="7"/>
      <c r="K680" s="2"/>
      <c r="L680" s="2"/>
      <c r="M680" s="2"/>
      <c r="N680" s="2"/>
      <c r="O680" s="2"/>
      <c r="P680" s="2"/>
      <c r="Q680" s="2"/>
      <c r="R680" s="2"/>
      <c r="S680" s="2"/>
      <c r="T680" s="2"/>
      <c r="U680" s="2"/>
      <c r="V680" s="2"/>
      <c r="W680" s="2"/>
      <c r="X680" s="2"/>
      <c r="Y680" s="2"/>
      <c r="Z680" s="2"/>
    </row>
    <row r="681" ht="22.5" customHeight="1">
      <c r="A681" s="7"/>
      <c r="B681" s="7"/>
      <c r="C681" s="7"/>
      <c r="D681" s="7"/>
      <c r="E681" s="7"/>
      <c r="F681" s="7"/>
      <c r="G681" s="7"/>
      <c r="H681" s="2"/>
      <c r="I681" s="7"/>
      <c r="J681" s="7"/>
      <c r="K681" s="2"/>
      <c r="L681" s="2"/>
      <c r="M681" s="2"/>
      <c r="N681" s="2"/>
      <c r="O681" s="2"/>
      <c r="P681" s="2"/>
      <c r="Q681" s="2"/>
      <c r="R681" s="2"/>
      <c r="S681" s="2"/>
      <c r="T681" s="2"/>
      <c r="U681" s="2"/>
      <c r="V681" s="2"/>
      <c r="W681" s="2"/>
      <c r="X681" s="2"/>
      <c r="Y681" s="2"/>
      <c r="Z681" s="2"/>
    </row>
    <row r="682" ht="22.5" customHeight="1">
      <c r="A682" s="7"/>
      <c r="B682" s="7"/>
      <c r="C682" s="7"/>
      <c r="D682" s="7"/>
      <c r="E682" s="7"/>
      <c r="F682" s="7"/>
      <c r="G682" s="7"/>
      <c r="H682" s="2"/>
      <c r="I682" s="7"/>
      <c r="J682" s="7"/>
      <c r="K682" s="2"/>
      <c r="L682" s="2"/>
      <c r="M682" s="2"/>
      <c r="N682" s="2"/>
      <c r="O682" s="2"/>
      <c r="P682" s="2"/>
      <c r="Q682" s="2"/>
      <c r="R682" s="2"/>
      <c r="S682" s="2"/>
      <c r="T682" s="2"/>
      <c r="U682" s="2"/>
      <c r="V682" s="2"/>
      <c r="W682" s="2"/>
      <c r="X682" s="2"/>
      <c r="Y682" s="2"/>
      <c r="Z682" s="2"/>
    </row>
    <row r="683" ht="22.5" customHeight="1">
      <c r="A683" s="7"/>
      <c r="B683" s="7"/>
      <c r="C683" s="7"/>
      <c r="D683" s="7"/>
      <c r="E683" s="7"/>
      <c r="F683" s="7"/>
      <c r="G683" s="7"/>
      <c r="H683" s="2"/>
      <c r="I683" s="7"/>
      <c r="J683" s="7"/>
      <c r="K683" s="2"/>
      <c r="L683" s="2"/>
      <c r="M683" s="2"/>
      <c r="N683" s="2"/>
      <c r="O683" s="2"/>
      <c r="P683" s="2"/>
      <c r="Q683" s="2"/>
      <c r="R683" s="2"/>
      <c r="S683" s="2"/>
      <c r="T683" s="2"/>
      <c r="U683" s="2"/>
      <c r="V683" s="2"/>
      <c r="W683" s="2"/>
      <c r="X683" s="2"/>
      <c r="Y683" s="2"/>
      <c r="Z683" s="2"/>
    </row>
    <row r="684" ht="22.5" customHeight="1">
      <c r="A684" s="7"/>
      <c r="B684" s="7"/>
      <c r="C684" s="7"/>
      <c r="D684" s="7"/>
      <c r="E684" s="7"/>
      <c r="F684" s="7"/>
      <c r="G684" s="7"/>
      <c r="H684" s="2"/>
      <c r="I684" s="7"/>
      <c r="J684" s="7"/>
      <c r="K684" s="2"/>
      <c r="L684" s="2"/>
      <c r="M684" s="2"/>
      <c r="N684" s="2"/>
      <c r="O684" s="2"/>
      <c r="P684" s="2"/>
      <c r="Q684" s="2"/>
      <c r="R684" s="2"/>
      <c r="S684" s="2"/>
      <c r="T684" s="2"/>
      <c r="U684" s="2"/>
      <c r="V684" s="2"/>
      <c r="W684" s="2"/>
      <c r="X684" s="2"/>
      <c r="Y684" s="2"/>
      <c r="Z684" s="2"/>
    </row>
    <row r="685" ht="22.5" customHeight="1">
      <c r="A685" s="7"/>
      <c r="B685" s="7"/>
      <c r="C685" s="7"/>
      <c r="D685" s="7"/>
      <c r="E685" s="7"/>
      <c r="F685" s="7"/>
      <c r="G685" s="7"/>
      <c r="H685" s="2"/>
      <c r="I685" s="7"/>
      <c r="J685" s="7"/>
      <c r="K685" s="2"/>
      <c r="L685" s="2"/>
      <c r="M685" s="2"/>
      <c r="N685" s="2"/>
      <c r="O685" s="2"/>
      <c r="P685" s="2"/>
      <c r="Q685" s="2"/>
      <c r="R685" s="2"/>
      <c r="S685" s="2"/>
      <c r="T685" s="2"/>
      <c r="U685" s="2"/>
      <c r="V685" s="2"/>
      <c r="W685" s="2"/>
      <c r="X685" s="2"/>
      <c r="Y685" s="2"/>
      <c r="Z685" s="2"/>
    </row>
    <row r="686" ht="22.5" customHeight="1">
      <c r="A686" s="7"/>
      <c r="B686" s="7"/>
      <c r="C686" s="7"/>
      <c r="D686" s="7"/>
      <c r="E686" s="7"/>
      <c r="F686" s="7"/>
      <c r="G686" s="7"/>
      <c r="H686" s="2"/>
      <c r="I686" s="7"/>
      <c r="J686" s="7"/>
      <c r="K686" s="2"/>
      <c r="L686" s="2"/>
      <c r="M686" s="2"/>
      <c r="N686" s="2"/>
      <c r="O686" s="2"/>
      <c r="P686" s="2"/>
      <c r="Q686" s="2"/>
      <c r="R686" s="2"/>
      <c r="S686" s="2"/>
      <c r="T686" s="2"/>
      <c r="U686" s="2"/>
      <c r="V686" s="2"/>
      <c r="W686" s="2"/>
      <c r="X686" s="2"/>
      <c r="Y686" s="2"/>
      <c r="Z686" s="2"/>
    </row>
    <row r="687" ht="22.5" customHeight="1">
      <c r="A687" s="7"/>
      <c r="B687" s="7"/>
      <c r="C687" s="7"/>
      <c r="D687" s="7"/>
      <c r="E687" s="7"/>
      <c r="F687" s="7"/>
      <c r="G687" s="7"/>
      <c r="H687" s="2"/>
      <c r="I687" s="7"/>
      <c r="J687" s="7"/>
      <c r="K687" s="2"/>
      <c r="L687" s="2"/>
      <c r="M687" s="2"/>
      <c r="N687" s="2"/>
      <c r="O687" s="2"/>
      <c r="P687" s="2"/>
      <c r="Q687" s="2"/>
      <c r="R687" s="2"/>
      <c r="S687" s="2"/>
      <c r="T687" s="2"/>
      <c r="U687" s="2"/>
      <c r="V687" s="2"/>
      <c r="W687" s="2"/>
      <c r="X687" s="2"/>
      <c r="Y687" s="2"/>
      <c r="Z687" s="2"/>
    </row>
    <row r="688" ht="22.5" customHeight="1">
      <c r="A688" s="7"/>
      <c r="B688" s="7"/>
      <c r="C688" s="7"/>
      <c r="D688" s="7"/>
      <c r="E688" s="7"/>
      <c r="F688" s="7"/>
      <c r="G688" s="7"/>
      <c r="H688" s="2"/>
      <c r="I688" s="7"/>
      <c r="J688" s="7"/>
      <c r="K688" s="2"/>
      <c r="L688" s="2"/>
      <c r="M688" s="2"/>
      <c r="N688" s="2"/>
      <c r="O688" s="2"/>
      <c r="P688" s="2"/>
      <c r="Q688" s="2"/>
      <c r="R688" s="2"/>
      <c r="S688" s="2"/>
      <c r="T688" s="2"/>
      <c r="U688" s="2"/>
      <c r="V688" s="2"/>
      <c r="W688" s="2"/>
      <c r="X688" s="2"/>
      <c r="Y688" s="2"/>
      <c r="Z688" s="2"/>
    </row>
    <row r="689" ht="22.5" customHeight="1">
      <c r="A689" s="7"/>
      <c r="B689" s="7"/>
      <c r="C689" s="7"/>
      <c r="D689" s="7"/>
      <c r="E689" s="7"/>
      <c r="F689" s="7"/>
      <c r="G689" s="7"/>
      <c r="H689" s="2"/>
      <c r="I689" s="7"/>
      <c r="J689" s="7"/>
      <c r="K689" s="2"/>
      <c r="L689" s="2"/>
      <c r="M689" s="2"/>
      <c r="N689" s="2"/>
      <c r="O689" s="2"/>
      <c r="P689" s="2"/>
      <c r="Q689" s="2"/>
      <c r="R689" s="2"/>
      <c r="S689" s="2"/>
      <c r="T689" s="2"/>
      <c r="U689" s="2"/>
      <c r="V689" s="2"/>
      <c r="W689" s="2"/>
      <c r="X689" s="2"/>
      <c r="Y689" s="2"/>
      <c r="Z689" s="2"/>
    </row>
    <row r="690" ht="22.5" customHeight="1">
      <c r="A690" s="7"/>
      <c r="B690" s="7"/>
      <c r="C690" s="7"/>
      <c r="D690" s="7"/>
      <c r="E690" s="7"/>
      <c r="F690" s="7"/>
      <c r="G690" s="7"/>
      <c r="H690" s="2"/>
      <c r="I690" s="7"/>
      <c r="J690" s="7"/>
      <c r="K690" s="2"/>
      <c r="L690" s="2"/>
      <c r="M690" s="2"/>
      <c r="N690" s="2"/>
      <c r="O690" s="2"/>
      <c r="P690" s="2"/>
      <c r="Q690" s="2"/>
      <c r="R690" s="2"/>
      <c r="S690" s="2"/>
      <c r="T690" s="2"/>
      <c r="U690" s="2"/>
      <c r="V690" s="2"/>
      <c r="W690" s="2"/>
      <c r="X690" s="2"/>
      <c r="Y690" s="2"/>
      <c r="Z690" s="2"/>
    </row>
    <row r="691" ht="22.5" customHeight="1">
      <c r="A691" s="7"/>
      <c r="B691" s="7"/>
      <c r="C691" s="7"/>
      <c r="D691" s="7"/>
      <c r="E691" s="7"/>
      <c r="F691" s="7"/>
      <c r="G691" s="7"/>
      <c r="H691" s="2"/>
      <c r="I691" s="7"/>
      <c r="J691" s="7"/>
      <c r="K691" s="2"/>
      <c r="L691" s="2"/>
      <c r="M691" s="2"/>
      <c r="N691" s="2"/>
      <c r="O691" s="2"/>
      <c r="P691" s="2"/>
      <c r="Q691" s="2"/>
      <c r="R691" s="2"/>
      <c r="S691" s="2"/>
      <c r="T691" s="2"/>
      <c r="U691" s="2"/>
      <c r="V691" s="2"/>
      <c r="W691" s="2"/>
      <c r="X691" s="2"/>
      <c r="Y691" s="2"/>
      <c r="Z691" s="2"/>
    </row>
    <row r="692" ht="22.5" customHeight="1">
      <c r="A692" s="7"/>
      <c r="B692" s="7"/>
      <c r="C692" s="7"/>
      <c r="D692" s="7"/>
      <c r="E692" s="7"/>
      <c r="F692" s="7"/>
      <c r="G692" s="7"/>
      <c r="H692" s="2"/>
      <c r="I692" s="7"/>
      <c r="J692" s="7"/>
      <c r="K692" s="2"/>
      <c r="L692" s="2"/>
      <c r="M692" s="2"/>
      <c r="N692" s="2"/>
      <c r="O692" s="2"/>
      <c r="P692" s="2"/>
      <c r="Q692" s="2"/>
      <c r="R692" s="2"/>
      <c r="S692" s="2"/>
      <c r="T692" s="2"/>
      <c r="U692" s="2"/>
      <c r="V692" s="2"/>
      <c r="W692" s="2"/>
      <c r="X692" s="2"/>
      <c r="Y692" s="2"/>
      <c r="Z692" s="2"/>
    </row>
    <row r="693" ht="22.5" customHeight="1">
      <c r="A693" s="7"/>
      <c r="B693" s="7"/>
      <c r="C693" s="7"/>
      <c r="D693" s="7"/>
      <c r="E693" s="7"/>
      <c r="F693" s="7"/>
      <c r="G693" s="7"/>
      <c r="H693" s="2"/>
      <c r="I693" s="7"/>
      <c r="J693" s="7"/>
      <c r="K693" s="2"/>
      <c r="L693" s="2"/>
      <c r="M693" s="2"/>
      <c r="N693" s="2"/>
      <c r="O693" s="2"/>
      <c r="P693" s="2"/>
      <c r="Q693" s="2"/>
      <c r="R693" s="2"/>
      <c r="S693" s="2"/>
      <c r="T693" s="2"/>
      <c r="U693" s="2"/>
      <c r="V693" s="2"/>
      <c r="W693" s="2"/>
      <c r="X693" s="2"/>
      <c r="Y693" s="2"/>
      <c r="Z693" s="2"/>
    </row>
    <row r="694" ht="22.5" customHeight="1">
      <c r="A694" s="7"/>
      <c r="B694" s="7"/>
      <c r="C694" s="7"/>
      <c r="D694" s="7"/>
      <c r="E694" s="7"/>
      <c r="F694" s="7"/>
      <c r="G694" s="7"/>
      <c r="H694" s="2"/>
      <c r="I694" s="7"/>
      <c r="J694" s="7"/>
      <c r="K694" s="2"/>
      <c r="L694" s="2"/>
      <c r="M694" s="2"/>
      <c r="N694" s="2"/>
      <c r="O694" s="2"/>
      <c r="P694" s="2"/>
      <c r="Q694" s="2"/>
      <c r="R694" s="2"/>
      <c r="S694" s="2"/>
      <c r="T694" s="2"/>
      <c r="U694" s="2"/>
      <c r="V694" s="2"/>
      <c r="W694" s="2"/>
      <c r="X694" s="2"/>
      <c r="Y694" s="2"/>
      <c r="Z694" s="2"/>
    </row>
    <row r="695" ht="22.5" customHeight="1">
      <c r="A695" s="7"/>
      <c r="B695" s="7"/>
      <c r="C695" s="7"/>
      <c r="D695" s="7"/>
      <c r="E695" s="7"/>
      <c r="F695" s="7"/>
      <c r="G695" s="7"/>
      <c r="H695" s="2"/>
      <c r="I695" s="7"/>
      <c r="J695" s="7"/>
      <c r="K695" s="2"/>
      <c r="L695" s="2"/>
      <c r="M695" s="2"/>
      <c r="N695" s="2"/>
      <c r="O695" s="2"/>
      <c r="P695" s="2"/>
      <c r="Q695" s="2"/>
      <c r="R695" s="2"/>
      <c r="S695" s="2"/>
      <c r="T695" s="2"/>
      <c r="U695" s="2"/>
      <c r="V695" s="2"/>
      <c r="W695" s="2"/>
      <c r="X695" s="2"/>
      <c r="Y695" s="2"/>
      <c r="Z695" s="2"/>
    </row>
    <row r="696" ht="22.5" customHeight="1">
      <c r="A696" s="7"/>
      <c r="B696" s="7"/>
      <c r="C696" s="7"/>
      <c r="D696" s="7"/>
      <c r="E696" s="7"/>
      <c r="F696" s="7"/>
      <c r="G696" s="7"/>
      <c r="H696" s="2"/>
      <c r="I696" s="7"/>
      <c r="J696" s="7"/>
      <c r="K696" s="2"/>
      <c r="L696" s="2"/>
      <c r="M696" s="2"/>
      <c r="N696" s="2"/>
      <c r="O696" s="2"/>
      <c r="P696" s="2"/>
      <c r="Q696" s="2"/>
      <c r="R696" s="2"/>
      <c r="S696" s="2"/>
      <c r="T696" s="2"/>
      <c r="U696" s="2"/>
      <c r="V696" s="2"/>
      <c r="W696" s="2"/>
      <c r="X696" s="2"/>
      <c r="Y696" s="2"/>
      <c r="Z696" s="2"/>
    </row>
    <row r="697" ht="22.5" customHeight="1">
      <c r="A697" s="7"/>
      <c r="B697" s="7"/>
      <c r="C697" s="7"/>
      <c r="D697" s="7"/>
      <c r="E697" s="7"/>
      <c r="F697" s="7"/>
      <c r="G697" s="7"/>
      <c r="H697" s="2"/>
      <c r="I697" s="7"/>
      <c r="J697" s="7"/>
      <c r="K697" s="2"/>
      <c r="L697" s="2"/>
      <c r="M697" s="2"/>
      <c r="N697" s="2"/>
      <c r="O697" s="2"/>
      <c r="P697" s="2"/>
      <c r="Q697" s="2"/>
      <c r="R697" s="2"/>
      <c r="S697" s="2"/>
      <c r="T697" s="2"/>
      <c r="U697" s="2"/>
      <c r="V697" s="2"/>
      <c r="W697" s="2"/>
      <c r="X697" s="2"/>
      <c r="Y697" s="2"/>
      <c r="Z697" s="2"/>
    </row>
    <row r="698" ht="22.5" customHeight="1">
      <c r="A698" s="7"/>
      <c r="B698" s="7"/>
      <c r="C698" s="7"/>
      <c r="D698" s="7"/>
      <c r="E698" s="7"/>
      <c r="F698" s="7"/>
      <c r="G698" s="7"/>
      <c r="H698" s="2"/>
      <c r="I698" s="7"/>
      <c r="J698" s="7"/>
      <c r="K698" s="2"/>
      <c r="L698" s="2"/>
      <c r="M698" s="2"/>
      <c r="N698" s="2"/>
      <c r="O698" s="2"/>
      <c r="P698" s="2"/>
      <c r="Q698" s="2"/>
      <c r="R698" s="2"/>
      <c r="S698" s="2"/>
      <c r="T698" s="2"/>
      <c r="U698" s="2"/>
      <c r="V698" s="2"/>
      <c r="W698" s="2"/>
      <c r="X698" s="2"/>
      <c r="Y698" s="2"/>
      <c r="Z698" s="2"/>
    </row>
    <row r="699" ht="22.5" customHeight="1">
      <c r="A699" s="7"/>
      <c r="B699" s="7"/>
      <c r="C699" s="7"/>
      <c r="D699" s="7"/>
      <c r="E699" s="7"/>
      <c r="F699" s="7"/>
      <c r="G699" s="7"/>
      <c r="H699" s="2"/>
      <c r="I699" s="7"/>
      <c r="J699" s="7"/>
      <c r="K699" s="2"/>
      <c r="L699" s="2"/>
      <c r="M699" s="2"/>
      <c r="N699" s="2"/>
      <c r="O699" s="2"/>
      <c r="P699" s="2"/>
      <c r="Q699" s="2"/>
      <c r="R699" s="2"/>
      <c r="S699" s="2"/>
      <c r="T699" s="2"/>
      <c r="U699" s="2"/>
      <c r="V699" s="2"/>
      <c r="W699" s="2"/>
      <c r="X699" s="2"/>
      <c r="Y699" s="2"/>
      <c r="Z699" s="2"/>
    </row>
    <row r="700" ht="22.5" customHeight="1">
      <c r="A700" s="7"/>
      <c r="B700" s="7"/>
      <c r="C700" s="7"/>
      <c r="D700" s="7"/>
      <c r="E700" s="7"/>
      <c r="F700" s="7"/>
      <c r="G700" s="7"/>
      <c r="H700" s="2"/>
      <c r="I700" s="7"/>
      <c r="J700" s="7"/>
      <c r="K700" s="2"/>
      <c r="L700" s="2"/>
      <c r="M700" s="2"/>
      <c r="N700" s="2"/>
      <c r="O700" s="2"/>
      <c r="P700" s="2"/>
      <c r="Q700" s="2"/>
      <c r="R700" s="2"/>
      <c r="S700" s="2"/>
      <c r="T700" s="2"/>
      <c r="U700" s="2"/>
      <c r="V700" s="2"/>
      <c r="W700" s="2"/>
      <c r="X700" s="2"/>
      <c r="Y700" s="2"/>
      <c r="Z700" s="2"/>
    </row>
    <row r="701" ht="22.5" customHeight="1">
      <c r="A701" s="7"/>
      <c r="B701" s="7"/>
      <c r="C701" s="7"/>
      <c r="D701" s="7"/>
      <c r="E701" s="7"/>
      <c r="F701" s="7"/>
      <c r="G701" s="7"/>
      <c r="H701" s="2"/>
      <c r="I701" s="7"/>
      <c r="J701" s="7"/>
      <c r="K701" s="2"/>
      <c r="L701" s="2"/>
      <c r="M701" s="2"/>
      <c r="N701" s="2"/>
      <c r="O701" s="2"/>
      <c r="P701" s="2"/>
      <c r="Q701" s="2"/>
      <c r="R701" s="2"/>
      <c r="S701" s="2"/>
      <c r="T701" s="2"/>
      <c r="U701" s="2"/>
      <c r="V701" s="2"/>
      <c r="W701" s="2"/>
      <c r="X701" s="2"/>
      <c r="Y701" s="2"/>
      <c r="Z701" s="2"/>
    </row>
    <row r="702" ht="22.5" customHeight="1">
      <c r="A702" s="7"/>
      <c r="B702" s="7"/>
      <c r="C702" s="7"/>
      <c r="D702" s="7"/>
      <c r="E702" s="7"/>
      <c r="F702" s="7"/>
      <c r="G702" s="7"/>
      <c r="H702" s="2"/>
      <c r="I702" s="7"/>
      <c r="J702" s="7"/>
      <c r="K702" s="2"/>
      <c r="L702" s="2"/>
      <c r="M702" s="2"/>
      <c r="N702" s="2"/>
      <c r="O702" s="2"/>
      <c r="P702" s="2"/>
      <c r="Q702" s="2"/>
      <c r="R702" s="2"/>
      <c r="S702" s="2"/>
      <c r="T702" s="2"/>
      <c r="U702" s="2"/>
      <c r="V702" s="2"/>
      <c r="W702" s="2"/>
      <c r="X702" s="2"/>
      <c r="Y702" s="2"/>
      <c r="Z702" s="2"/>
    </row>
    <row r="703" ht="22.5" customHeight="1">
      <c r="A703" s="7"/>
      <c r="B703" s="7"/>
      <c r="C703" s="7"/>
      <c r="D703" s="7"/>
      <c r="E703" s="7"/>
      <c r="F703" s="7"/>
      <c r="G703" s="7"/>
      <c r="H703" s="2"/>
      <c r="I703" s="7"/>
      <c r="J703" s="7"/>
      <c r="K703" s="2"/>
      <c r="L703" s="2"/>
      <c r="M703" s="2"/>
      <c r="N703" s="2"/>
      <c r="O703" s="2"/>
      <c r="P703" s="2"/>
      <c r="Q703" s="2"/>
      <c r="R703" s="2"/>
      <c r="S703" s="2"/>
      <c r="T703" s="2"/>
      <c r="U703" s="2"/>
      <c r="V703" s="2"/>
      <c r="W703" s="2"/>
      <c r="X703" s="2"/>
      <c r="Y703" s="2"/>
      <c r="Z703" s="2"/>
    </row>
    <row r="704" ht="22.5" customHeight="1">
      <c r="A704" s="7"/>
      <c r="B704" s="7"/>
      <c r="C704" s="7"/>
      <c r="D704" s="7"/>
      <c r="E704" s="7"/>
      <c r="F704" s="7"/>
      <c r="G704" s="7"/>
      <c r="H704" s="2"/>
      <c r="I704" s="7"/>
      <c r="J704" s="7"/>
      <c r="K704" s="2"/>
      <c r="L704" s="2"/>
      <c r="M704" s="2"/>
      <c r="N704" s="2"/>
      <c r="O704" s="2"/>
      <c r="P704" s="2"/>
      <c r="Q704" s="2"/>
      <c r="R704" s="2"/>
      <c r="S704" s="2"/>
      <c r="T704" s="2"/>
      <c r="U704" s="2"/>
      <c r="V704" s="2"/>
      <c r="W704" s="2"/>
      <c r="X704" s="2"/>
      <c r="Y704" s="2"/>
      <c r="Z704" s="2"/>
    </row>
    <row r="705" ht="22.5" customHeight="1">
      <c r="A705" s="7"/>
      <c r="B705" s="7"/>
      <c r="C705" s="7"/>
      <c r="D705" s="7"/>
      <c r="E705" s="7"/>
      <c r="F705" s="7"/>
      <c r="G705" s="7"/>
      <c r="H705" s="2"/>
      <c r="I705" s="7"/>
      <c r="J705" s="7"/>
      <c r="K705" s="2"/>
      <c r="L705" s="2"/>
      <c r="M705" s="2"/>
      <c r="N705" s="2"/>
      <c r="O705" s="2"/>
      <c r="P705" s="2"/>
      <c r="Q705" s="2"/>
      <c r="R705" s="2"/>
      <c r="S705" s="2"/>
      <c r="T705" s="2"/>
      <c r="U705" s="2"/>
      <c r="V705" s="2"/>
      <c r="W705" s="2"/>
      <c r="X705" s="2"/>
      <c r="Y705" s="2"/>
      <c r="Z705" s="2"/>
    </row>
    <row r="706" ht="22.5" customHeight="1">
      <c r="A706" s="7"/>
      <c r="B706" s="7"/>
      <c r="C706" s="7"/>
      <c r="D706" s="7"/>
      <c r="E706" s="7"/>
      <c r="F706" s="7"/>
      <c r="G706" s="7"/>
      <c r="H706" s="2"/>
      <c r="I706" s="7"/>
      <c r="J706" s="7"/>
      <c r="K706" s="2"/>
      <c r="L706" s="2"/>
      <c r="M706" s="2"/>
      <c r="N706" s="2"/>
      <c r="O706" s="2"/>
      <c r="P706" s="2"/>
      <c r="Q706" s="2"/>
      <c r="R706" s="2"/>
      <c r="S706" s="2"/>
      <c r="T706" s="2"/>
      <c r="U706" s="2"/>
      <c r="V706" s="2"/>
      <c r="W706" s="2"/>
      <c r="X706" s="2"/>
      <c r="Y706" s="2"/>
      <c r="Z706" s="2"/>
    </row>
    <row r="707" ht="22.5" customHeight="1">
      <c r="A707" s="7"/>
      <c r="B707" s="7"/>
      <c r="C707" s="7"/>
      <c r="D707" s="7"/>
      <c r="E707" s="7"/>
      <c r="F707" s="7"/>
      <c r="G707" s="7"/>
      <c r="H707" s="2"/>
      <c r="I707" s="7"/>
      <c r="J707" s="7"/>
      <c r="K707" s="2"/>
      <c r="L707" s="2"/>
      <c r="M707" s="2"/>
      <c r="N707" s="2"/>
      <c r="O707" s="2"/>
      <c r="P707" s="2"/>
      <c r="Q707" s="2"/>
      <c r="R707" s="2"/>
      <c r="S707" s="2"/>
      <c r="T707" s="2"/>
      <c r="U707" s="2"/>
      <c r="V707" s="2"/>
      <c r="W707" s="2"/>
      <c r="X707" s="2"/>
      <c r="Y707" s="2"/>
      <c r="Z707" s="2"/>
    </row>
    <row r="708" ht="22.5" customHeight="1">
      <c r="A708" s="7"/>
      <c r="B708" s="7"/>
      <c r="C708" s="7"/>
      <c r="D708" s="7"/>
      <c r="E708" s="7"/>
      <c r="F708" s="7"/>
      <c r="G708" s="7"/>
      <c r="H708" s="2"/>
      <c r="I708" s="7"/>
      <c r="J708" s="7"/>
      <c r="K708" s="2"/>
      <c r="L708" s="2"/>
      <c r="M708" s="2"/>
      <c r="N708" s="2"/>
      <c r="O708" s="2"/>
      <c r="P708" s="2"/>
      <c r="Q708" s="2"/>
      <c r="R708" s="2"/>
      <c r="S708" s="2"/>
      <c r="T708" s="2"/>
      <c r="U708" s="2"/>
      <c r="V708" s="2"/>
      <c r="W708" s="2"/>
      <c r="X708" s="2"/>
      <c r="Y708" s="2"/>
      <c r="Z708" s="2"/>
    </row>
    <row r="709" ht="22.5" customHeight="1">
      <c r="A709" s="7"/>
      <c r="B709" s="7"/>
      <c r="C709" s="7"/>
      <c r="D709" s="7"/>
      <c r="E709" s="7"/>
      <c r="F709" s="7"/>
      <c r="G709" s="7"/>
      <c r="H709" s="2"/>
      <c r="I709" s="7"/>
      <c r="J709" s="7"/>
      <c r="K709" s="2"/>
      <c r="L709" s="2"/>
      <c r="M709" s="2"/>
      <c r="N709" s="2"/>
      <c r="O709" s="2"/>
      <c r="P709" s="2"/>
      <c r="Q709" s="2"/>
      <c r="R709" s="2"/>
      <c r="S709" s="2"/>
      <c r="T709" s="2"/>
      <c r="U709" s="2"/>
      <c r="V709" s="2"/>
      <c r="W709" s="2"/>
      <c r="X709" s="2"/>
      <c r="Y709" s="2"/>
      <c r="Z709" s="2"/>
    </row>
    <row r="710" ht="22.5" customHeight="1">
      <c r="A710" s="7"/>
      <c r="B710" s="7"/>
      <c r="C710" s="7"/>
      <c r="D710" s="7"/>
      <c r="E710" s="7"/>
      <c r="F710" s="7"/>
      <c r="G710" s="7"/>
      <c r="H710" s="2"/>
      <c r="I710" s="7"/>
      <c r="J710" s="7"/>
      <c r="K710" s="2"/>
      <c r="L710" s="2"/>
      <c r="M710" s="2"/>
      <c r="N710" s="2"/>
      <c r="O710" s="2"/>
      <c r="P710" s="2"/>
      <c r="Q710" s="2"/>
      <c r="R710" s="2"/>
      <c r="S710" s="2"/>
      <c r="T710" s="2"/>
      <c r="U710" s="2"/>
      <c r="V710" s="2"/>
      <c r="W710" s="2"/>
      <c r="X710" s="2"/>
      <c r="Y710" s="2"/>
      <c r="Z710" s="2"/>
    </row>
    <row r="711" ht="22.5" customHeight="1">
      <c r="A711" s="7"/>
      <c r="B711" s="7"/>
      <c r="C711" s="7"/>
      <c r="D711" s="7"/>
      <c r="E711" s="7"/>
      <c r="F711" s="7"/>
      <c r="G711" s="7"/>
      <c r="H711" s="2"/>
      <c r="I711" s="7"/>
      <c r="J711" s="7"/>
      <c r="K711" s="2"/>
      <c r="L711" s="2"/>
      <c r="M711" s="2"/>
      <c r="N711" s="2"/>
      <c r="O711" s="2"/>
      <c r="P711" s="2"/>
      <c r="Q711" s="2"/>
      <c r="R711" s="2"/>
      <c r="S711" s="2"/>
      <c r="T711" s="2"/>
      <c r="U711" s="2"/>
      <c r="V711" s="2"/>
      <c r="W711" s="2"/>
      <c r="X711" s="2"/>
      <c r="Y711" s="2"/>
      <c r="Z711" s="2"/>
    </row>
    <row r="712" ht="22.5" customHeight="1">
      <c r="A712" s="7"/>
      <c r="B712" s="7"/>
      <c r="C712" s="7"/>
      <c r="D712" s="7"/>
      <c r="E712" s="7"/>
      <c r="F712" s="7"/>
      <c r="G712" s="7"/>
      <c r="H712" s="2"/>
      <c r="I712" s="7"/>
      <c r="J712" s="7"/>
      <c r="K712" s="2"/>
      <c r="L712" s="2"/>
      <c r="M712" s="2"/>
      <c r="N712" s="2"/>
      <c r="O712" s="2"/>
      <c r="P712" s="2"/>
      <c r="Q712" s="2"/>
      <c r="R712" s="2"/>
      <c r="S712" s="2"/>
      <c r="T712" s="2"/>
      <c r="U712" s="2"/>
      <c r="V712" s="2"/>
      <c r="W712" s="2"/>
      <c r="X712" s="2"/>
      <c r="Y712" s="2"/>
      <c r="Z712" s="2"/>
    </row>
    <row r="713" ht="22.5" customHeight="1">
      <c r="A713" s="7"/>
      <c r="B713" s="7"/>
      <c r="C713" s="7"/>
      <c r="D713" s="7"/>
      <c r="E713" s="7"/>
      <c r="F713" s="7"/>
      <c r="G713" s="7"/>
      <c r="H713" s="2"/>
      <c r="I713" s="7"/>
      <c r="J713" s="7"/>
      <c r="K713" s="2"/>
      <c r="L713" s="2"/>
      <c r="M713" s="2"/>
      <c r="N713" s="2"/>
      <c r="O713" s="2"/>
      <c r="P713" s="2"/>
      <c r="Q713" s="2"/>
      <c r="R713" s="2"/>
      <c r="S713" s="2"/>
      <c r="T713" s="2"/>
      <c r="U713" s="2"/>
      <c r="V713" s="2"/>
      <c r="W713" s="2"/>
      <c r="X713" s="2"/>
      <c r="Y713" s="2"/>
      <c r="Z713" s="2"/>
    </row>
    <row r="714" ht="22.5" customHeight="1">
      <c r="A714" s="7"/>
      <c r="B714" s="7"/>
      <c r="C714" s="7"/>
      <c r="D714" s="7"/>
      <c r="E714" s="7"/>
      <c r="F714" s="7"/>
      <c r="G714" s="7"/>
      <c r="H714" s="2"/>
      <c r="I714" s="7"/>
      <c r="J714" s="7"/>
      <c r="K714" s="2"/>
      <c r="L714" s="2"/>
      <c r="M714" s="2"/>
      <c r="N714" s="2"/>
      <c r="O714" s="2"/>
      <c r="P714" s="2"/>
      <c r="Q714" s="2"/>
      <c r="R714" s="2"/>
      <c r="S714" s="2"/>
      <c r="T714" s="2"/>
      <c r="U714" s="2"/>
      <c r="V714" s="2"/>
      <c r="W714" s="2"/>
      <c r="X714" s="2"/>
      <c r="Y714" s="2"/>
      <c r="Z714" s="2"/>
    </row>
    <row r="715" ht="22.5" customHeight="1">
      <c r="A715" s="7"/>
      <c r="B715" s="7"/>
      <c r="C715" s="7"/>
      <c r="D715" s="7"/>
      <c r="E715" s="7"/>
      <c r="F715" s="7"/>
      <c r="G715" s="7"/>
      <c r="H715" s="2"/>
      <c r="I715" s="7"/>
      <c r="J715" s="7"/>
      <c r="K715" s="2"/>
      <c r="L715" s="2"/>
      <c r="M715" s="2"/>
      <c r="N715" s="2"/>
      <c r="O715" s="2"/>
      <c r="P715" s="2"/>
      <c r="Q715" s="2"/>
      <c r="R715" s="2"/>
      <c r="S715" s="2"/>
      <c r="T715" s="2"/>
      <c r="U715" s="2"/>
      <c r="V715" s="2"/>
      <c r="W715" s="2"/>
      <c r="X715" s="2"/>
      <c r="Y715" s="2"/>
      <c r="Z715" s="2"/>
    </row>
    <row r="716" ht="22.5" customHeight="1">
      <c r="A716" s="7"/>
      <c r="B716" s="7"/>
      <c r="C716" s="7"/>
      <c r="D716" s="7"/>
      <c r="E716" s="7"/>
      <c r="F716" s="7"/>
      <c r="G716" s="7"/>
      <c r="H716" s="2"/>
      <c r="I716" s="7"/>
      <c r="J716" s="7"/>
      <c r="K716" s="2"/>
      <c r="L716" s="2"/>
      <c r="M716" s="2"/>
      <c r="N716" s="2"/>
      <c r="O716" s="2"/>
      <c r="P716" s="2"/>
      <c r="Q716" s="2"/>
      <c r="R716" s="2"/>
      <c r="S716" s="2"/>
      <c r="T716" s="2"/>
      <c r="U716" s="2"/>
      <c r="V716" s="2"/>
      <c r="W716" s="2"/>
      <c r="X716" s="2"/>
      <c r="Y716" s="2"/>
      <c r="Z716" s="2"/>
    </row>
    <row r="717" ht="22.5" customHeight="1">
      <c r="A717" s="7"/>
      <c r="B717" s="7"/>
      <c r="C717" s="7"/>
      <c r="D717" s="7"/>
      <c r="E717" s="7"/>
      <c r="F717" s="7"/>
      <c r="G717" s="7"/>
      <c r="H717" s="2"/>
      <c r="I717" s="7"/>
      <c r="J717" s="7"/>
      <c r="K717" s="2"/>
      <c r="L717" s="2"/>
      <c r="M717" s="2"/>
      <c r="N717" s="2"/>
      <c r="O717" s="2"/>
      <c r="P717" s="2"/>
      <c r="Q717" s="2"/>
      <c r="R717" s="2"/>
      <c r="S717" s="2"/>
      <c r="T717" s="2"/>
      <c r="U717" s="2"/>
      <c r="V717" s="2"/>
      <c r="W717" s="2"/>
      <c r="X717" s="2"/>
      <c r="Y717" s="2"/>
      <c r="Z717" s="2"/>
    </row>
    <row r="718" ht="22.5" customHeight="1">
      <c r="A718" s="7"/>
      <c r="B718" s="7"/>
      <c r="C718" s="7"/>
      <c r="D718" s="7"/>
      <c r="E718" s="7"/>
      <c r="F718" s="7"/>
      <c r="G718" s="7"/>
      <c r="H718" s="2"/>
      <c r="I718" s="7"/>
      <c r="J718" s="7"/>
      <c r="K718" s="2"/>
      <c r="L718" s="2"/>
      <c r="M718" s="2"/>
      <c r="N718" s="2"/>
      <c r="O718" s="2"/>
      <c r="P718" s="2"/>
      <c r="Q718" s="2"/>
      <c r="R718" s="2"/>
      <c r="S718" s="2"/>
      <c r="T718" s="2"/>
      <c r="U718" s="2"/>
      <c r="V718" s="2"/>
      <c r="W718" s="2"/>
      <c r="X718" s="2"/>
      <c r="Y718" s="2"/>
      <c r="Z718" s="2"/>
    </row>
    <row r="719" ht="22.5" customHeight="1">
      <c r="A719" s="7"/>
      <c r="B719" s="7"/>
      <c r="C719" s="7"/>
      <c r="D719" s="7"/>
      <c r="E719" s="7"/>
      <c r="F719" s="7"/>
      <c r="G719" s="7"/>
      <c r="H719" s="2"/>
      <c r="I719" s="7"/>
      <c r="J719" s="7"/>
      <c r="K719" s="2"/>
      <c r="L719" s="2"/>
      <c r="M719" s="2"/>
      <c r="N719" s="2"/>
      <c r="O719" s="2"/>
      <c r="P719" s="2"/>
      <c r="Q719" s="2"/>
      <c r="R719" s="2"/>
      <c r="S719" s="2"/>
      <c r="T719" s="2"/>
      <c r="U719" s="2"/>
      <c r="V719" s="2"/>
      <c r="W719" s="2"/>
      <c r="X719" s="2"/>
      <c r="Y719" s="2"/>
      <c r="Z719" s="2"/>
    </row>
    <row r="720" ht="22.5" customHeight="1">
      <c r="A720" s="7"/>
      <c r="B720" s="7"/>
      <c r="C720" s="7"/>
      <c r="D720" s="7"/>
      <c r="E720" s="7"/>
      <c r="F720" s="7"/>
      <c r="G720" s="7"/>
      <c r="H720" s="2"/>
      <c r="I720" s="7"/>
      <c r="J720" s="7"/>
      <c r="K720" s="2"/>
      <c r="L720" s="2"/>
      <c r="M720" s="2"/>
      <c r="N720" s="2"/>
      <c r="O720" s="2"/>
      <c r="P720" s="2"/>
      <c r="Q720" s="2"/>
      <c r="R720" s="2"/>
      <c r="S720" s="2"/>
      <c r="T720" s="2"/>
      <c r="U720" s="2"/>
      <c r="V720" s="2"/>
      <c r="W720" s="2"/>
      <c r="X720" s="2"/>
      <c r="Y720" s="2"/>
      <c r="Z720" s="2"/>
    </row>
    <row r="721" ht="22.5" customHeight="1">
      <c r="A721" s="7"/>
      <c r="B721" s="7"/>
      <c r="C721" s="7"/>
      <c r="D721" s="7"/>
      <c r="E721" s="7"/>
      <c r="F721" s="7"/>
      <c r="G721" s="7"/>
      <c r="H721" s="2"/>
      <c r="I721" s="7"/>
      <c r="J721" s="7"/>
      <c r="K721" s="2"/>
      <c r="L721" s="2"/>
      <c r="M721" s="2"/>
      <c r="N721" s="2"/>
      <c r="O721" s="2"/>
      <c r="P721" s="2"/>
      <c r="Q721" s="2"/>
      <c r="R721" s="2"/>
      <c r="S721" s="2"/>
      <c r="T721" s="2"/>
      <c r="U721" s="2"/>
      <c r="V721" s="2"/>
      <c r="W721" s="2"/>
      <c r="X721" s="2"/>
      <c r="Y721" s="2"/>
      <c r="Z721" s="2"/>
    </row>
    <row r="722" ht="22.5" customHeight="1">
      <c r="A722" s="7"/>
      <c r="B722" s="7"/>
      <c r="C722" s="7"/>
      <c r="D722" s="7"/>
      <c r="E722" s="7"/>
      <c r="F722" s="7"/>
      <c r="G722" s="7"/>
      <c r="H722" s="2"/>
      <c r="I722" s="7"/>
      <c r="J722" s="7"/>
      <c r="K722" s="2"/>
      <c r="L722" s="2"/>
      <c r="M722" s="2"/>
      <c r="N722" s="2"/>
      <c r="O722" s="2"/>
      <c r="P722" s="2"/>
      <c r="Q722" s="2"/>
      <c r="R722" s="2"/>
      <c r="S722" s="2"/>
      <c r="T722" s="2"/>
      <c r="U722" s="2"/>
      <c r="V722" s="2"/>
      <c r="W722" s="2"/>
      <c r="X722" s="2"/>
      <c r="Y722" s="2"/>
      <c r="Z722" s="2"/>
    </row>
    <row r="723" ht="22.5" customHeight="1">
      <c r="A723" s="7"/>
      <c r="B723" s="7"/>
      <c r="C723" s="7"/>
      <c r="D723" s="7"/>
      <c r="E723" s="7"/>
      <c r="F723" s="7"/>
      <c r="G723" s="7"/>
      <c r="H723" s="2"/>
      <c r="I723" s="7"/>
      <c r="J723" s="7"/>
      <c r="K723" s="2"/>
      <c r="L723" s="2"/>
      <c r="M723" s="2"/>
      <c r="N723" s="2"/>
      <c r="O723" s="2"/>
      <c r="P723" s="2"/>
      <c r="Q723" s="2"/>
      <c r="R723" s="2"/>
      <c r="S723" s="2"/>
      <c r="T723" s="2"/>
      <c r="U723" s="2"/>
      <c r="V723" s="2"/>
      <c r="W723" s="2"/>
      <c r="X723" s="2"/>
      <c r="Y723" s="2"/>
      <c r="Z723" s="2"/>
    </row>
    <row r="724" ht="22.5" customHeight="1">
      <c r="A724" s="7"/>
      <c r="B724" s="7"/>
      <c r="C724" s="7"/>
      <c r="D724" s="7"/>
      <c r="E724" s="7"/>
      <c r="F724" s="7"/>
      <c r="G724" s="7"/>
      <c r="H724" s="2"/>
      <c r="I724" s="7"/>
      <c r="J724" s="7"/>
      <c r="K724" s="2"/>
      <c r="L724" s="2"/>
      <c r="M724" s="2"/>
      <c r="N724" s="2"/>
      <c r="O724" s="2"/>
      <c r="P724" s="2"/>
      <c r="Q724" s="2"/>
      <c r="R724" s="2"/>
      <c r="S724" s="2"/>
      <c r="T724" s="2"/>
      <c r="U724" s="2"/>
      <c r="V724" s="2"/>
      <c r="W724" s="2"/>
      <c r="X724" s="2"/>
      <c r="Y724" s="2"/>
      <c r="Z724" s="2"/>
    </row>
    <row r="725" ht="22.5" customHeight="1">
      <c r="A725" s="7"/>
      <c r="B725" s="7"/>
      <c r="C725" s="7"/>
      <c r="D725" s="7"/>
      <c r="E725" s="7"/>
      <c r="F725" s="7"/>
      <c r="G725" s="7"/>
      <c r="H725" s="2"/>
      <c r="I725" s="7"/>
      <c r="J725" s="7"/>
      <c r="K725" s="2"/>
      <c r="L725" s="2"/>
      <c r="M725" s="2"/>
      <c r="N725" s="2"/>
      <c r="O725" s="2"/>
      <c r="P725" s="2"/>
      <c r="Q725" s="2"/>
      <c r="R725" s="2"/>
      <c r="S725" s="2"/>
      <c r="T725" s="2"/>
      <c r="U725" s="2"/>
      <c r="V725" s="2"/>
      <c r="W725" s="2"/>
      <c r="X725" s="2"/>
      <c r="Y725" s="2"/>
      <c r="Z725" s="2"/>
    </row>
    <row r="726" ht="22.5" customHeight="1">
      <c r="A726" s="7"/>
      <c r="B726" s="7"/>
      <c r="C726" s="7"/>
      <c r="D726" s="7"/>
      <c r="E726" s="7"/>
      <c r="F726" s="7"/>
      <c r="G726" s="7"/>
      <c r="H726" s="2"/>
      <c r="I726" s="7"/>
      <c r="J726" s="7"/>
      <c r="K726" s="2"/>
      <c r="L726" s="2"/>
      <c r="M726" s="2"/>
      <c r="N726" s="2"/>
      <c r="O726" s="2"/>
      <c r="P726" s="2"/>
      <c r="Q726" s="2"/>
      <c r="R726" s="2"/>
      <c r="S726" s="2"/>
      <c r="T726" s="2"/>
      <c r="U726" s="2"/>
      <c r="V726" s="2"/>
      <c r="W726" s="2"/>
      <c r="X726" s="2"/>
      <c r="Y726" s="2"/>
      <c r="Z726" s="2"/>
    </row>
    <row r="727" ht="22.5" customHeight="1">
      <c r="A727" s="7"/>
      <c r="B727" s="7"/>
      <c r="C727" s="7"/>
      <c r="D727" s="7"/>
      <c r="E727" s="7"/>
      <c r="F727" s="7"/>
      <c r="G727" s="7"/>
      <c r="H727" s="2"/>
      <c r="I727" s="7"/>
      <c r="J727" s="7"/>
      <c r="K727" s="2"/>
      <c r="L727" s="2"/>
      <c r="M727" s="2"/>
      <c r="N727" s="2"/>
      <c r="O727" s="2"/>
      <c r="P727" s="2"/>
      <c r="Q727" s="2"/>
      <c r="R727" s="2"/>
      <c r="S727" s="2"/>
      <c r="T727" s="2"/>
      <c r="U727" s="2"/>
      <c r="V727" s="2"/>
      <c r="W727" s="2"/>
      <c r="X727" s="2"/>
      <c r="Y727" s="2"/>
      <c r="Z727" s="2"/>
    </row>
    <row r="728" ht="22.5" customHeight="1">
      <c r="A728" s="7"/>
      <c r="B728" s="7"/>
      <c r="C728" s="7"/>
      <c r="D728" s="7"/>
      <c r="E728" s="7"/>
      <c r="F728" s="7"/>
      <c r="G728" s="7"/>
      <c r="H728" s="2"/>
      <c r="I728" s="7"/>
      <c r="J728" s="7"/>
      <c r="K728" s="2"/>
      <c r="L728" s="2"/>
      <c r="M728" s="2"/>
      <c r="N728" s="2"/>
      <c r="O728" s="2"/>
      <c r="P728" s="2"/>
      <c r="Q728" s="2"/>
      <c r="R728" s="2"/>
      <c r="S728" s="2"/>
      <c r="T728" s="2"/>
      <c r="U728" s="2"/>
      <c r="V728" s="2"/>
      <c r="W728" s="2"/>
      <c r="X728" s="2"/>
      <c r="Y728" s="2"/>
      <c r="Z728" s="2"/>
    </row>
    <row r="729" ht="22.5" customHeight="1">
      <c r="A729" s="7"/>
      <c r="B729" s="7"/>
      <c r="C729" s="7"/>
      <c r="D729" s="7"/>
      <c r="E729" s="7"/>
      <c r="F729" s="7"/>
      <c r="G729" s="7"/>
      <c r="H729" s="2"/>
      <c r="I729" s="7"/>
      <c r="J729" s="7"/>
      <c r="K729" s="2"/>
      <c r="L729" s="2"/>
      <c r="M729" s="2"/>
      <c r="N729" s="2"/>
      <c r="O729" s="2"/>
      <c r="P729" s="2"/>
      <c r="Q729" s="2"/>
      <c r="R729" s="2"/>
      <c r="S729" s="2"/>
      <c r="T729" s="2"/>
      <c r="U729" s="2"/>
      <c r="V729" s="2"/>
      <c r="W729" s="2"/>
      <c r="X729" s="2"/>
      <c r="Y729" s="2"/>
      <c r="Z729" s="2"/>
    </row>
    <row r="730" ht="22.5" customHeight="1">
      <c r="A730" s="7"/>
      <c r="B730" s="7"/>
      <c r="C730" s="7"/>
      <c r="D730" s="7"/>
      <c r="E730" s="7"/>
      <c r="F730" s="7"/>
      <c r="G730" s="7"/>
      <c r="H730" s="2"/>
      <c r="I730" s="7"/>
      <c r="J730" s="7"/>
      <c r="K730" s="2"/>
      <c r="L730" s="2"/>
      <c r="M730" s="2"/>
      <c r="N730" s="2"/>
      <c r="O730" s="2"/>
      <c r="P730" s="2"/>
      <c r="Q730" s="2"/>
      <c r="R730" s="2"/>
      <c r="S730" s="2"/>
      <c r="T730" s="2"/>
      <c r="U730" s="2"/>
      <c r="V730" s="2"/>
      <c r="W730" s="2"/>
      <c r="X730" s="2"/>
      <c r="Y730" s="2"/>
      <c r="Z730" s="2"/>
    </row>
    <row r="731" ht="22.5" customHeight="1">
      <c r="A731" s="7"/>
      <c r="B731" s="7"/>
      <c r="C731" s="7"/>
      <c r="D731" s="7"/>
      <c r="E731" s="7"/>
      <c r="F731" s="7"/>
      <c r="G731" s="7"/>
      <c r="H731" s="2"/>
      <c r="I731" s="7"/>
      <c r="J731" s="7"/>
      <c r="K731" s="2"/>
      <c r="L731" s="2"/>
      <c r="M731" s="2"/>
      <c r="N731" s="2"/>
      <c r="O731" s="2"/>
      <c r="P731" s="2"/>
      <c r="Q731" s="2"/>
      <c r="R731" s="2"/>
      <c r="S731" s="2"/>
      <c r="T731" s="2"/>
      <c r="U731" s="2"/>
      <c r="V731" s="2"/>
      <c r="W731" s="2"/>
      <c r="X731" s="2"/>
      <c r="Y731" s="2"/>
      <c r="Z731" s="2"/>
    </row>
    <row r="732" ht="22.5" customHeight="1">
      <c r="A732" s="7"/>
      <c r="B732" s="7"/>
      <c r="C732" s="7"/>
      <c r="D732" s="7"/>
      <c r="E732" s="7"/>
      <c r="F732" s="7"/>
      <c r="G732" s="7"/>
      <c r="H732" s="2"/>
      <c r="I732" s="7"/>
      <c r="J732" s="7"/>
      <c r="K732" s="2"/>
      <c r="L732" s="2"/>
      <c r="M732" s="2"/>
      <c r="N732" s="2"/>
      <c r="O732" s="2"/>
      <c r="P732" s="2"/>
      <c r="Q732" s="2"/>
      <c r="R732" s="2"/>
      <c r="S732" s="2"/>
      <c r="T732" s="2"/>
      <c r="U732" s="2"/>
      <c r="V732" s="2"/>
      <c r="W732" s="2"/>
      <c r="X732" s="2"/>
      <c r="Y732" s="2"/>
      <c r="Z732" s="2"/>
    </row>
    <row r="733" ht="22.5" customHeight="1">
      <c r="A733" s="7"/>
      <c r="B733" s="7"/>
      <c r="C733" s="7"/>
      <c r="D733" s="7"/>
      <c r="E733" s="7"/>
      <c r="F733" s="7"/>
      <c r="G733" s="7"/>
      <c r="H733" s="2"/>
      <c r="I733" s="7"/>
      <c r="J733" s="7"/>
      <c r="K733" s="2"/>
      <c r="L733" s="2"/>
      <c r="M733" s="2"/>
      <c r="N733" s="2"/>
      <c r="O733" s="2"/>
      <c r="P733" s="2"/>
      <c r="Q733" s="2"/>
      <c r="R733" s="2"/>
      <c r="S733" s="2"/>
      <c r="T733" s="2"/>
      <c r="U733" s="2"/>
      <c r="V733" s="2"/>
      <c r="W733" s="2"/>
      <c r="X733" s="2"/>
      <c r="Y733" s="2"/>
      <c r="Z733" s="2"/>
    </row>
    <row r="734" ht="22.5" customHeight="1">
      <c r="A734" s="7"/>
      <c r="B734" s="7"/>
      <c r="C734" s="7"/>
      <c r="D734" s="7"/>
      <c r="E734" s="7"/>
      <c r="F734" s="7"/>
      <c r="G734" s="7"/>
      <c r="H734" s="2"/>
      <c r="I734" s="7"/>
      <c r="J734" s="7"/>
      <c r="K734" s="2"/>
      <c r="L734" s="2"/>
      <c r="M734" s="2"/>
      <c r="N734" s="2"/>
      <c r="O734" s="2"/>
      <c r="P734" s="2"/>
      <c r="Q734" s="2"/>
      <c r="R734" s="2"/>
      <c r="S734" s="2"/>
      <c r="T734" s="2"/>
      <c r="U734" s="2"/>
      <c r="V734" s="2"/>
      <c r="W734" s="2"/>
      <c r="X734" s="2"/>
      <c r="Y734" s="2"/>
      <c r="Z734" s="2"/>
    </row>
    <row r="735" ht="22.5" customHeight="1">
      <c r="A735" s="7"/>
      <c r="B735" s="7"/>
      <c r="C735" s="7"/>
      <c r="D735" s="7"/>
      <c r="E735" s="7"/>
      <c r="F735" s="7"/>
      <c r="G735" s="7"/>
      <c r="H735" s="2"/>
      <c r="I735" s="7"/>
      <c r="J735" s="7"/>
      <c r="K735" s="2"/>
      <c r="L735" s="2"/>
      <c r="M735" s="2"/>
      <c r="N735" s="2"/>
      <c r="O735" s="2"/>
      <c r="P735" s="2"/>
      <c r="Q735" s="2"/>
      <c r="R735" s="2"/>
      <c r="S735" s="2"/>
      <c r="T735" s="2"/>
      <c r="U735" s="2"/>
      <c r="V735" s="2"/>
      <c r="W735" s="2"/>
      <c r="X735" s="2"/>
      <c r="Y735" s="2"/>
      <c r="Z735" s="2"/>
    </row>
    <row r="736" ht="22.5" customHeight="1">
      <c r="A736" s="7"/>
      <c r="B736" s="7"/>
      <c r="C736" s="7"/>
      <c r="D736" s="7"/>
      <c r="E736" s="7"/>
      <c r="F736" s="7"/>
      <c r="G736" s="7"/>
      <c r="H736" s="2"/>
      <c r="I736" s="7"/>
      <c r="J736" s="7"/>
      <c r="K736" s="2"/>
      <c r="L736" s="2"/>
      <c r="M736" s="2"/>
      <c r="N736" s="2"/>
      <c r="O736" s="2"/>
      <c r="P736" s="2"/>
      <c r="Q736" s="2"/>
      <c r="R736" s="2"/>
      <c r="S736" s="2"/>
      <c r="T736" s="2"/>
      <c r="U736" s="2"/>
      <c r="V736" s="2"/>
      <c r="W736" s="2"/>
      <c r="X736" s="2"/>
      <c r="Y736" s="2"/>
      <c r="Z736" s="2"/>
    </row>
    <row r="737" ht="22.5" customHeight="1">
      <c r="A737" s="7"/>
      <c r="B737" s="7"/>
      <c r="C737" s="7"/>
      <c r="D737" s="7"/>
      <c r="E737" s="7"/>
      <c r="F737" s="7"/>
      <c r="G737" s="7"/>
      <c r="H737" s="2"/>
      <c r="I737" s="7"/>
      <c r="J737" s="7"/>
      <c r="K737" s="2"/>
      <c r="L737" s="2"/>
      <c r="M737" s="2"/>
      <c r="N737" s="2"/>
      <c r="O737" s="2"/>
      <c r="P737" s="2"/>
      <c r="Q737" s="2"/>
      <c r="R737" s="2"/>
      <c r="S737" s="2"/>
      <c r="T737" s="2"/>
      <c r="U737" s="2"/>
      <c r="V737" s="2"/>
      <c r="W737" s="2"/>
      <c r="X737" s="2"/>
      <c r="Y737" s="2"/>
      <c r="Z737" s="2"/>
    </row>
    <row r="738" ht="22.5" customHeight="1">
      <c r="A738" s="7"/>
      <c r="B738" s="7"/>
      <c r="C738" s="7"/>
      <c r="D738" s="7"/>
      <c r="E738" s="7"/>
      <c r="F738" s="7"/>
      <c r="G738" s="7"/>
      <c r="H738" s="2"/>
      <c r="I738" s="7"/>
      <c r="J738" s="7"/>
      <c r="K738" s="2"/>
      <c r="L738" s="2"/>
      <c r="M738" s="2"/>
      <c r="N738" s="2"/>
      <c r="O738" s="2"/>
      <c r="P738" s="2"/>
      <c r="Q738" s="2"/>
      <c r="R738" s="2"/>
      <c r="S738" s="2"/>
      <c r="T738" s="2"/>
      <c r="U738" s="2"/>
      <c r="V738" s="2"/>
      <c r="W738" s="2"/>
      <c r="X738" s="2"/>
      <c r="Y738" s="2"/>
      <c r="Z738" s="2"/>
    </row>
    <row r="739" ht="22.5" customHeight="1">
      <c r="A739" s="7"/>
      <c r="B739" s="7"/>
      <c r="C739" s="7"/>
      <c r="D739" s="7"/>
      <c r="E739" s="7"/>
      <c r="F739" s="7"/>
      <c r="G739" s="7"/>
      <c r="H739" s="2"/>
      <c r="I739" s="7"/>
      <c r="J739" s="7"/>
      <c r="K739" s="2"/>
      <c r="L739" s="2"/>
      <c r="M739" s="2"/>
      <c r="N739" s="2"/>
      <c r="O739" s="2"/>
      <c r="P739" s="2"/>
      <c r="Q739" s="2"/>
      <c r="R739" s="2"/>
      <c r="S739" s="2"/>
      <c r="T739" s="2"/>
      <c r="U739" s="2"/>
      <c r="V739" s="2"/>
      <c r="W739" s="2"/>
      <c r="X739" s="2"/>
      <c r="Y739" s="2"/>
      <c r="Z739" s="2"/>
    </row>
    <row r="740" ht="22.5" customHeight="1">
      <c r="A740" s="7"/>
      <c r="B740" s="7"/>
      <c r="C740" s="7"/>
      <c r="D740" s="7"/>
      <c r="E740" s="7"/>
      <c r="F740" s="7"/>
      <c r="G740" s="7"/>
      <c r="H740" s="2"/>
      <c r="I740" s="7"/>
      <c r="J740" s="7"/>
      <c r="K740" s="2"/>
      <c r="L740" s="2"/>
      <c r="M740" s="2"/>
      <c r="N740" s="2"/>
      <c r="O740" s="2"/>
      <c r="P740" s="2"/>
      <c r="Q740" s="2"/>
      <c r="R740" s="2"/>
      <c r="S740" s="2"/>
      <c r="T740" s="2"/>
      <c r="U740" s="2"/>
      <c r="V740" s="2"/>
      <c r="W740" s="2"/>
      <c r="X740" s="2"/>
      <c r="Y740" s="2"/>
      <c r="Z740" s="2"/>
    </row>
    <row r="741" ht="22.5" customHeight="1">
      <c r="A741" s="7"/>
      <c r="B741" s="7"/>
      <c r="C741" s="7"/>
      <c r="D741" s="7"/>
      <c r="E741" s="7"/>
      <c r="F741" s="7"/>
      <c r="G741" s="7"/>
      <c r="H741" s="2"/>
      <c r="I741" s="7"/>
      <c r="J741" s="7"/>
      <c r="K741" s="2"/>
      <c r="L741" s="2"/>
      <c r="M741" s="2"/>
      <c r="N741" s="2"/>
      <c r="O741" s="2"/>
      <c r="P741" s="2"/>
      <c r="Q741" s="2"/>
      <c r="R741" s="2"/>
      <c r="S741" s="2"/>
      <c r="T741" s="2"/>
      <c r="U741" s="2"/>
      <c r="V741" s="2"/>
      <c r="W741" s="2"/>
      <c r="X741" s="2"/>
      <c r="Y741" s="2"/>
      <c r="Z741" s="2"/>
    </row>
    <row r="742" ht="22.5" customHeight="1">
      <c r="A742" s="7"/>
      <c r="B742" s="7"/>
      <c r="C742" s="7"/>
      <c r="D742" s="7"/>
      <c r="E742" s="7"/>
      <c r="F742" s="7"/>
      <c r="G742" s="7"/>
      <c r="H742" s="2"/>
      <c r="I742" s="7"/>
      <c r="J742" s="7"/>
      <c r="K742" s="2"/>
      <c r="L742" s="2"/>
      <c r="M742" s="2"/>
      <c r="N742" s="2"/>
      <c r="O742" s="2"/>
      <c r="P742" s="2"/>
      <c r="Q742" s="2"/>
      <c r="R742" s="2"/>
      <c r="S742" s="2"/>
      <c r="T742" s="2"/>
      <c r="U742" s="2"/>
      <c r="V742" s="2"/>
      <c r="W742" s="2"/>
      <c r="X742" s="2"/>
      <c r="Y742" s="2"/>
      <c r="Z742" s="2"/>
    </row>
    <row r="743" ht="22.5" customHeight="1">
      <c r="A743" s="7"/>
      <c r="B743" s="7"/>
      <c r="C743" s="7"/>
      <c r="D743" s="7"/>
      <c r="E743" s="7"/>
      <c r="F743" s="7"/>
      <c r="G743" s="7"/>
      <c r="H743" s="2"/>
      <c r="I743" s="7"/>
      <c r="J743" s="7"/>
      <c r="K743" s="2"/>
      <c r="L743" s="2"/>
      <c r="M743" s="2"/>
      <c r="N743" s="2"/>
      <c r="O743" s="2"/>
      <c r="P743" s="2"/>
      <c r="Q743" s="2"/>
      <c r="R743" s="2"/>
      <c r="S743" s="2"/>
      <c r="T743" s="2"/>
      <c r="U743" s="2"/>
      <c r="V743" s="2"/>
      <c r="W743" s="2"/>
      <c r="X743" s="2"/>
      <c r="Y743" s="2"/>
      <c r="Z743" s="2"/>
    </row>
    <row r="744" ht="22.5" customHeight="1">
      <c r="A744" s="7"/>
      <c r="B744" s="7"/>
      <c r="C744" s="7"/>
      <c r="D744" s="7"/>
      <c r="E744" s="7"/>
      <c r="F744" s="7"/>
      <c r="G744" s="7"/>
      <c r="H744" s="2"/>
      <c r="I744" s="7"/>
      <c r="J744" s="7"/>
      <c r="K744" s="2"/>
      <c r="L744" s="2"/>
      <c r="M744" s="2"/>
      <c r="N744" s="2"/>
      <c r="O744" s="2"/>
      <c r="P744" s="2"/>
      <c r="Q744" s="2"/>
      <c r="R744" s="2"/>
      <c r="S744" s="2"/>
      <c r="T744" s="2"/>
      <c r="U744" s="2"/>
      <c r="V744" s="2"/>
      <c r="W744" s="2"/>
      <c r="X744" s="2"/>
      <c r="Y744" s="2"/>
      <c r="Z744" s="2"/>
    </row>
    <row r="745" ht="22.5" customHeight="1">
      <c r="A745" s="7"/>
      <c r="B745" s="7"/>
      <c r="C745" s="7"/>
      <c r="D745" s="7"/>
      <c r="E745" s="7"/>
      <c r="F745" s="7"/>
      <c r="G745" s="7"/>
      <c r="H745" s="2"/>
      <c r="I745" s="7"/>
      <c r="J745" s="7"/>
      <c r="K745" s="2"/>
      <c r="L745" s="2"/>
      <c r="M745" s="2"/>
      <c r="N745" s="2"/>
      <c r="O745" s="2"/>
      <c r="P745" s="2"/>
      <c r="Q745" s="2"/>
      <c r="R745" s="2"/>
      <c r="S745" s="2"/>
      <c r="T745" s="2"/>
      <c r="U745" s="2"/>
      <c r="V745" s="2"/>
      <c r="W745" s="2"/>
      <c r="X745" s="2"/>
      <c r="Y745" s="2"/>
      <c r="Z745" s="2"/>
    </row>
    <row r="746" ht="22.5" customHeight="1">
      <c r="A746" s="7"/>
      <c r="B746" s="7"/>
      <c r="C746" s="7"/>
      <c r="D746" s="7"/>
      <c r="E746" s="7"/>
      <c r="F746" s="7"/>
      <c r="G746" s="7"/>
      <c r="H746" s="2"/>
      <c r="I746" s="7"/>
      <c r="J746" s="7"/>
      <c r="K746" s="2"/>
      <c r="L746" s="2"/>
      <c r="M746" s="2"/>
      <c r="N746" s="2"/>
      <c r="O746" s="2"/>
      <c r="P746" s="2"/>
      <c r="Q746" s="2"/>
      <c r="R746" s="2"/>
      <c r="S746" s="2"/>
      <c r="T746" s="2"/>
      <c r="U746" s="2"/>
      <c r="V746" s="2"/>
      <c r="W746" s="2"/>
      <c r="X746" s="2"/>
      <c r="Y746" s="2"/>
      <c r="Z746" s="2"/>
    </row>
    <row r="747" ht="22.5" customHeight="1">
      <c r="A747" s="7"/>
      <c r="B747" s="7"/>
      <c r="C747" s="7"/>
      <c r="D747" s="7"/>
      <c r="E747" s="7"/>
      <c r="F747" s="7"/>
      <c r="G747" s="7"/>
      <c r="H747" s="2"/>
      <c r="I747" s="7"/>
      <c r="J747" s="7"/>
      <c r="K747" s="2"/>
      <c r="L747" s="2"/>
      <c r="M747" s="2"/>
      <c r="N747" s="2"/>
      <c r="O747" s="2"/>
      <c r="P747" s="2"/>
      <c r="Q747" s="2"/>
      <c r="R747" s="2"/>
      <c r="S747" s="2"/>
      <c r="T747" s="2"/>
      <c r="U747" s="2"/>
      <c r="V747" s="2"/>
      <c r="W747" s="2"/>
      <c r="X747" s="2"/>
      <c r="Y747" s="2"/>
      <c r="Z747" s="2"/>
    </row>
    <row r="748" ht="22.5" customHeight="1">
      <c r="A748" s="7"/>
      <c r="B748" s="7"/>
      <c r="C748" s="7"/>
      <c r="D748" s="7"/>
      <c r="E748" s="7"/>
      <c r="F748" s="7"/>
      <c r="G748" s="7"/>
      <c r="H748" s="2"/>
      <c r="I748" s="7"/>
      <c r="J748" s="7"/>
      <c r="K748" s="2"/>
      <c r="L748" s="2"/>
      <c r="M748" s="2"/>
      <c r="N748" s="2"/>
      <c r="O748" s="2"/>
      <c r="P748" s="2"/>
      <c r="Q748" s="2"/>
      <c r="R748" s="2"/>
      <c r="S748" s="2"/>
      <c r="T748" s="2"/>
      <c r="U748" s="2"/>
      <c r="V748" s="2"/>
      <c r="W748" s="2"/>
      <c r="X748" s="2"/>
      <c r="Y748" s="2"/>
      <c r="Z748" s="2"/>
    </row>
    <row r="749" ht="22.5" customHeight="1">
      <c r="A749" s="7"/>
      <c r="B749" s="7"/>
      <c r="C749" s="7"/>
      <c r="D749" s="7"/>
      <c r="E749" s="7"/>
      <c r="F749" s="7"/>
      <c r="G749" s="7"/>
      <c r="H749" s="2"/>
      <c r="I749" s="7"/>
      <c r="J749" s="7"/>
      <c r="K749" s="2"/>
      <c r="L749" s="2"/>
      <c r="M749" s="2"/>
      <c r="N749" s="2"/>
      <c r="O749" s="2"/>
      <c r="P749" s="2"/>
      <c r="Q749" s="2"/>
      <c r="R749" s="2"/>
      <c r="S749" s="2"/>
      <c r="T749" s="2"/>
      <c r="U749" s="2"/>
      <c r="V749" s="2"/>
      <c r="W749" s="2"/>
      <c r="X749" s="2"/>
      <c r="Y749" s="2"/>
      <c r="Z749" s="2"/>
    </row>
    <row r="750" ht="22.5" customHeight="1">
      <c r="A750" s="7"/>
      <c r="B750" s="7"/>
      <c r="C750" s="7"/>
      <c r="D750" s="7"/>
      <c r="E750" s="7"/>
      <c r="F750" s="7"/>
      <c r="G750" s="7"/>
      <c r="H750" s="2"/>
      <c r="I750" s="7"/>
      <c r="J750" s="7"/>
      <c r="K750" s="2"/>
      <c r="L750" s="2"/>
      <c r="M750" s="2"/>
      <c r="N750" s="2"/>
      <c r="O750" s="2"/>
      <c r="P750" s="2"/>
      <c r="Q750" s="2"/>
      <c r="R750" s="2"/>
      <c r="S750" s="2"/>
      <c r="T750" s="2"/>
      <c r="U750" s="2"/>
      <c r="V750" s="2"/>
      <c r="W750" s="2"/>
      <c r="X750" s="2"/>
      <c r="Y750" s="2"/>
      <c r="Z750" s="2"/>
    </row>
    <row r="751" ht="22.5" customHeight="1">
      <c r="A751" s="7"/>
      <c r="B751" s="7"/>
      <c r="C751" s="7"/>
      <c r="D751" s="7"/>
      <c r="E751" s="7"/>
      <c r="F751" s="7"/>
      <c r="G751" s="7"/>
      <c r="H751" s="2"/>
      <c r="I751" s="7"/>
      <c r="J751" s="7"/>
      <c r="K751" s="2"/>
      <c r="L751" s="2"/>
      <c r="M751" s="2"/>
      <c r="N751" s="2"/>
      <c r="O751" s="2"/>
      <c r="P751" s="2"/>
      <c r="Q751" s="2"/>
      <c r="R751" s="2"/>
      <c r="S751" s="2"/>
      <c r="T751" s="2"/>
      <c r="U751" s="2"/>
      <c r="V751" s="2"/>
      <c r="W751" s="2"/>
      <c r="X751" s="2"/>
      <c r="Y751" s="2"/>
      <c r="Z751" s="2"/>
    </row>
    <row r="752" ht="22.5" customHeight="1">
      <c r="A752" s="7"/>
      <c r="B752" s="7"/>
      <c r="C752" s="7"/>
      <c r="D752" s="7"/>
      <c r="E752" s="7"/>
      <c r="F752" s="7"/>
      <c r="G752" s="7"/>
      <c r="H752" s="2"/>
      <c r="I752" s="7"/>
      <c r="J752" s="7"/>
      <c r="K752" s="2"/>
      <c r="L752" s="2"/>
      <c r="M752" s="2"/>
      <c r="N752" s="2"/>
      <c r="O752" s="2"/>
      <c r="P752" s="2"/>
      <c r="Q752" s="2"/>
      <c r="R752" s="2"/>
      <c r="S752" s="2"/>
      <c r="T752" s="2"/>
      <c r="U752" s="2"/>
      <c r="V752" s="2"/>
      <c r="W752" s="2"/>
      <c r="X752" s="2"/>
      <c r="Y752" s="2"/>
      <c r="Z752" s="2"/>
    </row>
    <row r="753" ht="22.5" customHeight="1">
      <c r="A753" s="7"/>
      <c r="B753" s="7"/>
      <c r="C753" s="7"/>
      <c r="D753" s="7"/>
      <c r="E753" s="7"/>
      <c r="F753" s="7"/>
      <c r="G753" s="7"/>
      <c r="H753" s="2"/>
      <c r="I753" s="7"/>
      <c r="J753" s="7"/>
      <c r="K753" s="2"/>
      <c r="L753" s="2"/>
      <c r="M753" s="2"/>
      <c r="N753" s="2"/>
      <c r="O753" s="2"/>
      <c r="P753" s="2"/>
      <c r="Q753" s="2"/>
      <c r="R753" s="2"/>
      <c r="S753" s="2"/>
      <c r="T753" s="2"/>
      <c r="U753" s="2"/>
      <c r="V753" s="2"/>
      <c r="W753" s="2"/>
      <c r="X753" s="2"/>
      <c r="Y753" s="2"/>
      <c r="Z753" s="2"/>
    </row>
    <row r="754" ht="22.5" customHeight="1">
      <c r="A754" s="7"/>
      <c r="B754" s="7"/>
      <c r="C754" s="7"/>
      <c r="D754" s="7"/>
      <c r="E754" s="7"/>
      <c r="F754" s="7"/>
      <c r="G754" s="7"/>
      <c r="H754" s="2"/>
      <c r="I754" s="7"/>
      <c r="J754" s="7"/>
      <c r="K754" s="2"/>
      <c r="L754" s="2"/>
      <c r="M754" s="2"/>
      <c r="N754" s="2"/>
      <c r="O754" s="2"/>
      <c r="P754" s="2"/>
      <c r="Q754" s="2"/>
      <c r="R754" s="2"/>
      <c r="S754" s="2"/>
      <c r="T754" s="2"/>
      <c r="U754" s="2"/>
      <c r="V754" s="2"/>
      <c r="W754" s="2"/>
      <c r="X754" s="2"/>
      <c r="Y754" s="2"/>
      <c r="Z754" s="2"/>
    </row>
    <row r="755" ht="22.5" customHeight="1">
      <c r="A755" s="7"/>
      <c r="B755" s="7"/>
      <c r="C755" s="7"/>
      <c r="D755" s="7"/>
      <c r="E755" s="7"/>
      <c r="F755" s="7"/>
      <c r="G755" s="7"/>
      <c r="H755" s="2"/>
      <c r="I755" s="7"/>
      <c r="J755" s="7"/>
      <c r="K755" s="2"/>
      <c r="L755" s="2"/>
      <c r="M755" s="2"/>
      <c r="N755" s="2"/>
      <c r="O755" s="2"/>
      <c r="P755" s="2"/>
      <c r="Q755" s="2"/>
      <c r="R755" s="2"/>
      <c r="S755" s="2"/>
      <c r="T755" s="2"/>
      <c r="U755" s="2"/>
      <c r="V755" s="2"/>
      <c r="W755" s="2"/>
      <c r="X755" s="2"/>
      <c r="Y755" s="2"/>
      <c r="Z755" s="2"/>
    </row>
    <row r="756" ht="22.5" customHeight="1">
      <c r="A756" s="7"/>
      <c r="B756" s="7"/>
      <c r="C756" s="7"/>
      <c r="D756" s="7"/>
      <c r="E756" s="7"/>
      <c r="F756" s="7"/>
      <c r="G756" s="7"/>
      <c r="H756" s="2"/>
      <c r="I756" s="7"/>
      <c r="J756" s="7"/>
      <c r="K756" s="2"/>
      <c r="L756" s="2"/>
      <c r="M756" s="2"/>
      <c r="N756" s="2"/>
      <c r="O756" s="2"/>
      <c r="P756" s="2"/>
      <c r="Q756" s="2"/>
      <c r="R756" s="2"/>
      <c r="S756" s="2"/>
      <c r="T756" s="2"/>
      <c r="U756" s="2"/>
      <c r="V756" s="2"/>
      <c r="W756" s="2"/>
      <c r="X756" s="2"/>
      <c r="Y756" s="2"/>
      <c r="Z756" s="2"/>
    </row>
    <row r="757" ht="22.5" customHeight="1">
      <c r="A757" s="7"/>
      <c r="B757" s="7"/>
      <c r="C757" s="7"/>
      <c r="D757" s="7"/>
      <c r="E757" s="7"/>
      <c r="F757" s="7"/>
      <c r="G757" s="7"/>
      <c r="H757" s="2"/>
      <c r="I757" s="7"/>
      <c r="J757" s="7"/>
      <c r="K757" s="2"/>
      <c r="L757" s="2"/>
      <c r="M757" s="2"/>
      <c r="N757" s="2"/>
      <c r="O757" s="2"/>
      <c r="P757" s="2"/>
      <c r="Q757" s="2"/>
      <c r="R757" s="2"/>
      <c r="S757" s="2"/>
      <c r="T757" s="2"/>
      <c r="U757" s="2"/>
      <c r="V757" s="2"/>
      <c r="W757" s="2"/>
      <c r="X757" s="2"/>
      <c r="Y757" s="2"/>
      <c r="Z757" s="2"/>
    </row>
    <row r="758" ht="22.5" customHeight="1">
      <c r="A758" s="7"/>
      <c r="B758" s="7"/>
      <c r="C758" s="7"/>
      <c r="D758" s="7"/>
      <c r="E758" s="7"/>
      <c r="F758" s="7"/>
      <c r="G758" s="7"/>
      <c r="H758" s="2"/>
      <c r="I758" s="7"/>
      <c r="J758" s="7"/>
      <c r="K758" s="2"/>
      <c r="L758" s="2"/>
      <c r="M758" s="2"/>
      <c r="N758" s="2"/>
      <c r="O758" s="2"/>
      <c r="P758" s="2"/>
      <c r="Q758" s="2"/>
      <c r="R758" s="2"/>
      <c r="S758" s="2"/>
      <c r="T758" s="2"/>
      <c r="U758" s="2"/>
      <c r="V758" s="2"/>
      <c r="W758" s="2"/>
      <c r="X758" s="2"/>
      <c r="Y758" s="2"/>
      <c r="Z758" s="2"/>
    </row>
    <row r="759" ht="22.5" customHeight="1">
      <c r="A759" s="7"/>
      <c r="B759" s="7"/>
      <c r="C759" s="7"/>
      <c r="D759" s="7"/>
      <c r="E759" s="7"/>
      <c r="F759" s="7"/>
      <c r="G759" s="7"/>
      <c r="H759" s="2"/>
      <c r="I759" s="7"/>
      <c r="J759" s="7"/>
      <c r="K759" s="2"/>
      <c r="L759" s="2"/>
      <c r="M759" s="2"/>
      <c r="N759" s="2"/>
      <c r="O759" s="2"/>
      <c r="P759" s="2"/>
      <c r="Q759" s="2"/>
      <c r="R759" s="2"/>
      <c r="S759" s="2"/>
      <c r="T759" s="2"/>
      <c r="U759" s="2"/>
      <c r="V759" s="2"/>
      <c r="W759" s="2"/>
      <c r="X759" s="2"/>
      <c r="Y759" s="2"/>
      <c r="Z759" s="2"/>
    </row>
    <row r="760" ht="22.5" customHeight="1">
      <c r="A760" s="7"/>
      <c r="B760" s="7"/>
      <c r="C760" s="7"/>
      <c r="D760" s="7"/>
      <c r="E760" s="7"/>
      <c r="F760" s="7"/>
      <c r="G760" s="7"/>
      <c r="H760" s="2"/>
      <c r="I760" s="7"/>
      <c r="J760" s="7"/>
      <c r="K760" s="2"/>
      <c r="L760" s="2"/>
      <c r="M760" s="2"/>
      <c r="N760" s="2"/>
      <c r="O760" s="2"/>
      <c r="P760" s="2"/>
      <c r="Q760" s="2"/>
      <c r="R760" s="2"/>
      <c r="S760" s="2"/>
      <c r="T760" s="2"/>
      <c r="U760" s="2"/>
      <c r="V760" s="2"/>
      <c r="W760" s="2"/>
      <c r="X760" s="2"/>
      <c r="Y760" s="2"/>
      <c r="Z760" s="2"/>
    </row>
    <row r="761" ht="22.5" customHeight="1">
      <c r="A761" s="7"/>
      <c r="B761" s="7"/>
      <c r="C761" s="7"/>
      <c r="D761" s="7"/>
      <c r="E761" s="7"/>
      <c r="F761" s="7"/>
      <c r="G761" s="7"/>
      <c r="H761" s="2"/>
      <c r="I761" s="7"/>
      <c r="J761" s="7"/>
      <c r="K761" s="2"/>
      <c r="L761" s="2"/>
      <c r="M761" s="2"/>
      <c r="N761" s="2"/>
      <c r="O761" s="2"/>
      <c r="P761" s="2"/>
      <c r="Q761" s="2"/>
      <c r="R761" s="2"/>
      <c r="S761" s="2"/>
      <c r="T761" s="2"/>
      <c r="U761" s="2"/>
      <c r="V761" s="2"/>
      <c r="W761" s="2"/>
      <c r="X761" s="2"/>
      <c r="Y761" s="2"/>
      <c r="Z761" s="2"/>
    </row>
    <row r="762" ht="22.5" customHeight="1">
      <c r="A762" s="7"/>
      <c r="B762" s="7"/>
      <c r="C762" s="7"/>
      <c r="D762" s="7"/>
      <c r="E762" s="7"/>
      <c r="F762" s="7"/>
      <c r="G762" s="7"/>
      <c r="H762" s="2"/>
      <c r="I762" s="7"/>
      <c r="J762" s="7"/>
      <c r="K762" s="2"/>
      <c r="L762" s="2"/>
      <c r="M762" s="2"/>
      <c r="N762" s="2"/>
      <c r="O762" s="2"/>
      <c r="P762" s="2"/>
      <c r="Q762" s="2"/>
      <c r="R762" s="2"/>
      <c r="S762" s="2"/>
      <c r="T762" s="2"/>
      <c r="U762" s="2"/>
      <c r="V762" s="2"/>
      <c r="W762" s="2"/>
      <c r="X762" s="2"/>
      <c r="Y762" s="2"/>
      <c r="Z762" s="2"/>
    </row>
    <row r="763" ht="22.5" customHeight="1">
      <c r="A763" s="7"/>
      <c r="B763" s="7"/>
      <c r="C763" s="7"/>
      <c r="D763" s="7"/>
      <c r="E763" s="7"/>
      <c r="F763" s="7"/>
      <c r="G763" s="7"/>
      <c r="H763" s="2"/>
      <c r="I763" s="7"/>
      <c r="J763" s="7"/>
      <c r="K763" s="2"/>
      <c r="L763" s="2"/>
      <c r="M763" s="2"/>
      <c r="N763" s="2"/>
      <c r="O763" s="2"/>
      <c r="P763" s="2"/>
      <c r="Q763" s="2"/>
      <c r="R763" s="2"/>
      <c r="S763" s="2"/>
      <c r="T763" s="2"/>
      <c r="U763" s="2"/>
      <c r="V763" s="2"/>
      <c r="W763" s="2"/>
      <c r="X763" s="2"/>
      <c r="Y763" s="2"/>
      <c r="Z763" s="2"/>
    </row>
    <row r="764" ht="22.5" customHeight="1">
      <c r="A764" s="7"/>
      <c r="B764" s="7"/>
      <c r="C764" s="7"/>
      <c r="D764" s="7"/>
      <c r="E764" s="7"/>
      <c r="F764" s="7"/>
      <c r="G764" s="7"/>
      <c r="H764" s="2"/>
      <c r="I764" s="7"/>
      <c r="J764" s="7"/>
      <c r="K764" s="2"/>
      <c r="L764" s="2"/>
      <c r="M764" s="2"/>
      <c r="N764" s="2"/>
      <c r="O764" s="2"/>
      <c r="P764" s="2"/>
      <c r="Q764" s="2"/>
      <c r="R764" s="2"/>
      <c r="S764" s="2"/>
      <c r="T764" s="2"/>
      <c r="U764" s="2"/>
      <c r="V764" s="2"/>
      <c r="W764" s="2"/>
      <c r="X764" s="2"/>
      <c r="Y764" s="2"/>
      <c r="Z764" s="2"/>
    </row>
    <row r="765" ht="22.5" customHeight="1">
      <c r="A765" s="7"/>
      <c r="B765" s="7"/>
      <c r="C765" s="7"/>
      <c r="D765" s="7"/>
      <c r="E765" s="7"/>
      <c r="F765" s="7"/>
      <c r="G765" s="7"/>
      <c r="H765" s="2"/>
      <c r="I765" s="7"/>
      <c r="J765" s="7"/>
      <c r="K765" s="2"/>
      <c r="L765" s="2"/>
      <c r="M765" s="2"/>
      <c r="N765" s="2"/>
      <c r="O765" s="2"/>
      <c r="P765" s="2"/>
      <c r="Q765" s="2"/>
      <c r="R765" s="2"/>
      <c r="S765" s="2"/>
      <c r="T765" s="2"/>
      <c r="U765" s="2"/>
      <c r="V765" s="2"/>
      <c r="W765" s="2"/>
      <c r="X765" s="2"/>
      <c r="Y765" s="2"/>
      <c r="Z765" s="2"/>
    </row>
    <row r="766" ht="22.5" customHeight="1">
      <c r="A766" s="7"/>
      <c r="B766" s="7"/>
      <c r="C766" s="7"/>
      <c r="D766" s="7"/>
      <c r="E766" s="7"/>
      <c r="F766" s="7"/>
      <c r="G766" s="7"/>
      <c r="H766" s="2"/>
      <c r="I766" s="7"/>
      <c r="J766" s="7"/>
      <c r="K766" s="2"/>
      <c r="L766" s="2"/>
      <c r="M766" s="2"/>
      <c r="N766" s="2"/>
      <c r="O766" s="2"/>
      <c r="P766" s="2"/>
      <c r="Q766" s="2"/>
      <c r="R766" s="2"/>
      <c r="S766" s="2"/>
      <c r="T766" s="2"/>
      <c r="U766" s="2"/>
      <c r="V766" s="2"/>
      <c r="W766" s="2"/>
      <c r="X766" s="2"/>
      <c r="Y766" s="2"/>
      <c r="Z766" s="2"/>
    </row>
    <row r="767" ht="22.5" customHeight="1">
      <c r="A767" s="7"/>
      <c r="B767" s="7"/>
      <c r="C767" s="7"/>
      <c r="D767" s="7"/>
      <c r="E767" s="7"/>
      <c r="F767" s="7"/>
      <c r="G767" s="7"/>
      <c r="H767" s="2"/>
      <c r="I767" s="7"/>
      <c r="J767" s="7"/>
      <c r="K767" s="2"/>
      <c r="L767" s="2"/>
      <c r="M767" s="2"/>
      <c r="N767" s="2"/>
      <c r="O767" s="2"/>
      <c r="P767" s="2"/>
      <c r="Q767" s="2"/>
      <c r="R767" s="2"/>
      <c r="S767" s="2"/>
      <c r="T767" s="2"/>
      <c r="U767" s="2"/>
      <c r="V767" s="2"/>
      <c r="W767" s="2"/>
      <c r="X767" s="2"/>
      <c r="Y767" s="2"/>
      <c r="Z767" s="2"/>
    </row>
    <row r="768" ht="22.5" customHeight="1">
      <c r="A768" s="7"/>
      <c r="B768" s="7"/>
      <c r="C768" s="7"/>
      <c r="D768" s="7"/>
      <c r="E768" s="7"/>
      <c r="F768" s="7"/>
      <c r="G768" s="7"/>
      <c r="H768" s="2"/>
      <c r="I768" s="7"/>
      <c r="J768" s="7"/>
      <c r="K768" s="2"/>
      <c r="L768" s="2"/>
      <c r="M768" s="2"/>
      <c r="N768" s="2"/>
      <c r="O768" s="2"/>
      <c r="P768" s="2"/>
      <c r="Q768" s="2"/>
      <c r="R768" s="2"/>
      <c r="S768" s="2"/>
      <c r="T768" s="2"/>
      <c r="U768" s="2"/>
      <c r="V768" s="2"/>
      <c r="W768" s="2"/>
      <c r="X768" s="2"/>
      <c r="Y768" s="2"/>
      <c r="Z768" s="2"/>
    </row>
    <row r="769" ht="22.5" customHeight="1">
      <c r="A769" s="7"/>
      <c r="B769" s="7"/>
      <c r="C769" s="7"/>
      <c r="D769" s="7"/>
      <c r="E769" s="7"/>
      <c r="F769" s="7"/>
      <c r="G769" s="7"/>
      <c r="H769" s="2"/>
      <c r="I769" s="7"/>
      <c r="J769" s="7"/>
      <c r="K769" s="2"/>
      <c r="L769" s="2"/>
      <c r="M769" s="2"/>
      <c r="N769" s="2"/>
      <c r="O769" s="2"/>
      <c r="P769" s="2"/>
      <c r="Q769" s="2"/>
      <c r="R769" s="2"/>
      <c r="S769" s="2"/>
      <c r="T769" s="2"/>
      <c r="U769" s="2"/>
      <c r="V769" s="2"/>
      <c r="W769" s="2"/>
      <c r="X769" s="2"/>
      <c r="Y769" s="2"/>
      <c r="Z769" s="2"/>
    </row>
    <row r="770" ht="22.5" customHeight="1">
      <c r="A770" s="7"/>
      <c r="B770" s="7"/>
      <c r="C770" s="7"/>
      <c r="D770" s="7"/>
      <c r="E770" s="7"/>
      <c r="F770" s="7"/>
      <c r="G770" s="7"/>
      <c r="H770" s="2"/>
      <c r="I770" s="7"/>
      <c r="J770" s="7"/>
      <c r="K770" s="2"/>
      <c r="L770" s="2"/>
      <c r="M770" s="2"/>
      <c r="N770" s="2"/>
      <c r="O770" s="2"/>
      <c r="P770" s="2"/>
      <c r="Q770" s="2"/>
      <c r="R770" s="2"/>
      <c r="S770" s="2"/>
      <c r="T770" s="2"/>
      <c r="U770" s="2"/>
      <c r="V770" s="2"/>
      <c r="W770" s="2"/>
      <c r="X770" s="2"/>
      <c r="Y770" s="2"/>
      <c r="Z770" s="2"/>
    </row>
    <row r="771" ht="22.5" customHeight="1">
      <c r="A771" s="7"/>
      <c r="B771" s="7"/>
      <c r="C771" s="7"/>
      <c r="D771" s="7"/>
      <c r="E771" s="7"/>
      <c r="F771" s="7"/>
      <c r="G771" s="7"/>
      <c r="H771" s="2"/>
      <c r="I771" s="7"/>
      <c r="J771" s="7"/>
      <c r="K771" s="2"/>
      <c r="L771" s="2"/>
      <c r="M771" s="2"/>
      <c r="N771" s="2"/>
      <c r="O771" s="2"/>
      <c r="P771" s="2"/>
      <c r="Q771" s="2"/>
      <c r="R771" s="2"/>
      <c r="S771" s="2"/>
      <c r="T771" s="2"/>
      <c r="U771" s="2"/>
      <c r="V771" s="2"/>
      <c r="W771" s="2"/>
      <c r="X771" s="2"/>
      <c r="Y771" s="2"/>
      <c r="Z771" s="2"/>
    </row>
    <row r="772" ht="22.5" customHeight="1">
      <c r="A772" s="7"/>
      <c r="B772" s="7"/>
      <c r="C772" s="7"/>
      <c r="D772" s="7"/>
      <c r="E772" s="7"/>
      <c r="F772" s="7"/>
      <c r="G772" s="7"/>
      <c r="H772" s="2"/>
      <c r="I772" s="7"/>
      <c r="J772" s="7"/>
      <c r="K772" s="2"/>
      <c r="L772" s="2"/>
      <c r="M772" s="2"/>
      <c r="N772" s="2"/>
      <c r="O772" s="2"/>
      <c r="P772" s="2"/>
      <c r="Q772" s="2"/>
      <c r="R772" s="2"/>
      <c r="S772" s="2"/>
      <c r="T772" s="2"/>
      <c r="U772" s="2"/>
      <c r="V772" s="2"/>
      <c r="W772" s="2"/>
      <c r="X772" s="2"/>
      <c r="Y772" s="2"/>
      <c r="Z772" s="2"/>
    </row>
    <row r="773" ht="22.5" customHeight="1">
      <c r="A773" s="7"/>
      <c r="B773" s="7"/>
      <c r="C773" s="7"/>
      <c r="D773" s="7"/>
      <c r="E773" s="7"/>
      <c r="F773" s="7"/>
      <c r="G773" s="7"/>
      <c r="H773" s="2"/>
      <c r="I773" s="7"/>
      <c r="J773" s="7"/>
      <c r="K773" s="2"/>
      <c r="L773" s="2"/>
      <c r="M773" s="2"/>
      <c r="N773" s="2"/>
      <c r="O773" s="2"/>
      <c r="P773" s="2"/>
      <c r="Q773" s="2"/>
      <c r="R773" s="2"/>
      <c r="S773" s="2"/>
      <c r="T773" s="2"/>
      <c r="U773" s="2"/>
      <c r="V773" s="2"/>
      <c r="W773" s="2"/>
      <c r="X773" s="2"/>
      <c r="Y773" s="2"/>
      <c r="Z773" s="2"/>
    </row>
    <row r="774" ht="22.5" customHeight="1">
      <c r="A774" s="7"/>
      <c r="B774" s="7"/>
      <c r="C774" s="7"/>
      <c r="D774" s="7"/>
      <c r="E774" s="7"/>
      <c r="F774" s="7"/>
      <c r="G774" s="7"/>
      <c r="H774" s="2"/>
      <c r="I774" s="7"/>
      <c r="J774" s="7"/>
      <c r="K774" s="2"/>
      <c r="L774" s="2"/>
      <c r="M774" s="2"/>
      <c r="N774" s="2"/>
      <c r="O774" s="2"/>
      <c r="P774" s="2"/>
      <c r="Q774" s="2"/>
      <c r="R774" s="2"/>
      <c r="S774" s="2"/>
      <c r="T774" s="2"/>
      <c r="U774" s="2"/>
      <c r="V774" s="2"/>
      <c r="W774" s="2"/>
      <c r="X774" s="2"/>
      <c r="Y774" s="2"/>
      <c r="Z774" s="2"/>
    </row>
    <row r="775" ht="22.5" customHeight="1">
      <c r="A775" s="7"/>
      <c r="B775" s="7"/>
      <c r="C775" s="7"/>
      <c r="D775" s="7"/>
      <c r="E775" s="7"/>
      <c r="F775" s="7"/>
      <c r="G775" s="7"/>
      <c r="H775" s="2"/>
      <c r="I775" s="7"/>
      <c r="J775" s="7"/>
      <c r="K775" s="2"/>
      <c r="L775" s="2"/>
      <c r="M775" s="2"/>
      <c r="N775" s="2"/>
      <c r="O775" s="2"/>
      <c r="P775" s="2"/>
      <c r="Q775" s="2"/>
      <c r="R775" s="2"/>
      <c r="S775" s="2"/>
      <c r="T775" s="2"/>
      <c r="U775" s="2"/>
      <c r="V775" s="2"/>
      <c r="W775" s="2"/>
      <c r="X775" s="2"/>
      <c r="Y775" s="2"/>
      <c r="Z775" s="2"/>
    </row>
    <row r="776" ht="22.5" customHeight="1">
      <c r="A776" s="7"/>
      <c r="B776" s="7"/>
      <c r="C776" s="7"/>
      <c r="D776" s="7"/>
      <c r="E776" s="7"/>
      <c r="F776" s="7"/>
      <c r="G776" s="7"/>
      <c r="H776" s="2"/>
      <c r="I776" s="7"/>
      <c r="J776" s="7"/>
      <c r="K776" s="2"/>
      <c r="L776" s="2"/>
      <c r="M776" s="2"/>
      <c r="N776" s="2"/>
      <c r="O776" s="2"/>
      <c r="P776" s="2"/>
      <c r="Q776" s="2"/>
      <c r="R776" s="2"/>
      <c r="S776" s="2"/>
      <c r="T776" s="2"/>
      <c r="U776" s="2"/>
      <c r="V776" s="2"/>
      <c r="W776" s="2"/>
      <c r="X776" s="2"/>
      <c r="Y776" s="2"/>
      <c r="Z776" s="2"/>
    </row>
    <row r="777" ht="22.5" customHeight="1">
      <c r="A777" s="7"/>
      <c r="B777" s="7"/>
      <c r="C777" s="7"/>
      <c r="D777" s="7"/>
      <c r="E777" s="7"/>
      <c r="F777" s="7"/>
      <c r="G777" s="7"/>
      <c r="H777" s="2"/>
      <c r="I777" s="7"/>
      <c r="J777" s="7"/>
      <c r="K777" s="2"/>
      <c r="L777" s="2"/>
      <c r="M777" s="2"/>
      <c r="N777" s="2"/>
      <c r="O777" s="2"/>
      <c r="P777" s="2"/>
      <c r="Q777" s="2"/>
      <c r="R777" s="2"/>
      <c r="S777" s="2"/>
      <c r="T777" s="2"/>
      <c r="U777" s="2"/>
      <c r="V777" s="2"/>
      <c r="W777" s="2"/>
      <c r="X777" s="2"/>
      <c r="Y777" s="2"/>
      <c r="Z777" s="2"/>
    </row>
    <row r="778" ht="22.5" customHeight="1">
      <c r="A778" s="7"/>
      <c r="B778" s="7"/>
      <c r="C778" s="7"/>
      <c r="D778" s="7"/>
      <c r="E778" s="7"/>
      <c r="F778" s="7"/>
      <c r="G778" s="7"/>
      <c r="H778" s="2"/>
      <c r="I778" s="7"/>
      <c r="J778" s="7"/>
      <c r="K778" s="2"/>
      <c r="L778" s="2"/>
      <c r="M778" s="2"/>
      <c r="N778" s="2"/>
      <c r="O778" s="2"/>
      <c r="P778" s="2"/>
      <c r="Q778" s="2"/>
      <c r="R778" s="2"/>
      <c r="S778" s="2"/>
      <c r="T778" s="2"/>
      <c r="U778" s="2"/>
      <c r="V778" s="2"/>
      <c r="W778" s="2"/>
      <c r="X778" s="2"/>
      <c r="Y778" s="2"/>
      <c r="Z778" s="2"/>
    </row>
    <row r="779" ht="22.5" customHeight="1">
      <c r="A779" s="7"/>
      <c r="B779" s="7"/>
      <c r="C779" s="7"/>
      <c r="D779" s="7"/>
      <c r="E779" s="7"/>
      <c r="F779" s="7"/>
      <c r="G779" s="7"/>
      <c r="H779" s="2"/>
      <c r="I779" s="7"/>
      <c r="J779" s="7"/>
      <c r="K779" s="2"/>
      <c r="L779" s="2"/>
      <c r="M779" s="2"/>
      <c r="N779" s="2"/>
      <c r="O779" s="2"/>
      <c r="P779" s="2"/>
      <c r="Q779" s="2"/>
      <c r="R779" s="2"/>
      <c r="S779" s="2"/>
      <c r="T779" s="2"/>
      <c r="U779" s="2"/>
      <c r="V779" s="2"/>
      <c r="W779" s="2"/>
      <c r="X779" s="2"/>
      <c r="Y779" s="2"/>
      <c r="Z779" s="2"/>
    </row>
    <row r="780" ht="22.5" customHeight="1">
      <c r="A780" s="7"/>
      <c r="B780" s="7"/>
      <c r="C780" s="7"/>
      <c r="D780" s="7"/>
      <c r="E780" s="7"/>
      <c r="F780" s="7"/>
      <c r="G780" s="7"/>
      <c r="H780" s="2"/>
      <c r="I780" s="7"/>
      <c r="J780" s="7"/>
      <c r="K780" s="2"/>
      <c r="L780" s="2"/>
      <c r="M780" s="2"/>
      <c r="N780" s="2"/>
      <c r="O780" s="2"/>
      <c r="P780" s="2"/>
      <c r="Q780" s="2"/>
      <c r="R780" s="2"/>
      <c r="S780" s="2"/>
      <c r="T780" s="2"/>
      <c r="U780" s="2"/>
      <c r="V780" s="2"/>
      <c r="W780" s="2"/>
      <c r="X780" s="2"/>
      <c r="Y780" s="2"/>
      <c r="Z780" s="2"/>
    </row>
    <row r="781" ht="22.5" customHeight="1">
      <c r="A781" s="7"/>
      <c r="B781" s="7"/>
      <c r="C781" s="7"/>
      <c r="D781" s="7"/>
      <c r="E781" s="7"/>
      <c r="F781" s="7"/>
      <c r="G781" s="7"/>
      <c r="H781" s="2"/>
      <c r="I781" s="7"/>
      <c r="J781" s="7"/>
      <c r="K781" s="2"/>
      <c r="L781" s="2"/>
      <c r="M781" s="2"/>
      <c r="N781" s="2"/>
      <c r="O781" s="2"/>
      <c r="P781" s="2"/>
      <c r="Q781" s="2"/>
      <c r="R781" s="2"/>
      <c r="S781" s="2"/>
      <c r="T781" s="2"/>
      <c r="U781" s="2"/>
      <c r="V781" s="2"/>
      <c r="W781" s="2"/>
      <c r="X781" s="2"/>
      <c r="Y781" s="2"/>
      <c r="Z781" s="2"/>
    </row>
    <row r="782" ht="22.5" customHeight="1">
      <c r="A782" s="7"/>
      <c r="B782" s="7"/>
      <c r="C782" s="7"/>
      <c r="D782" s="7"/>
      <c r="E782" s="7"/>
      <c r="F782" s="7"/>
      <c r="G782" s="7"/>
      <c r="H782" s="2"/>
      <c r="I782" s="7"/>
      <c r="J782" s="7"/>
      <c r="K782" s="2"/>
      <c r="L782" s="2"/>
      <c r="M782" s="2"/>
      <c r="N782" s="2"/>
      <c r="O782" s="2"/>
      <c r="P782" s="2"/>
      <c r="Q782" s="2"/>
      <c r="R782" s="2"/>
      <c r="S782" s="2"/>
      <c r="T782" s="2"/>
      <c r="U782" s="2"/>
      <c r="V782" s="2"/>
      <c r="W782" s="2"/>
      <c r="X782" s="2"/>
      <c r="Y782" s="2"/>
      <c r="Z782" s="2"/>
    </row>
    <row r="783" ht="22.5" customHeight="1">
      <c r="A783" s="7"/>
      <c r="B783" s="7"/>
      <c r="C783" s="7"/>
      <c r="D783" s="7"/>
      <c r="E783" s="7"/>
      <c r="F783" s="7"/>
      <c r="G783" s="7"/>
      <c r="H783" s="2"/>
      <c r="I783" s="7"/>
      <c r="J783" s="7"/>
      <c r="K783" s="2"/>
      <c r="L783" s="2"/>
      <c r="M783" s="2"/>
      <c r="N783" s="2"/>
      <c r="O783" s="2"/>
      <c r="P783" s="2"/>
      <c r="Q783" s="2"/>
      <c r="R783" s="2"/>
      <c r="S783" s="2"/>
      <c r="T783" s="2"/>
      <c r="U783" s="2"/>
      <c r="V783" s="2"/>
      <c r="W783" s="2"/>
      <c r="X783" s="2"/>
      <c r="Y783" s="2"/>
      <c r="Z783" s="2"/>
    </row>
    <row r="784" ht="22.5" customHeight="1">
      <c r="A784" s="7"/>
      <c r="B784" s="7"/>
      <c r="C784" s="7"/>
      <c r="D784" s="7"/>
      <c r="E784" s="7"/>
      <c r="F784" s="7"/>
      <c r="G784" s="7"/>
      <c r="H784" s="2"/>
      <c r="I784" s="7"/>
      <c r="J784" s="7"/>
      <c r="K784" s="2"/>
      <c r="L784" s="2"/>
      <c r="M784" s="2"/>
      <c r="N784" s="2"/>
      <c r="O784" s="2"/>
      <c r="P784" s="2"/>
      <c r="Q784" s="2"/>
      <c r="R784" s="2"/>
      <c r="S784" s="2"/>
      <c r="T784" s="2"/>
      <c r="U784" s="2"/>
      <c r="V784" s="2"/>
      <c r="W784" s="2"/>
      <c r="X784" s="2"/>
      <c r="Y784" s="2"/>
      <c r="Z784" s="2"/>
    </row>
    <row r="785" ht="22.5" customHeight="1">
      <c r="A785" s="7"/>
      <c r="B785" s="7"/>
      <c r="C785" s="7"/>
      <c r="D785" s="7"/>
      <c r="E785" s="7"/>
      <c r="F785" s="7"/>
      <c r="G785" s="7"/>
      <c r="H785" s="2"/>
      <c r="I785" s="7"/>
      <c r="J785" s="7"/>
      <c r="K785" s="2"/>
      <c r="L785" s="2"/>
      <c r="M785" s="2"/>
      <c r="N785" s="2"/>
      <c r="O785" s="2"/>
      <c r="P785" s="2"/>
      <c r="Q785" s="2"/>
      <c r="R785" s="2"/>
      <c r="S785" s="2"/>
      <c r="T785" s="2"/>
      <c r="U785" s="2"/>
      <c r="V785" s="2"/>
      <c r="W785" s="2"/>
      <c r="X785" s="2"/>
      <c r="Y785" s="2"/>
      <c r="Z785" s="2"/>
    </row>
    <row r="786" ht="22.5" customHeight="1">
      <c r="A786" s="7"/>
      <c r="B786" s="7"/>
      <c r="C786" s="7"/>
      <c r="D786" s="7"/>
      <c r="E786" s="7"/>
      <c r="F786" s="7"/>
      <c r="G786" s="7"/>
      <c r="H786" s="2"/>
      <c r="I786" s="7"/>
      <c r="J786" s="7"/>
      <c r="K786" s="2"/>
      <c r="L786" s="2"/>
      <c r="M786" s="2"/>
      <c r="N786" s="2"/>
      <c r="O786" s="2"/>
      <c r="P786" s="2"/>
      <c r="Q786" s="2"/>
      <c r="R786" s="2"/>
      <c r="S786" s="2"/>
      <c r="T786" s="2"/>
      <c r="U786" s="2"/>
      <c r="V786" s="2"/>
      <c r="W786" s="2"/>
      <c r="X786" s="2"/>
      <c r="Y786" s="2"/>
      <c r="Z786" s="2"/>
    </row>
    <row r="787" ht="22.5" customHeight="1">
      <c r="A787" s="7"/>
      <c r="B787" s="7"/>
      <c r="C787" s="7"/>
      <c r="D787" s="7"/>
      <c r="E787" s="7"/>
      <c r="F787" s="7"/>
      <c r="G787" s="7"/>
      <c r="H787" s="2"/>
      <c r="I787" s="7"/>
      <c r="J787" s="7"/>
      <c r="K787" s="2"/>
      <c r="L787" s="2"/>
      <c r="M787" s="2"/>
      <c r="N787" s="2"/>
      <c r="O787" s="2"/>
      <c r="P787" s="2"/>
      <c r="Q787" s="2"/>
      <c r="R787" s="2"/>
      <c r="S787" s="2"/>
      <c r="T787" s="2"/>
      <c r="U787" s="2"/>
      <c r="V787" s="2"/>
      <c r="W787" s="2"/>
      <c r="X787" s="2"/>
      <c r="Y787" s="2"/>
      <c r="Z787" s="2"/>
    </row>
    <row r="788" ht="22.5" customHeight="1">
      <c r="A788" s="7"/>
      <c r="B788" s="7"/>
      <c r="C788" s="7"/>
      <c r="D788" s="7"/>
      <c r="E788" s="7"/>
      <c r="F788" s="7"/>
      <c r="G788" s="7"/>
      <c r="H788" s="2"/>
      <c r="I788" s="7"/>
      <c r="J788" s="7"/>
      <c r="K788" s="2"/>
      <c r="L788" s="2"/>
      <c r="M788" s="2"/>
      <c r="N788" s="2"/>
      <c r="O788" s="2"/>
      <c r="P788" s="2"/>
      <c r="Q788" s="2"/>
      <c r="R788" s="2"/>
      <c r="S788" s="2"/>
      <c r="T788" s="2"/>
      <c r="U788" s="2"/>
      <c r="V788" s="2"/>
      <c r="W788" s="2"/>
      <c r="X788" s="2"/>
      <c r="Y788" s="2"/>
      <c r="Z788" s="2"/>
    </row>
    <row r="789" ht="22.5" customHeight="1">
      <c r="A789" s="7"/>
      <c r="B789" s="7"/>
      <c r="C789" s="7"/>
      <c r="D789" s="7"/>
      <c r="E789" s="7"/>
      <c r="F789" s="7"/>
      <c r="G789" s="7"/>
      <c r="H789" s="2"/>
      <c r="I789" s="7"/>
      <c r="J789" s="7"/>
      <c r="K789" s="2"/>
      <c r="L789" s="2"/>
      <c r="M789" s="2"/>
      <c r="N789" s="2"/>
      <c r="O789" s="2"/>
      <c r="P789" s="2"/>
      <c r="Q789" s="2"/>
      <c r="R789" s="2"/>
      <c r="S789" s="2"/>
      <c r="T789" s="2"/>
      <c r="U789" s="2"/>
      <c r="V789" s="2"/>
      <c r="W789" s="2"/>
      <c r="X789" s="2"/>
      <c r="Y789" s="2"/>
      <c r="Z789" s="2"/>
    </row>
    <row r="790" ht="22.5" customHeight="1">
      <c r="A790" s="7"/>
      <c r="B790" s="7"/>
      <c r="C790" s="7"/>
      <c r="D790" s="7"/>
      <c r="E790" s="7"/>
      <c r="F790" s="7"/>
      <c r="G790" s="7"/>
      <c r="H790" s="2"/>
      <c r="I790" s="7"/>
      <c r="J790" s="7"/>
      <c r="K790" s="2"/>
      <c r="L790" s="2"/>
      <c r="M790" s="2"/>
      <c r="N790" s="2"/>
      <c r="O790" s="2"/>
      <c r="P790" s="2"/>
      <c r="Q790" s="2"/>
      <c r="R790" s="2"/>
      <c r="S790" s="2"/>
      <c r="T790" s="2"/>
      <c r="U790" s="2"/>
      <c r="V790" s="2"/>
      <c r="W790" s="2"/>
      <c r="X790" s="2"/>
      <c r="Y790" s="2"/>
      <c r="Z790" s="2"/>
    </row>
    <row r="791" ht="22.5" customHeight="1">
      <c r="A791" s="7"/>
      <c r="B791" s="7"/>
      <c r="C791" s="7"/>
      <c r="D791" s="7"/>
      <c r="E791" s="7"/>
      <c r="F791" s="7"/>
      <c r="G791" s="7"/>
      <c r="H791" s="2"/>
      <c r="I791" s="7"/>
      <c r="J791" s="7"/>
      <c r="K791" s="2"/>
      <c r="L791" s="2"/>
      <c r="M791" s="2"/>
      <c r="N791" s="2"/>
      <c r="O791" s="2"/>
      <c r="P791" s="2"/>
      <c r="Q791" s="2"/>
      <c r="R791" s="2"/>
      <c r="S791" s="2"/>
      <c r="T791" s="2"/>
      <c r="U791" s="2"/>
      <c r="V791" s="2"/>
      <c r="W791" s="2"/>
      <c r="X791" s="2"/>
      <c r="Y791" s="2"/>
      <c r="Z791" s="2"/>
    </row>
    <row r="792" ht="22.5" customHeight="1">
      <c r="A792" s="7"/>
      <c r="B792" s="7"/>
      <c r="C792" s="7"/>
      <c r="D792" s="7"/>
      <c r="E792" s="7"/>
      <c r="F792" s="7"/>
      <c r="G792" s="7"/>
      <c r="H792" s="2"/>
      <c r="I792" s="7"/>
      <c r="J792" s="7"/>
      <c r="K792" s="2"/>
      <c r="L792" s="2"/>
      <c r="M792" s="2"/>
      <c r="N792" s="2"/>
      <c r="O792" s="2"/>
      <c r="P792" s="2"/>
      <c r="Q792" s="2"/>
      <c r="R792" s="2"/>
      <c r="S792" s="2"/>
      <c r="T792" s="2"/>
      <c r="U792" s="2"/>
      <c r="V792" s="2"/>
      <c r="W792" s="2"/>
      <c r="X792" s="2"/>
      <c r="Y792" s="2"/>
      <c r="Z792" s="2"/>
    </row>
    <row r="793" ht="22.5" customHeight="1">
      <c r="A793" s="7"/>
      <c r="B793" s="7"/>
      <c r="C793" s="7"/>
      <c r="D793" s="7"/>
      <c r="E793" s="7"/>
      <c r="F793" s="7"/>
      <c r="G793" s="7"/>
      <c r="H793" s="2"/>
      <c r="I793" s="7"/>
      <c r="J793" s="7"/>
      <c r="K793" s="2"/>
      <c r="L793" s="2"/>
      <c r="M793" s="2"/>
      <c r="N793" s="2"/>
      <c r="O793" s="2"/>
      <c r="P793" s="2"/>
      <c r="Q793" s="2"/>
      <c r="R793" s="2"/>
      <c r="S793" s="2"/>
      <c r="T793" s="2"/>
      <c r="U793" s="2"/>
      <c r="V793" s="2"/>
      <c r="W793" s="2"/>
      <c r="X793" s="2"/>
      <c r="Y793" s="2"/>
      <c r="Z793" s="2"/>
    </row>
    <row r="794" ht="22.5" customHeight="1">
      <c r="A794" s="7"/>
      <c r="B794" s="7"/>
      <c r="C794" s="7"/>
      <c r="D794" s="7"/>
      <c r="E794" s="7"/>
      <c r="F794" s="7"/>
      <c r="G794" s="7"/>
      <c r="H794" s="2"/>
      <c r="I794" s="7"/>
      <c r="J794" s="7"/>
      <c r="K794" s="2"/>
      <c r="L794" s="2"/>
      <c r="M794" s="2"/>
      <c r="N794" s="2"/>
      <c r="O794" s="2"/>
      <c r="P794" s="2"/>
      <c r="Q794" s="2"/>
      <c r="R794" s="2"/>
      <c r="S794" s="2"/>
      <c r="T794" s="2"/>
      <c r="U794" s="2"/>
      <c r="V794" s="2"/>
      <c r="W794" s="2"/>
      <c r="X794" s="2"/>
      <c r="Y794" s="2"/>
      <c r="Z794" s="2"/>
    </row>
    <row r="795" ht="22.5" customHeight="1">
      <c r="A795" s="7"/>
      <c r="B795" s="7"/>
      <c r="C795" s="7"/>
      <c r="D795" s="7"/>
      <c r="E795" s="7"/>
      <c r="F795" s="7"/>
      <c r="G795" s="7"/>
      <c r="H795" s="2"/>
      <c r="I795" s="7"/>
      <c r="J795" s="7"/>
      <c r="K795" s="2"/>
      <c r="L795" s="2"/>
      <c r="M795" s="2"/>
      <c r="N795" s="2"/>
      <c r="O795" s="2"/>
      <c r="P795" s="2"/>
      <c r="Q795" s="2"/>
      <c r="R795" s="2"/>
      <c r="S795" s="2"/>
      <c r="T795" s="2"/>
      <c r="U795" s="2"/>
      <c r="V795" s="2"/>
      <c r="W795" s="2"/>
      <c r="X795" s="2"/>
      <c r="Y795" s="2"/>
      <c r="Z795" s="2"/>
    </row>
    <row r="796" ht="22.5" customHeight="1">
      <c r="A796" s="7"/>
      <c r="B796" s="7"/>
      <c r="C796" s="7"/>
      <c r="D796" s="7"/>
      <c r="E796" s="7"/>
      <c r="F796" s="7"/>
      <c r="G796" s="7"/>
      <c r="H796" s="2"/>
      <c r="I796" s="7"/>
      <c r="J796" s="7"/>
      <c r="K796" s="2"/>
      <c r="L796" s="2"/>
      <c r="M796" s="2"/>
      <c r="N796" s="2"/>
      <c r="O796" s="2"/>
      <c r="P796" s="2"/>
      <c r="Q796" s="2"/>
      <c r="R796" s="2"/>
      <c r="S796" s="2"/>
      <c r="T796" s="2"/>
      <c r="U796" s="2"/>
      <c r="V796" s="2"/>
      <c r="W796" s="2"/>
      <c r="X796" s="2"/>
      <c r="Y796" s="2"/>
      <c r="Z796" s="2"/>
    </row>
    <row r="797" ht="22.5" customHeight="1">
      <c r="A797" s="7"/>
      <c r="B797" s="7"/>
      <c r="C797" s="7"/>
      <c r="D797" s="7"/>
      <c r="E797" s="7"/>
      <c r="F797" s="7"/>
      <c r="G797" s="7"/>
      <c r="H797" s="2"/>
      <c r="I797" s="7"/>
      <c r="J797" s="7"/>
      <c r="K797" s="2"/>
      <c r="L797" s="2"/>
      <c r="M797" s="2"/>
      <c r="N797" s="2"/>
      <c r="O797" s="2"/>
      <c r="P797" s="2"/>
      <c r="Q797" s="2"/>
      <c r="R797" s="2"/>
      <c r="S797" s="2"/>
      <c r="T797" s="2"/>
      <c r="U797" s="2"/>
      <c r="V797" s="2"/>
      <c r="W797" s="2"/>
      <c r="X797" s="2"/>
      <c r="Y797" s="2"/>
      <c r="Z797" s="2"/>
    </row>
    <row r="798" ht="22.5" customHeight="1">
      <c r="A798" s="7"/>
      <c r="B798" s="7"/>
      <c r="C798" s="7"/>
      <c r="D798" s="7"/>
      <c r="E798" s="7"/>
      <c r="F798" s="7"/>
      <c r="G798" s="7"/>
      <c r="H798" s="2"/>
      <c r="I798" s="7"/>
      <c r="J798" s="7"/>
      <c r="K798" s="2"/>
      <c r="L798" s="2"/>
      <c r="M798" s="2"/>
      <c r="N798" s="2"/>
      <c r="O798" s="2"/>
      <c r="P798" s="2"/>
      <c r="Q798" s="2"/>
      <c r="R798" s="2"/>
      <c r="S798" s="2"/>
      <c r="T798" s="2"/>
      <c r="U798" s="2"/>
      <c r="V798" s="2"/>
      <c r="W798" s="2"/>
      <c r="X798" s="2"/>
      <c r="Y798" s="2"/>
      <c r="Z798" s="2"/>
    </row>
    <row r="799" ht="22.5" customHeight="1">
      <c r="A799" s="7"/>
      <c r="B799" s="7"/>
      <c r="C799" s="7"/>
      <c r="D799" s="7"/>
      <c r="E799" s="7"/>
      <c r="F799" s="7"/>
      <c r="G799" s="7"/>
      <c r="H799" s="2"/>
      <c r="I799" s="7"/>
      <c r="J799" s="7"/>
      <c r="K799" s="2"/>
      <c r="L799" s="2"/>
      <c r="M799" s="2"/>
      <c r="N799" s="2"/>
      <c r="O799" s="2"/>
      <c r="P799" s="2"/>
      <c r="Q799" s="2"/>
      <c r="R799" s="2"/>
      <c r="S799" s="2"/>
      <c r="T799" s="2"/>
      <c r="U799" s="2"/>
      <c r="V799" s="2"/>
      <c r="W799" s="2"/>
      <c r="X799" s="2"/>
      <c r="Y799" s="2"/>
      <c r="Z799" s="2"/>
    </row>
    <row r="800" ht="22.5" customHeight="1">
      <c r="A800" s="7"/>
      <c r="B800" s="7"/>
      <c r="C800" s="7"/>
      <c r="D800" s="7"/>
      <c r="E800" s="7"/>
      <c r="F800" s="7"/>
      <c r="G800" s="7"/>
      <c r="H800" s="2"/>
      <c r="I800" s="7"/>
      <c r="J800" s="7"/>
      <c r="K800" s="2"/>
      <c r="L800" s="2"/>
      <c r="M800" s="2"/>
      <c r="N800" s="2"/>
      <c r="O800" s="2"/>
      <c r="P800" s="2"/>
      <c r="Q800" s="2"/>
      <c r="R800" s="2"/>
      <c r="S800" s="2"/>
      <c r="T800" s="2"/>
      <c r="U800" s="2"/>
      <c r="V800" s="2"/>
      <c r="W800" s="2"/>
      <c r="X800" s="2"/>
      <c r="Y800" s="2"/>
      <c r="Z800" s="2"/>
    </row>
    <row r="801" ht="22.5" customHeight="1">
      <c r="A801" s="7"/>
      <c r="B801" s="7"/>
      <c r="C801" s="7"/>
      <c r="D801" s="7"/>
      <c r="E801" s="7"/>
      <c r="F801" s="7"/>
      <c r="G801" s="7"/>
      <c r="H801" s="2"/>
      <c r="I801" s="7"/>
      <c r="J801" s="7"/>
      <c r="K801" s="2"/>
      <c r="L801" s="2"/>
      <c r="M801" s="2"/>
      <c r="N801" s="2"/>
      <c r="O801" s="2"/>
      <c r="P801" s="2"/>
      <c r="Q801" s="2"/>
      <c r="R801" s="2"/>
      <c r="S801" s="2"/>
      <c r="T801" s="2"/>
      <c r="U801" s="2"/>
      <c r="V801" s="2"/>
      <c r="W801" s="2"/>
      <c r="X801" s="2"/>
      <c r="Y801" s="2"/>
      <c r="Z801" s="2"/>
    </row>
    <row r="802" ht="22.5" customHeight="1">
      <c r="A802" s="7"/>
      <c r="B802" s="7"/>
      <c r="C802" s="7"/>
      <c r="D802" s="7"/>
      <c r="E802" s="7"/>
      <c r="F802" s="7"/>
      <c r="G802" s="7"/>
      <c r="H802" s="2"/>
      <c r="I802" s="7"/>
      <c r="J802" s="7"/>
      <c r="K802" s="2"/>
      <c r="L802" s="2"/>
      <c r="M802" s="2"/>
      <c r="N802" s="2"/>
      <c r="O802" s="2"/>
      <c r="P802" s="2"/>
      <c r="Q802" s="2"/>
      <c r="R802" s="2"/>
      <c r="S802" s="2"/>
      <c r="T802" s="2"/>
      <c r="U802" s="2"/>
      <c r="V802" s="2"/>
      <c r="W802" s="2"/>
      <c r="X802" s="2"/>
      <c r="Y802" s="2"/>
      <c r="Z802" s="2"/>
    </row>
    <row r="803" ht="22.5" customHeight="1">
      <c r="A803" s="7"/>
      <c r="B803" s="7"/>
      <c r="C803" s="7"/>
      <c r="D803" s="7"/>
      <c r="E803" s="7"/>
      <c r="F803" s="7"/>
      <c r="G803" s="7"/>
      <c r="H803" s="2"/>
      <c r="I803" s="7"/>
      <c r="J803" s="7"/>
      <c r="K803" s="2"/>
      <c r="L803" s="2"/>
      <c r="M803" s="2"/>
      <c r="N803" s="2"/>
      <c r="O803" s="2"/>
      <c r="P803" s="2"/>
      <c r="Q803" s="2"/>
      <c r="R803" s="2"/>
      <c r="S803" s="2"/>
      <c r="T803" s="2"/>
      <c r="U803" s="2"/>
      <c r="V803" s="2"/>
      <c r="W803" s="2"/>
      <c r="X803" s="2"/>
      <c r="Y803" s="2"/>
      <c r="Z803" s="2"/>
    </row>
    <row r="804" ht="22.5" customHeight="1">
      <c r="A804" s="7"/>
      <c r="B804" s="7"/>
      <c r="C804" s="7"/>
      <c r="D804" s="7"/>
      <c r="E804" s="7"/>
      <c r="F804" s="7"/>
      <c r="G804" s="7"/>
      <c r="H804" s="2"/>
      <c r="I804" s="7"/>
      <c r="J804" s="7"/>
      <c r="K804" s="2"/>
      <c r="L804" s="2"/>
      <c r="M804" s="2"/>
      <c r="N804" s="2"/>
      <c r="O804" s="2"/>
      <c r="P804" s="2"/>
      <c r="Q804" s="2"/>
      <c r="R804" s="2"/>
      <c r="S804" s="2"/>
      <c r="T804" s="2"/>
      <c r="U804" s="2"/>
      <c r="V804" s="2"/>
      <c r="W804" s="2"/>
      <c r="X804" s="2"/>
      <c r="Y804" s="2"/>
      <c r="Z804" s="2"/>
    </row>
    <row r="805" ht="22.5" customHeight="1">
      <c r="A805" s="7"/>
      <c r="B805" s="7"/>
      <c r="C805" s="7"/>
      <c r="D805" s="7"/>
      <c r="E805" s="7"/>
      <c r="F805" s="7"/>
      <c r="G805" s="7"/>
      <c r="H805" s="2"/>
      <c r="I805" s="7"/>
      <c r="J805" s="7"/>
      <c r="K805" s="2"/>
      <c r="L805" s="2"/>
      <c r="M805" s="2"/>
      <c r="N805" s="2"/>
      <c r="O805" s="2"/>
      <c r="P805" s="2"/>
      <c r="Q805" s="2"/>
      <c r="R805" s="2"/>
      <c r="S805" s="2"/>
      <c r="T805" s="2"/>
      <c r="U805" s="2"/>
      <c r="V805" s="2"/>
      <c r="W805" s="2"/>
      <c r="X805" s="2"/>
      <c r="Y805" s="2"/>
      <c r="Z805" s="2"/>
    </row>
    <row r="806" ht="22.5" customHeight="1">
      <c r="A806" s="7"/>
      <c r="B806" s="7"/>
      <c r="C806" s="7"/>
      <c r="D806" s="7"/>
      <c r="E806" s="7"/>
      <c r="F806" s="7"/>
      <c r="G806" s="7"/>
      <c r="H806" s="2"/>
      <c r="I806" s="7"/>
      <c r="J806" s="7"/>
      <c r="K806" s="2"/>
      <c r="L806" s="2"/>
      <c r="M806" s="2"/>
      <c r="N806" s="2"/>
      <c r="O806" s="2"/>
      <c r="P806" s="2"/>
      <c r="Q806" s="2"/>
      <c r="R806" s="2"/>
      <c r="S806" s="2"/>
      <c r="T806" s="2"/>
      <c r="U806" s="2"/>
      <c r="V806" s="2"/>
      <c r="W806" s="2"/>
      <c r="X806" s="2"/>
      <c r="Y806" s="2"/>
      <c r="Z806" s="2"/>
    </row>
    <row r="807" ht="22.5" customHeight="1">
      <c r="A807" s="7"/>
      <c r="B807" s="7"/>
      <c r="C807" s="7"/>
      <c r="D807" s="7"/>
      <c r="E807" s="7"/>
      <c r="F807" s="7"/>
      <c r="G807" s="7"/>
      <c r="H807" s="2"/>
      <c r="I807" s="7"/>
      <c r="J807" s="7"/>
      <c r="K807" s="2"/>
      <c r="L807" s="2"/>
      <c r="M807" s="2"/>
      <c r="N807" s="2"/>
      <c r="O807" s="2"/>
      <c r="P807" s="2"/>
      <c r="Q807" s="2"/>
      <c r="R807" s="2"/>
      <c r="S807" s="2"/>
      <c r="T807" s="2"/>
      <c r="U807" s="2"/>
      <c r="V807" s="2"/>
      <c r="W807" s="2"/>
      <c r="X807" s="2"/>
      <c r="Y807" s="2"/>
      <c r="Z807" s="2"/>
    </row>
    <row r="808" ht="22.5" customHeight="1">
      <c r="A808" s="7"/>
      <c r="B808" s="7"/>
      <c r="C808" s="7"/>
      <c r="D808" s="7"/>
      <c r="E808" s="7"/>
      <c r="F808" s="7"/>
      <c r="G808" s="7"/>
      <c r="H808" s="2"/>
      <c r="I808" s="7"/>
      <c r="J808" s="7"/>
      <c r="K808" s="2"/>
      <c r="L808" s="2"/>
      <c r="M808" s="2"/>
      <c r="N808" s="2"/>
      <c r="O808" s="2"/>
      <c r="P808" s="2"/>
      <c r="Q808" s="2"/>
      <c r="R808" s="2"/>
      <c r="S808" s="2"/>
      <c r="T808" s="2"/>
      <c r="U808" s="2"/>
      <c r="V808" s="2"/>
      <c r="W808" s="2"/>
      <c r="X808" s="2"/>
      <c r="Y808" s="2"/>
      <c r="Z808" s="2"/>
    </row>
    <row r="809" ht="22.5" customHeight="1">
      <c r="A809" s="7"/>
      <c r="B809" s="7"/>
      <c r="C809" s="7"/>
      <c r="D809" s="7"/>
      <c r="E809" s="7"/>
      <c r="F809" s="7"/>
      <c r="G809" s="7"/>
      <c r="H809" s="2"/>
      <c r="I809" s="7"/>
      <c r="J809" s="7"/>
      <c r="K809" s="2"/>
      <c r="L809" s="2"/>
      <c r="M809" s="2"/>
      <c r="N809" s="2"/>
      <c r="O809" s="2"/>
      <c r="P809" s="2"/>
      <c r="Q809" s="2"/>
      <c r="R809" s="2"/>
      <c r="S809" s="2"/>
      <c r="T809" s="2"/>
      <c r="U809" s="2"/>
      <c r="V809" s="2"/>
      <c r="W809" s="2"/>
      <c r="X809" s="2"/>
      <c r="Y809" s="2"/>
      <c r="Z809" s="2"/>
    </row>
    <row r="810" ht="22.5" customHeight="1">
      <c r="A810" s="7"/>
      <c r="B810" s="7"/>
      <c r="C810" s="7"/>
      <c r="D810" s="7"/>
      <c r="E810" s="7"/>
      <c r="F810" s="7"/>
      <c r="G810" s="7"/>
      <c r="H810" s="2"/>
      <c r="I810" s="7"/>
      <c r="J810" s="7"/>
      <c r="K810" s="2"/>
      <c r="L810" s="2"/>
      <c r="M810" s="2"/>
      <c r="N810" s="2"/>
      <c r="O810" s="2"/>
      <c r="P810" s="2"/>
      <c r="Q810" s="2"/>
      <c r="R810" s="2"/>
      <c r="S810" s="2"/>
      <c r="T810" s="2"/>
      <c r="U810" s="2"/>
      <c r="V810" s="2"/>
      <c r="W810" s="2"/>
      <c r="X810" s="2"/>
      <c r="Y810" s="2"/>
      <c r="Z810" s="2"/>
    </row>
    <row r="811" ht="22.5" customHeight="1">
      <c r="A811" s="7"/>
      <c r="B811" s="7"/>
      <c r="C811" s="7"/>
      <c r="D811" s="7"/>
      <c r="E811" s="7"/>
      <c r="F811" s="7"/>
      <c r="G811" s="7"/>
      <c r="H811" s="2"/>
      <c r="I811" s="7"/>
      <c r="J811" s="7"/>
      <c r="K811" s="2"/>
      <c r="L811" s="2"/>
      <c r="M811" s="2"/>
      <c r="N811" s="2"/>
      <c r="O811" s="2"/>
      <c r="P811" s="2"/>
      <c r="Q811" s="2"/>
      <c r="R811" s="2"/>
      <c r="S811" s="2"/>
      <c r="T811" s="2"/>
      <c r="U811" s="2"/>
      <c r="V811" s="2"/>
      <c r="W811" s="2"/>
      <c r="X811" s="2"/>
      <c r="Y811" s="2"/>
      <c r="Z811" s="2"/>
    </row>
    <row r="812" ht="22.5" customHeight="1">
      <c r="A812" s="7"/>
      <c r="B812" s="7"/>
      <c r="C812" s="7"/>
      <c r="D812" s="7"/>
      <c r="E812" s="7"/>
      <c r="F812" s="7"/>
      <c r="G812" s="7"/>
      <c r="H812" s="2"/>
      <c r="I812" s="7"/>
      <c r="J812" s="7"/>
      <c r="K812" s="2"/>
      <c r="L812" s="2"/>
      <c r="M812" s="2"/>
      <c r="N812" s="2"/>
      <c r="O812" s="2"/>
      <c r="P812" s="2"/>
      <c r="Q812" s="2"/>
      <c r="R812" s="2"/>
      <c r="S812" s="2"/>
      <c r="T812" s="2"/>
      <c r="U812" s="2"/>
      <c r="V812" s="2"/>
      <c r="W812" s="2"/>
      <c r="X812" s="2"/>
      <c r="Y812" s="2"/>
      <c r="Z812" s="2"/>
    </row>
    <row r="813" ht="22.5" customHeight="1">
      <c r="A813" s="7"/>
      <c r="B813" s="7"/>
      <c r="C813" s="7"/>
      <c r="D813" s="7"/>
      <c r="E813" s="7"/>
      <c r="F813" s="7"/>
      <c r="G813" s="7"/>
      <c r="H813" s="2"/>
      <c r="I813" s="7"/>
      <c r="J813" s="7"/>
      <c r="K813" s="2"/>
      <c r="L813" s="2"/>
      <c r="M813" s="2"/>
      <c r="N813" s="2"/>
      <c r="O813" s="2"/>
      <c r="P813" s="2"/>
      <c r="Q813" s="2"/>
      <c r="R813" s="2"/>
      <c r="S813" s="2"/>
      <c r="T813" s="2"/>
      <c r="U813" s="2"/>
      <c r="V813" s="2"/>
      <c r="W813" s="2"/>
      <c r="X813" s="2"/>
      <c r="Y813" s="2"/>
      <c r="Z813" s="2"/>
    </row>
    <row r="814" ht="22.5" customHeight="1">
      <c r="A814" s="7"/>
      <c r="B814" s="7"/>
      <c r="C814" s="7"/>
      <c r="D814" s="7"/>
      <c r="E814" s="7"/>
      <c r="F814" s="7"/>
      <c r="G814" s="7"/>
      <c r="H814" s="2"/>
      <c r="I814" s="7"/>
      <c r="J814" s="7"/>
      <c r="K814" s="2"/>
      <c r="L814" s="2"/>
      <c r="M814" s="2"/>
      <c r="N814" s="2"/>
      <c r="O814" s="2"/>
      <c r="P814" s="2"/>
      <c r="Q814" s="2"/>
      <c r="R814" s="2"/>
      <c r="S814" s="2"/>
      <c r="T814" s="2"/>
      <c r="U814" s="2"/>
      <c r="V814" s="2"/>
      <c r="W814" s="2"/>
      <c r="X814" s="2"/>
      <c r="Y814" s="2"/>
      <c r="Z814" s="2"/>
    </row>
    <row r="815" ht="22.5" customHeight="1">
      <c r="A815" s="7"/>
      <c r="B815" s="7"/>
      <c r="C815" s="7"/>
      <c r="D815" s="7"/>
      <c r="E815" s="7"/>
      <c r="F815" s="7"/>
      <c r="G815" s="7"/>
      <c r="H815" s="2"/>
      <c r="I815" s="7"/>
      <c r="J815" s="7"/>
      <c r="K815" s="2"/>
      <c r="L815" s="2"/>
      <c r="M815" s="2"/>
      <c r="N815" s="2"/>
      <c r="O815" s="2"/>
      <c r="P815" s="2"/>
      <c r="Q815" s="2"/>
      <c r="R815" s="2"/>
      <c r="S815" s="2"/>
      <c r="T815" s="2"/>
      <c r="U815" s="2"/>
      <c r="V815" s="2"/>
      <c r="W815" s="2"/>
      <c r="X815" s="2"/>
      <c r="Y815" s="2"/>
      <c r="Z815" s="2"/>
    </row>
    <row r="816" ht="22.5" customHeight="1">
      <c r="A816" s="7"/>
      <c r="B816" s="7"/>
      <c r="C816" s="7"/>
      <c r="D816" s="7"/>
      <c r="E816" s="7"/>
      <c r="F816" s="7"/>
      <c r="G816" s="7"/>
      <c r="H816" s="2"/>
      <c r="I816" s="7"/>
      <c r="J816" s="7"/>
      <c r="K816" s="2"/>
      <c r="L816" s="2"/>
      <c r="M816" s="2"/>
      <c r="N816" s="2"/>
      <c r="O816" s="2"/>
      <c r="P816" s="2"/>
      <c r="Q816" s="2"/>
      <c r="R816" s="2"/>
      <c r="S816" s="2"/>
      <c r="T816" s="2"/>
      <c r="U816" s="2"/>
      <c r="V816" s="2"/>
      <c r="W816" s="2"/>
      <c r="X816" s="2"/>
      <c r="Y816" s="2"/>
      <c r="Z816" s="2"/>
    </row>
    <row r="817" ht="22.5" customHeight="1">
      <c r="A817" s="7"/>
      <c r="B817" s="7"/>
      <c r="C817" s="7"/>
      <c r="D817" s="7"/>
      <c r="E817" s="7"/>
      <c r="F817" s="7"/>
      <c r="G817" s="7"/>
      <c r="H817" s="2"/>
      <c r="I817" s="7"/>
      <c r="J817" s="7"/>
      <c r="K817" s="2"/>
      <c r="L817" s="2"/>
      <c r="M817" s="2"/>
      <c r="N817" s="2"/>
      <c r="O817" s="2"/>
      <c r="P817" s="2"/>
      <c r="Q817" s="2"/>
      <c r="R817" s="2"/>
      <c r="S817" s="2"/>
      <c r="T817" s="2"/>
      <c r="U817" s="2"/>
      <c r="V817" s="2"/>
      <c r="W817" s="2"/>
      <c r="X817" s="2"/>
      <c r="Y817" s="2"/>
      <c r="Z817" s="2"/>
    </row>
    <row r="818" ht="22.5" customHeight="1">
      <c r="A818" s="7"/>
      <c r="B818" s="7"/>
      <c r="C818" s="7"/>
      <c r="D818" s="7"/>
      <c r="E818" s="7"/>
      <c r="F818" s="7"/>
      <c r="G818" s="7"/>
      <c r="H818" s="2"/>
      <c r="I818" s="7"/>
      <c r="J818" s="7"/>
      <c r="K818" s="2"/>
      <c r="L818" s="2"/>
      <c r="M818" s="2"/>
      <c r="N818" s="2"/>
      <c r="O818" s="2"/>
      <c r="P818" s="2"/>
      <c r="Q818" s="2"/>
      <c r="R818" s="2"/>
      <c r="S818" s="2"/>
      <c r="T818" s="2"/>
      <c r="U818" s="2"/>
      <c r="V818" s="2"/>
      <c r="W818" s="2"/>
      <c r="X818" s="2"/>
      <c r="Y818" s="2"/>
      <c r="Z818" s="2"/>
    </row>
    <row r="819" ht="22.5" customHeight="1">
      <c r="A819" s="7"/>
      <c r="B819" s="7"/>
      <c r="C819" s="7"/>
      <c r="D819" s="7"/>
      <c r="E819" s="7"/>
      <c r="F819" s="7"/>
      <c r="G819" s="7"/>
      <c r="H819" s="2"/>
      <c r="I819" s="7"/>
      <c r="J819" s="7"/>
      <c r="K819" s="2"/>
      <c r="L819" s="2"/>
      <c r="M819" s="2"/>
      <c r="N819" s="2"/>
      <c r="O819" s="2"/>
      <c r="P819" s="2"/>
      <c r="Q819" s="2"/>
      <c r="R819" s="2"/>
      <c r="S819" s="2"/>
      <c r="T819" s="2"/>
      <c r="U819" s="2"/>
      <c r="V819" s="2"/>
      <c r="W819" s="2"/>
      <c r="X819" s="2"/>
      <c r="Y819" s="2"/>
      <c r="Z819" s="2"/>
    </row>
    <row r="820" ht="22.5" customHeight="1">
      <c r="A820" s="7"/>
      <c r="B820" s="7"/>
      <c r="C820" s="7"/>
      <c r="D820" s="7"/>
      <c r="E820" s="7"/>
      <c r="F820" s="7"/>
      <c r="G820" s="7"/>
      <c r="H820" s="2"/>
      <c r="I820" s="7"/>
      <c r="J820" s="7"/>
      <c r="K820" s="2"/>
      <c r="L820" s="2"/>
      <c r="M820" s="2"/>
      <c r="N820" s="2"/>
      <c r="O820" s="2"/>
      <c r="P820" s="2"/>
      <c r="Q820" s="2"/>
      <c r="R820" s="2"/>
      <c r="S820" s="2"/>
      <c r="T820" s="2"/>
      <c r="U820" s="2"/>
      <c r="V820" s="2"/>
      <c r="W820" s="2"/>
      <c r="X820" s="2"/>
      <c r="Y820" s="2"/>
      <c r="Z820" s="2"/>
    </row>
    <row r="821" ht="22.5" customHeight="1">
      <c r="A821" s="7"/>
      <c r="B821" s="7"/>
      <c r="C821" s="7"/>
      <c r="D821" s="7"/>
      <c r="E821" s="7"/>
      <c r="F821" s="7"/>
      <c r="G821" s="7"/>
      <c r="H821" s="2"/>
      <c r="I821" s="7"/>
      <c r="J821" s="7"/>
      <c r="K821" s="2"/>
      <c r="L821" s="2"/>
      <c r="M821" s="2"/>
      <c r="N821" s="2"/>
      <c r="O821" s="2"/>
      <c r="P821" s="2"/>
      <c r="Q821" s="2"/>
      <c r="R821" s="2"/>
      <c r="S821" s="2"/>
      <c r="T821" s="2"/>
      <c r="U821" s="2"/>
      <c r="V821" s="2"/>
      <c r="W821" s="2"/>
      <c r="X821" s="2"/>
      <c r="Y821" s="2"/>
      <c r="Z821" s="2"/>
    </row>
    <row r="822" ht="22.5" customHeight="1">
      <c r="A822" s="7"/>
      <c r="B822" s="7"/>
      <c r="C822" s="7"/>
      <c r="D822" s="7"/>
      <c r="E822" s="7"/>
      <c r="F822" s="7"/>
      <c r="G822" s="7"/>
      <c r="H822" s="2"/>
      <c r="I822" s="7"/>
      <c r="J822" s="7"/>
      <c r="K822" s="2"/>
      <c r="L822" s="2"/>
      <c r="M822" s="2"/>
      <c r="N822" s="2"/>
      <c r="O822" s="2"/>
      <c r="P822" s="2"/>
      <c r="Q822" s="2"/>
      <c r="R822" s="2"/>
      <c r="S822" s="2"/>
      <c r="T822" s="2"/>
      <c r="U822" s="2"/>
      <c r="V822" s="2"/>
      <c r="W822" s="2"/>
      <c r="X822" s="2"/>
      <c r="Y822" s="2"/>
      <c r="Z822" s="2"/>
    </row>
    <row r="823" ht="22.5" customHeight="1">
      <c r="A823" s="7"/>
      <c r="B823" s="7"/>
      <c r="C823" s="7"/>
      <c r="D823" s="7"/>
      <c r="E823" s="7"/>
      <c r="F823" s="7"/>
      <c r="G823" s="7"/>
      <c r="H823" s="2"/>
      <c r="I823" s="7"/>
      <c r="J823" s="7"/>
      <c r="K823" s="2"/>
      <c r="L823" s="2"/>
      <c r="M823" s="2"/>
      <c r="N823" s="2"/>
      <c r="O823" s="2"/>
      <c r="P823" s="2"/>
      <c r="Q823" s="2"/>
      <c r="R823" s="2"/>
      <c r="S823" s="2"/>
      <c r="T823" s="2"/>
      <c r="U823" s="2"/>
      <c r="V823" s="2"/>
      <c r="W823" s="2"/>
      <c r="X823" s="2"/>
      <c r="Y823" s="2"/>
      <c r="Z823" s="2"/>
    </row>
    <row r="824" ht="22.5" customHeight="1">
      <c r="A824" s="7"/>
      <c r="B824" s="7"/>
      <c r="C824" s="7"/>
      <c r="D824" s="7"/>
      <c r="E824" s="7"/>
      <c r="F824" s="7"/>
      <c r="G824" s="7"/>
      <c r="H824" s="2"/>
      <c r="I824" s="7"/>
      <c r="J824" s="7"/>
      <c r="K824" s="2"/>
      <c r="L824" s="2"/>
      <c r="M824" s="2"/>
      <c r="N824" s="2"/>
      <c r="O824" s="2"/>
      <c r="P824" s="2"/>
      <c r="Q824" s="2"/>
      <c r="R824" s="2"/>
      <c r="S824" s="2"/>
      <c r="T824" s="2"/>
      <c r="U824" s="2"/>
      <c r="V824" s="2"/>
      <c r="W824" s="2"/>
      <c r="X824" s="2"/>
      <c r="Y824" s="2"/>
      <c r="Z824" s="2"/>
    </row>
    <row r="825" ht="22.5" customHeight="1">
      <c r="A825" s="7"/>
      <c r="B825" s="7"/>
      <c r="C825" s="7"/>
      <c r="D825" s="7"/>
      <c r="E825" s="7"/>
      <c r="F825" s="7"/>
      <c r="G825" s="7"/>
      <c r="H825" s="2"/>
      <c r="I825" s="7"/>
      <c r="J825" s="7"/>
      <c r="K825" s="2"/>
      <c r="L825" s="2"/>
      <c r="M825" s="2"/>
      <c r="N825" s="2"/>
      <c r="O825" s="2"/>
      <c r="P825" s="2"/>
      <c r="Q825" s="2"/>
      <c r="R825" s="2"/>
      <c r="S825" s="2"/>
      <c r="T825" s="2"/>
      <c r="U825" s="2"/>
      <c r="V825" s="2"/>
      <c r="W825" s="2"/>
      <c r="X825" s="2"/>
      <c r="Y825" s="2"/>
      <c r="Z825" s="2"/>
    </row>
    <row r="826" ht="22.5" customHeight="1">
      <c r="A826" s="7"/>
      <c r="B826" s="7"/>
      <c r="C826" s="7"/>
      <c r="D826" s="7"/>
      <c r="E826" s="7"/>
      <c r="F826" s="7"/>
      <c r="G826" s="7"/>
      <c r="H826" s="2"/>
      <c r="I826" s="7"/>
      <c r="J826" s="7"/>
      <c r="K826" s="2"/>
      <c r="L826" s="2"/>
      <c r="M826" s="2"/>
      <c r="N826" s="2"/>
      <c r="O826" s="2"/>
      <c r="P826" s="2"/>
      <c r="Q826" s="2"/>
      <c r="R826" s="2"/>
      <c r="S826" s="2"/>
      <c r="T826" s="2"/>
      <c r="U826" s="2"/>
      <c r="V826" s="2"/>
      <c r="W826" s="2"/>
      <c r="X826" s="2"/>
      <c r="Y826" s="2"/>
      <c r="Z826" s="2"/>
    </row>
    <row r="827" ht="22.5" customHeight="1">
      <c r="A827" s="7"/>
      <c r="B827" s="7"/>
      <c r="C827" s="7"/>
      <c r="D827" s="7"/>
      <c r="E827" s="7"/>
      <c r="F827" s="7"/>
      <c r="G827" s="7"/>
      <c r="H827" s="2"/>
      <c r="I827" s="7"/>
      <c r="J827" s="7"/>
      <c r="K827" s="2"/>
      <c r="L827" s="2"/>
      <c r="M827" s="2"/>
      <c r="N827" s="2"/>
      <c r="O827" s="2"/>
      <c r="P827" s="2"/>
      <c r="Q827" s="2"/>
      <c r="R827" s="2"/>
      <c r="S827" s="2"/>
      <c r="T827" s="2"/>
      <c r="U827" s="2"/>
      <c r="V827" s="2"/>
      <c r="W827" s="2"/>
      <c r="X827" s="2"/>
      <c r="Y827" s="2"/>
      <c r="Z827" s="2"/>
    </row>
    <row r="828" ht="22.5" customHeight="1">
      <c r="A828" s="7"/>
      <c r="B828" s="7"/>
      <c r="C828" s="7"/>
      <c r="D828" s="7"/>
      <c r="E828" s="7"/>
      <c r="F828" s="7"/>
      <c r="G828" s="7"/>
      <c r="H828" s="2"/>
      <c r="I828" s="7"/>
      <c r="J828" s="7"/>
      <c r="K828" s="2"/>
      <c r="L828" s="2"/>
      <c r="M828" s="2"/>
      <c r="N828" s="2"/>
      <c r="O828" s="2"/>
      <c r="P828" s="2"/>
      <c r="Q828" s="2"/>
      <c r="R828" s="2"/>
      <c r="S828" s="2"/>
      <c r="T828" s="2"/>
      <c r="U828" s="2"/>
      <c r="V828" s="2"/>
      <c r="W828" s="2"/>
      <c r="X828" s="2"/>
      <c r="Y828" s="2"/>
      <c r="Z828" s="2"/>
    </row>
    <row r="829" ht="22.5" customHeight="1">
      <c r="A829" s="7"/>
      <c r="B829" s="7"/>
      <c r="C829" s="7"/>
      <c r="D829" s="7"/>
      <c r="E829" s="7"/>
      <c r="F829" s="7"/>
      <c r="G829" s="7"/>
      <c r="H829" s="2"/>
      <c r="I829" s="7"/>
      <c r="J829" s="7"/>
      <c r="K829" s="2"/>
      <c r="L829" s="2"/>
      <c r="M829" s="2"/>
      <c r="N829" s="2"/>
      <c r="O829" s="2"/>
      <c r="P829" s="2"/>
      <c r="Q829" s="2"/>
      <c r="R829" s="2"/>
      <c r="S829" s="2"/>
      <c r="T829" s="2"/>
      <c r="U829" s="2"/>
      <c r="V829" s="2"/>
      <c r="W829" s="2"/>
      <c r="X829" s="2"/>
      <c r="Y829" s="2"/>
      <c r="Z829" s="2"/>
    </row>
    <row r="830" ht="22.5" customHeight="1">
      <c r="A830" s="7"/>
      <c r="B830" s="7"/>
      <c r="C830" s="7"/>
      <c r="D830" s="7"/>
      <c r="E830" s="7"/>
      <c r="F830" s="7"/>
      <c r="G830" s="7"/>
      <c r="H830" s="2"/>
      <c r="I830" s="7"/>
      <c r="J830" s="7"/>
      <c r="K830" s="2"/>
      <c r="L830" s="2"/>
      <c r="M830" s="2"/>
      <c r="N830" s="2"/>
      <c r="O830" s="2"/>
      <c r="P830" s="2"/>
      <c r="Q830" s="2"/>
      <c r="R830" s="2"/>
      <c r="S830" s="2"/>
      <c r="T830" s="2"/>
      <c r="U830" s="2"/>
      <c r="V830" s="2"/>
      <c r="W830" s="2"/>
      <c r="X830" s="2"/>
      <c r="Y830" s="2"/>
      <c r="Z830" s="2"/>
    </row>
    <row r="831" ht="22.5" customHeight="1">
      <c r="A831" s="7"/>
      <c r="B831" s="7"/>
      <c r="C831" s="7"/>
      <c r="D831" s="7"/>
      <c r="E831" s="7"/>
      <c r="F831" s="7"/>
      <c r="G831" s="7"/>
      <c r="H831" s="2"/>
      <c r="I831" s="7"/>
      <c r="J831" s="7"/>
      <c r="K831" s="2"/>
      <c r="L831" s="2"/>
      <c r="M831" s="2"/>
      <c r="N831" s="2"/>
      <c r="O831" s="2"/>
      <c r="P831" s="2"/>
      <c r="Q831" s="2"/>
      <c r="R831" s="2"/>
      <c r="S831" s="2"/>
      <c r="T831" s="2"/>
      <c r="U831" s="2"/>
      <c r="V831" s="2"/>
      <c r="W831" s="2"/>
      <c r="X831" s="2"/>
      <c r="Y831" s="2"/>
      <c r="Z831" s="2"/>
    </row>
    <row r="832" ht="22.5" customHeight="1">
      <c r="A832" s="7"/>
      <c r="B832" s="7"/>
      <c r="C832" s="7"/>
      <c r="D832" s="7"/>
      <c r="E832" s="7"/>
      <c r="F832" s="7"/>
      <c r="G832" s="7"/>
      <c r="H832" s="2"/>
      <c r="I832" s="7"/>
      <c r="J832" s="7"/>
      <c r="K832" s="2"/>
      <c r="L832" s="2"/>
      <c r="M832" s="2"/>
      <c r="N832" s="2"/>
      <c r="O832" s="2"/>
      <c r="P832" s="2"/>
      <c r="Q832" s="2"/>
      <c r="R832" s="2"/>
      <c r="S832" s="2"/>
      <c r="T832" s="2"/>
      <c r="U832" s="2"/>
      <c r="V832" s="2"/>
      <c r="W832" s="2"/>
      <c r="X832" s="2"/>
      <c r="Y832" s="2"/>
      <c r="Z832" s="2"/>
    </row>
    <row r="833" ht="22.5" customHeight="1">
      <c r="A833" s="7"/>
      <c r="B833" s="7"/>
      <c r="C833" s="7"/>
      <c r="D833" s="7"/>
      <c r="E833" s="7"/>
      <c r="F833" s="7"/>
      <c r="G833" s="7"/>
      <c r="H833" s="2"/>
      <c r="I833" s="7"/>
      <c r="J833" s="7"/>
      <c r="K833" s="2"/>
      <c r="L833" s="2"/>
      <c r="M833" s="2"/>
      <c r="N833" s="2"/>
      <c r="O833" s="2"/>
      <c r="P833" s="2"/>
      <c r="Q833" s="2"/>
      <c r="R833" s="2"/>
      <c r="S833" s="2"/>
      <c r="T833" s="2"/>
      <c r="U833" s="2"/>
      <c r="V833" s="2"/>
      <c r="W833" s="2"/>
      <c r="X833" s="2"/>
      <c r="Y833" s="2"/>
      <c r="Z833" s="2"/>
    </row>
    <row r="834" ht="22.5" customHeight="1">
      <c r="A834" s="7"/>
      <c r="B834" s="7"/>
      <c r="C834" s="7"/>
      <c r="D834" s="7"/>
      <c r="E834" s="7"/>
      <c r="F834" s="7"/>
      <c r="G834" s="7"/>
      <c r="H834" s="2"/>
      <c r="I834" s="7"/>
      <c r="J834" s="7"/>
      <c r="K834" s="2"/>
      <c r="L834" s="2"/>
      <c r="M834" s="2"/>
      <c r="N834" s="2"/>
      <c r="O834" s="2"/>
      <c r="P834" s="2"/>
      <c r="Q834" s="2"/>
      <c r="R834" s="2"/>
      <c r="S834" s="2"/>
      <c r="T834" s="2"/>
      <c r="U834" s="2"/>
      <c r="V834" s="2"/>
      <c r="W834" s="2"/>
      <c r="X834" s="2"/>
      <c r="Y834" s="2"/>
      <c r="Z834" s="2"/>
    </row>
    <row r="835" ht="22.5" customHeight="1">
      <c r="A835" s="7"/>
      <c r="B835" s="7"/>
      <c r="C835" s="7"/>
      <c r="D835" s="7"/>
      <c r="E835" s="7"/>
      <c r="F835" s="7"/>
      <c r="G835" s="7"/>
      <c r="H835" s="2"/>
      <c r="I835" s="7"/>
      <c r="J835" s="7"/>
      <c r="K835" s="2"/>
      <c r="L835" s="2"/>
      <c r="M835" s="2"/>
      <c r="N835" s="2"/>
      <c r="O835" s="2"/>
      <c r="P835" s="2"/>
      <c r="Q835" s="2"/>
      <c r="R835" s="2"/>
      <c r="S835" s="2"/>
      <c r="T835" s="2"/>
      <c r="U835" s="2"/>
      <c r="V835" s="2"/>
      <c r="W835" s="2"/>
      <c r="X835" s="2"/>
      <c r="Y835" s="2"/>
      <c r="Z835" s="2"/>
    </row>
    <row r="836" ht="22.5" customHeight="1">
      <c r="A836" s="7"/>
      <c r="B836" s="7"/>
      <c r="C836" s="7"/>
      <c r="D836" s="7"/>
      <c r="E836" s="7"/>
      <c r="F836" s="7"/>
      <c r="G836" s="7"/>
      <c r="H836" s="2"/>
      <c r="I836" s="7"/>
      <c r="J836" s="7"/>
      <c r="K836" s="2"/>
      <c r="L836" s="2"/>
      <c r="M836" s="2"/>
      <c r="N836" s="2"/>
      <c r="O836" s="2"/>
      <c r="P836" s="2"/>
      <c r="Q836" s="2"/>
      <c r="R836" s="2"/>
      <c r="S836" s="2"/>
      <c r="T836" s="2"/>
      <c r="U836" s="2"/>
      <c r="V836" s="2"/>
      <c r="W836" s="2"/>
      <c r="X836" s="2"/>
      <c r="Y836" s="2"/>
      <c r="Z836" s="2"/>
    </row>
    <row r="837" ht="22.5" customHeight="1">
      <c r="A837" s="7"/>
      <c r="B837" s="7"/>
      <c r="C837" s="7"/>
      <c r="D837" s="7"/>
      <c r="E837" s="7"/>
      <c r="F837" s="7"/>
      <c r="G837" s="7"/>
      <c r="H837" s="2"/>
      <c r="I837" s="7"/>
      <c r="J837" s="7"/>
      <c r="K837" s="2"/>
      <c r="L837" s="2"/>
      <c r="M837" s="2"/>
      <c r="N837" s="2"/>
      <c r="O837" s="2"/>
      <c r="P837" s="2"/>
      <c r="Q837" s="2"/>
      <c r="R837" s="2"/>
      <c r="S837" s="2"/>
      <c r="T837" s="2"/>
      <c r="U837" s="2"/>
      <c r="V837" s="2"/>
      <c r="W837" s="2"/>
      <c r="X837" s="2"/>
      <c r="Y837" s="2"/>
      <c r="Z837" s="2"/>
    </row>
    <row r="838" ht="22.5" customHeight="1">
      <c r="A838" s="7"/>
      <c r="B838" s="7"/>
      <c r="C838" s="7"/>
      <c r="D838" s="7"/>
      <c r="E838" s="7"/>
      <c r="F838" s="7"/>
      <c r="G838" s="7"/>
      <c r="H838" s="2"/>
      <c r="I838" s="7"/>
      <c r="J838" s="7"/>
      <c r="K838" s="2"/>
      <c r="L838" s="2"/>
      <c r="M838" s="2"/>
      <c r="N838" s="2"/>
      <c r="O838" s="2"/>
      <c r="P838" s="2"/>
      <c r="Q838" s="2"/>
      <c r="R838" s="2"/>
      <c r="S838" s="2"/>
      <c r="T838" s="2"/>
      <c r="U838" s="2"/>
      <c r="V838" s="2"/>
      <c r="W838" s="2"/>
      <c r="X838" s="2"/>
      <c r="Y838" s="2"/>
      <c r="Z838" s="2"/>
    </row>
    <row r="839" ht="22.5" customHeight="1">
      <c r="A839" s="7"/>
      <c r="B839" s="7"/>
      <c r="C839" s="7"/>
      <c r="D839" s="7"/>
      <c r="E839" s="7"/>
      <c r="F839" s="7"/>
      <c r="G839" s="7"/>
      <c r="H839" s="2"/>
      <c r="I839" s="7"/>
      <c r="J839" s="7"/>
      <c r="K839" s="2"/>
      <c r="L839" s="2"/>
      <c r="M839" s="2"/>
      <c r="N839" s="2"/>
      <c r="O839" s="2"/>
      <c r="P839" s="2"/>
      <c r="Q839" s="2"/>
      <c r="R839" s="2"/>
      <c r="S839" s="2"/>
      <c r="T839" s="2"/>
      <c r="U839" s="2"/>
      <c r="V839" s="2"/>
      <c r="W839" s="2"/>
      <c r="X839" s="2"/>
      <c r="Y839" s="2"/>
      <c r="Z839" s="2"/>
    </row>
    <row r="840" ht="22.5" customHeight="1">
      <c r="A840" s="7"/>
      <c r="B840" s="7"/>
      <c r="C840" s="7"/>
      <c r="D840" s="7"/>
      <c r="E840" s="7"/>
      <c r="F840" s="7"/>
      <c r="G840" s="7"/>
      <c r="H840" s="2"/>
      <c r="I840" s="7"/>
      <c r="J840" s="7"/>
      <c r="K840" s="2"/>
      <c r="L840" s="2"/>
      <c r="M840" s="2"/>
      <c r="N840" s="2"/>
      <c r="O840" s="2"/>
      <c r="P840" s="2"/>
      <c r="Q840" s="2"/>
      <c r="R840" s="2"/>
      <c r="S840" s="2"/>
      <c r="T840" s="2"/>
      <c r="U840" s="2"/>
      <c r="V840" s="2"/>
      <c r="W840" s="2"/>
      <c r="X840" s="2"/>
      <c r="Y840" s="2"/>
      <c r="Z840" s="2"/>
    </row>
    <row r="841" ht="22.5" customHeight="1">
      <c r="A841" s="7"/>
      <c r="B841" s="7"/>
      <c r="C841" s="7"/>
      <c r="D841" s="7"/>
      <c r="E841" s="7"/>
      <c r="F841" s="7"/>
      <c r="G841" s="7"/>
      <c r="H841" s="2"/>
      <c r="I841" s="7"/>
      <c r="J841" s="7"/>
      <c r="K841" s="2"/>
      <c r="L841" s="2"/>
      <c r="M841" s="2"/>
      <c r="N841" s="2"/>
      <c r="O841" s="2"/>
      <c r="P841" s="2"/>
      <c r="Q841" s="2"/>
      <c r="R841" s="2"/>
      <c r="S841" s="2"/>
      <c r="T841" s="2"/>
      <c r="U841" s="2"/>
      <c r="V841" s="2"/>
      <c r="W841" s="2"/>
      <c r="X841" s="2"/>
      <c r="Y841" s="2"/>
      <c r="Z841" s="2"/>
    </row>
    <row r="842" ht="22.5" customHeight="1">
      <c r="A842" s="7"/>
      <c r="B842" s="7"/>
      <c r="C842" s="7"/>
      <c r="D842" s="7"/>
      <c r="E842" s="7"/>
      <c r="F842" s="7"/>
      <c r="G842" s="7"/>
      <c r="H842" s="2"/>
      <c r="I842" s="7"/>
      <c r="J842" s="7"/>
      <c r="K842" s="2"/>
      <c r="L842" s="2"/>
      <c r="M842" s="2"/>
      <c r="N842" s="2"/>
      <c r="O842" s="2"/>
      <c r="P842" s="2"/>
      <c r="Q842" s="2"/>
      <c r="R842" s="2"/>
      <c r="S842" s="2"/>
      <c r="T842" s="2"/>
      <c r="U842" s="2"/>
      <c r="V842" s="2"/>
      <c r="W842" s="2"/>
      <c r="X842" s="2"/>
      <c r="Y842" s="2"/>
      <c r="Z842" s="2"/>
    </row>
    <row r="843" ht="22.5" customHeight="1">
      <c r="A843" s="7"/>
      <c r="B843" s="7"/>
      <c r="C843" s="7"/>
      <c r="D843" s="7"/>
      <c r="E843" s="7"/>
      <c r="F843" s="7"/>
      <c r="G843" s="7"/>
      <c r="H843" s="2"/>
      <c r="I843" s="7"/>
      <c r="J843" s="7"/>
      <c r="K843" s="2"/>
      <c r="L843" s="2"/>
      <c r="M843" s="2"/>
      <c r="N843" s="2"/>
      <c r="O843" s="2"/>
      <c r="P843" s="2"/>
      <c r="Q843" s="2"/>
      <c r="R843" s="2"/>
      <c r="S843" s="2"/>
      <c r="T843" s="2"/>
      <c r="U843" s="2"/>
      <c r="V843" s="2"/>
      <c r="W843" s="2"/>
      <c r="X843" s="2"/>
      <c r="Y843" s="2"/>
      <c r="Z843" s="2"/>
    </row>
    <row r="844" ht="22.5" customHeight="1">
      <c r="A844" s="7"/>
      <c r="B844" s="7"/>
      <c r="C844" s="7"/>
      <c r="D844" s="7"/>
      <c r="E844" s="7"/>
      <c r="F844" s="7"/>
      <c r="G844" s="7"/>
      <c r="H844" s="2"/>
      <c r="I844" s="7"/>
      <c r="J844" s="7"/>
      <c r="K844" s="2"/>
      <c r="L844" s="2"/>
      <c r="M844" s="2"/>
      <c r="N844" s="2"/>
      <c r="O844" s="2"/>
      <c r="P844" s="2"/>
      <c r="Q844" s="2"/>
      <c r="R844" s="2"/>
      <c r="S844" s="2"/>
      <c r="T844" s="2"/>
      <c r="U844" s="2"/>
      <c r="V844" s="2"/>
      <c r="W844" s="2"/>
      <c r="X844" s="2"/>
      <c r="Y844" s="2"/>
      <c r="Z844" s="2"/>
    </row>
    <row r="845" ht="22.5" customHeight="1">
      <c r="A845" s="7"/>
      <c r="B845" s="7"/>
      <c r="C845" s="7"/>
      <c r="D845" s="7"/>
      <c r="E845" s="7"/>
      <c r="F845" s="7"/>
      <c r="G845" s="7"/>
      <c r="H845" s="2"/>
      <c r="I845" s="7"/>
      <c r="J845" s="7"/>
      <c r="K845" s="2"/>
      <c r="L845" s="2"/>
      <c r="M845" s="2"/>
      <c r="N845" s="2"/>
      <c r="O845" s="2"/>
      <c r="P845" s="2"/>
      <c r="Q845" s="2"/>
      <c r="R845" s="2"/>
      <c r="S845" s="2"/>
      <c r="T845" s="2"/>
      <c r="U845" s="2"/>
      <c r="V845" s="2"/>
      <c r="W845" s="2"/>
      <c r="X845" s="2"/>
      <c r="Y845" s="2"/>
      <c r="Z845" s="2"/>
    </row>
    <row r="846" ht="22.5" customHeight="1">
      <c r="A846" s="7"/>
      <c r="B846" s="7"/>
      <c r="C846" s="7"/>
      <c r="D846" s="7"/>
      <c r="E846" s="7"/>
      <c r="F846" s="7"/>
      <c r="G846" s="7"/>
      <c r="H846" s="2"/>
      <c r="I846" s="7"/>
      <c r="J846" s="7"/>
      <c r="K846" s="2"/>
      <c r="L846" s="2"/>
      <c r="M846" s="2"/>
      <c r="N846" s="2"/>
      <c r="O846" s="2"/>
      <c r="P846" s="2"/>
      <c r="Q846" s="2"/>
      <c r="R846" s="2"/>
      <c r="S846" s="2"/>
      <c r="T846" s="2"/>
      <c r="U846" s="2"/>
      <c r="V846" s="2"/>
      <c r="W846" s="2"/>
      <c r="X846" s="2"/>
      <c r="Y846" s="2"/>
      <c r="Z846" s="2"/>
    </row>
    <row r="847" ht="22.5" customHeight="1">
      <c r="A847" s="7"/>
      <c r="B847" s="7"/>
      <c r="C847" s="7"/>
      <c r="D847" s="7"/>
      <c r="E847" s="7"/>
      <c r="F847" s="7"/>
      <c r="G847" s="7"/>
      <c r="H847" s="2"/>
      <c r="I847" s="7"/>
      <c r="J847" s="7"/>
      <c r="K847" s="2"/>
      <c r="L847" s="2"/>
      <c r="M847" s="2"/>
      <c r="N847" s="2"/>
      <c r="O847" s="2"/>
      <c r="P847" s="2"/>
      <c r="Q847" s="2"/>
      <c r="R847" s="2"/>
      <c r="S847" s="2"/>
      <c r="T847" s="2"/>
      <c r="U847" s="2"/>
      <c r="V847" s="2"/>
      <c r="W847" s="2"/>
      <c r="X847" s="2"/>
      <c r="Y847" s="2"/>
      <c r="Z847" s="2"/>
    </row>
    <row r="848" ht="22.5" customHeight="1">
      <c r="A848" s="7"/>
      <c r="B848" s="7"/>
      <c r="C848" s="7"/>
      <c r="D848" s="7"/>
      <c r="E848" s="7"/>
      <c r="F848" s="7"/>
      <c r="G848" s="7"/>
      <c r="H848" s="2"/>
      <c r="I848" s="7"/>
      <c r="J848" s="7"/>
      <c r="K848" s="2"/>
      <c r="L848" s="2"/>
      <c r="M848" s="2"/>
      <c r="N848" s="2"/>
      <c r="O848" s="2"/>
      <c r="P848" s="2"/>
      <c r="Q848" s="2"/>
      <c r="R848" s="2"/>
      <c r="S848" s="2"/>
      <c r="T848" s="2"/>
      <c r="U848" s="2"/>
      <c r="V848" s="2"/>
      <c r="W848" s="2"/>
      <c r="X848" s="2"/>
      <c r="Y848" s="2"/>
      <c r="Z848" s="2"/>
    </row>
    <row r="849" ht="22.5" customHeight="1">
      <c r="A849" s="7"/>
      <c r="B849" s="7"/>
      <c r="C849" s="7"/>
      <c r="D849" s="7"/>
      <c r="E849" s="7"/>
      <c r="F849" s="7"/>
      <c r="G849" s="7"/>
      <c r="H849" s="2"/>
      <c r="I849" s="7"/>
      <c r="J849" s="7"/>
      <c r="K849" s="2"/>
      <c r="L849" s="2"/>
      <c r="M849" s="2"/>
      <c r="N849" s="2"/>
      <c r="O849" s="2"/>
      <c r="P849" s="2"/>
      <c r="Q849" s="2"/>
      <c r="R849" s="2"/>
      <c r="S849" s="2"/>
      <c r="T849" s="2"/>
      <c r="U849" s="2"/>
      <c r="V849" s="2"/>
      <c r="W849" s="2"/>
      <c r="X849" s="2"/>
      <c r="Y849" s="2"/>
      <c r="Z849" s="2"/>
    </row>
    <row r="850" ht="22.5" customHeight="1">
      <c r="A850" s="7"/>
      <c r="B850" s="7"/>
      <c r="C850" s="7"/>
      <c r="D850" s="7"/>
      <c r="E850" s="7"/>
      <c r="F850" s="7"/>
      <c r="G850" s="7"/>
      <c r="H850" s="2"/>
      <c r="I850" s="7"/>
      <c r="J850" s="7"/>
      <c r="K850" s="2"/>
      <c r="L850" s="2"/>
      <c r="M850" s="2"/>
      <c r="N850" s="2"/>
      <c r="O850" s="2"/>
      <c r="P850" s="2"/>
      <c r="Q850" s="2"/>
      <c r="R850" s="2"/>
      <c r="S850" s="2"/>
      <c r="T850" s="2"/>
      <c r="U850" s="2"/>
      <c r="V850" s="2"/>
      <c r="W850" s="2"/>
      <c r="X850" s="2"/>
      <c r="Y850" s="2"/>
      <c r="Z850" s="2"/>
    </row>
    <row r="851" ht="22.5" customHeight="1">
      <c r="A851" s="7"/>
      <c r="B851" s="7"/>
      <c r="C851" s="7"/>
      <c r="D851" s="7"/>
      <c r="E851" s="7"/>
      <c r="F851" s="7"/>
      <c r="G851" s="7"/>
      <c r="H851" s="2"/>
      <c r="I851" s="7"/>
      <c r="J851" s="7"/>
      <c r="K851" s="2"/>
      <c r="L851" s="2"/>
      <c r="M851" s="2"/>
      <c r="N851" s="2"/>
      <c r="O851" s="2"/>
      <c r="P851" s="2"/>
      <c r="Q851" s="2"/>
      <c r="R851" s="2"/>
      <c r="S851" s="2"/>
      <c r="T851" s="2"/>
      <c r="U851" s="2"/>
      <c r="V851" s="2"/>
      <c r="W851" s="2"/>
      <c r="X851" s="2"/>
      <c r="Y851" s="2"/>
      <c r="Z851" s="2"/>
    </row>
    <row r="852" ht="22.5" customHeight="1">
      <c r="A852" s="7"/>
      <c r="B852" s="7"/>
      <c r="C852" s="7"/>
      <c r="D852" s="7"/>
      <c r="E852" s="7"/>
      <c r="F852" s="7"/>
      <c r="G852" s="7"/>
      <c r="H852" s="2"/>
      <c r="I852" s="7"/>
      <c r="J852" s="7"/>
      <c r="K852" s="2"/>
      <c r="L852" s="2"/>
      <c r="M852" s="2"/>
      <c r="N852" s="2"/>
      <c r="O852" s="2"/>
      <c r="P852" s="2"/>
      <c r="Q852" s="2"/>
      <c r="R852" s="2"/>
      <c r="S852" s="2"/>
      <c r="T852" s="2"/>
      <c r="U852" s="2"/>
      <c r="V852" s="2"/>
      <c r="W852" s="2"/>
      <c r="X852" s="2"/>
      <c r="Y852" s="2"/>
      <c r="Z852" s="2"/>
    </row>
    <row r="853" ht="22.5" customHeight="1">
      <c r="A853" s="7"/>
      <c r="B853" s="7"/>
      <c r="C853" s="7"/>
      <c r="D853" s="7"/>
      <c r="E853" s="7"/>
      <c r="F853" s="7"/>
      <c r="G853" s="7"/>
      <c r="H853" s="2"/>
      <c r="I853" s="7"/>
      <c r="J853" s="7"/>
      <c r="K853" s="2"/>
      <c r="L853" s="2"/>
      <c r="M853" s="2"/>
      <c r="N853" s="2"/>
      <c r="O853" s="2"/>
      <c r="P853" s="2"/>
      <c r="Q853" s="2"/>
      <c r="R853" s="2"/>
      <c r="S853" s="2"/>
      <c r="T853" s="2"/>
      <c r="U853" s="2"/>
      <c r="V853" s="2"/>
      <c r="W853" s="2"/>
      <c r="X853" s="2"/>
      <c r="Y853" s="2"/>
      <c r="Z853" s="2"/>
    </row>
    <row r="854" ht="22.5" customHeight="1">
      <c r="A854" s="7"/>
      <c r="B854" s="7"/>
      <c r="C854" s="7"/>
      <c r="D854" s="7"/>
      <c r="E854" s="7"/>
      <c r="F854" s="7"/>
      <c r="G854" s="7"/>
      <c r="H854" s="2"/>
      <c r="I854" s="7"/>
      <c r="J854" s="7"/>
      <c r="K854" s="2"/>
      <c r="L854" s="2"/>
      <c r="M854" s="2"/>
      <c r="N854" s="2"/>
      <c r="O854" s="2"/>
      <c r="P854" s="2"/>
      <c r="Q854" s="2"/>
      <c r="R854" s="2"/>
      <c r="S854" s="2"/>
      <c r="T854" s="2"/>
      <c r="U854" s="2"/>
      <c r="V854" s="2"/>
      <c r="W854" s="2"/>
      <c r="X854" s="2"/>
      <c r="Y854" s="2"/>
      <c r="Z854" s="2"/>
    </row>
    <row r="855" ht="22.5" customHeight="1">
      <c r="A855" s="7"/>
      <c r="B855" s="7"/>
      <c r="C855" s="7"/>
      <c r="D855" s="7"/>
      <c r="E855" s="7"/>
      <c r="F855" s="7"/>
      <c r="G855" s="7"/>
      <c r="H855" s="2"/>
      <c r="I855" s="7"/>
      <c r="J855" s="7"/>
      <c r="K855" s="2"/>
      <c r="L855" s="2"/>
      <c r="M855" s="2"/>
      <c r="N855" s="2"/>
      <c r="O855" s="2"/>
      <c r="P855" s="2"/>
      <c r="Q855" s="2"/>
      <c r="R855" s="2"/>
      <c r="S855" s="2"/>
      <c r="T855" s="2"/>
      <c r="U855" s="2"/>
      <c r="V855" s="2"/>
      <c r="W855" s="2"/>
      <c r="X855" s="2"/>
      <c r="Y855" s="2"/>
      <c r="Z855" s="2"/>
    </row>
    <row r="856" ht="22.5" customHeight="1">
      <c r="A856" s="7"/>
      <c r="B856" s="7"/>
      <c r="C856" s="7"/>
      <c r="D856" s="7"/>
      <c r="E856" s="7"/>
      <c r="F856" s="7"/>
      <c r="G856" s="7"/>
      <c r="H856" s="2"/>
      <c r="I856" s="7"/>
      <c r="J856" s="7"/>
      <c r="K856" s="2"/>
      <c r="L856" s="2"/>
      <c r="M856" s="2"/>
      <c r="N856" s="2"/>
      <c r="O856" s="2"/>
      <c r="P856" s="2"/>
      <c r="Q856" s="2"/>
      <c r="R856" s="2"/>
      <c r="S856" s="2"/>
      <c r="T856" s="2"/>
      <c r="U856" s="2"/>
      <c r="V856" s="2"/>
      <c r="W856" s="2"/>
      <c r="X856" s="2"/>
      <c r="Y856" s="2"/>
      <c r="Z856" s="2"/>
    </row>
    <row r="857" ht="22.5" customHeight="1">
      <c r="A857" s="7"/>
      <c r="B857" s="7"/>
      <c r="C857" s="7"/>
      <c r="D857" s="7"/>
      <c r="E857" s="7"/>
      <c r="F857" s="7"/>
      <c r="G857" s="7"/>
      <c r="H857" s="2"/>
      <c r="I857" s="7"/>
      <c r="J857" s="7"/>
      <c r="K857" s="2"/>
      <c r="L857" s="2"/>
      <c r="M857" s="2"/>
      <c r="N857" s="2"/>
      <c r="O857" s="2"/>
      <c r="P857" s="2"/>
      <c r="Q857" s="2"/>
      <c r="R857" s="2"/>
      <c r="S857" s="2"/>
      <c r="T857" s="2"/>
      <c r="U857" s="2"/>
      <c r="V857" s="2"/>
      <c r="W857" s="2"/>
      <c r="X857" s="2"/>
      <c r="Y857" s="2"/>
      <c r="Z857" s="2"/>
    </row>
    <row r="858" ht="22.5" customHeight="1">
      <c r="A858" s="7"/>
      <c r="B858" s="7"/>
      <c r="C858" s="7"/>
      <c r="D858" s="7"/>
      <c r="E858" s="7"/>
      <c r="F858" s="7"/>
      <c r="G858" s="7"/>
      <c r="H858" s="2"/>
      <c r="I858" s="7"/>
      <c r="J858" s="7"/>
      <c r="K858" s="2"/>
      <c r="L858" s="2"/>
      <c r="M858" s="2"/>
      <c r="N858" s="2"/>
      <c r="O858" s="2"/>
      <c r="P858" s="2"/>
      <c r="Q858" s="2"/>
      <c r="R858" s="2"/>
      <c r="S858" s="2"/>
      <c r="T858" s="2"/>
      <c r="U858" s="2"/>
      <c r="V858" s="2"/>
      <c r="W858" s="2"/>
      <c r="X858" s="2"/>
      <c r="Y858" s="2"/>
      <c r="Z858" s="2"/>
    </row>
    <row r="859" ht="22.5" customHeight="1">
      <c r="A859" s="7"/>
      <c r="B859" s="7"/>
      <c r="C859" s="7"/>
      <c r="D859" s="7"/>
      <c r="E859" s="7"/>
      <c r="F859" s="7"/>
      <c r="G859" s="7"/>
      <c r="H859" s="2"/>
      <c r="I859" s="7"/>
      <c r="J859" s="7"/>
      <c r="K859" s="2"/>
      <c r="L859" s="2"/>
      <c r="M859" s="2"/>
      <c r="N859" s="2"/>
      <c r="O859" s="2"/>
      <c r="P859" s="2"/>
      <c r="Q859" s="2"/>
      <c r="R859" s="2"/>
      <c r="S859" s="2"/>
      <c r="T859" s="2"/>
      <c r="U859" s="2"/>
      <c r="V859" s="2"/>
      <c r="W859" s="2"/>
      <c r="X859" s="2"/>
      <c r="Y859" s="2"/>
      <c r="Z859" s="2"/>
    </row>
    <row r="860" ht="22.5" customHeight="1">
      <c r="A860" s="7"/>
      <c r="B860" s="7"/>
      <c r="C860" s="7"/>
      <c r="D860" s="7"/>
      <c r="E860" s="7"/>
      <c r="F860" s="7"/>
      <c r="G860" s="7"/>
      <c r="H860" s="2"/>
      <c r="I860" s="7"/>
      <c r="J860" s="7"/>
      <c r="K860" s="2"/>
      <c r="L860" s="2"/>
      <c r="M860" s="2"/>
      <c r="N860" s="2"/>
      <c r="O860" s="2"/>
      <c r="P860" s="2"/>
      <c r="Q860" s="2"/>
      <c r="R860" s="2"/>
      <c r="S860" s="2"/>
      <c r="T860" s="2"/>
      <c r="U860" s="2"/>
      <c r="V860" s="2"/>
      <c r="W860" s="2"/>
      <c r="X860" s="2"/>
      <c r="Y860" s="2"/>
      <c r="Z860" s="2"/>
    </row>
    <row r="861" ht="22.5" customHeight="1">
      <c r="A861" s="7"/>
      <c r="B861" s="7"/>
      <c r="C861" s="7"/>
      <c r="D861" s="7"/>
      <c r="E861" s="7"/>
      <c r="F861" s="7"/>
      <c r="G861" s="7"/>
      <c r="H861" s="2"/>
      <c r="I861" s="7"/>
      <c r="J861" s="7"/>
      <c r="K861" s="2"/>
      <c r="L861" s="2"/>
      <c r="M861" s="2"/>
      <c r="N861" s="2"/>
      <c r="O861" s="2"/>
      <c r="P861" s="2"/>
      <c r="Q861" s="2"/>
      <c r="R861" s="2"/>
      <c r="S861" s="2"/>
      <c r="T861" s="2"/>
      <c r="U861" s="2"/>
      <c r="V861" s="2"/>
      <c r="W861" s="2"/>
      <c r="X861" s="2"/>
      <c r="Y861" s="2"/>
      <c r="Z861" s="2"/>
    </row>
    <row r="862" ht="22.5" customHeight="1">
      <c r="A862" s="7"/>
      <c r="B862" s="7"/>
      <c r="C862" s="7"/>
      <c r="D862" s="7"/>
      <c r="E862" s="7"/>
      <c r="F862" s="7"/>
      <c r="G862" s="7"/>
      <c r="H862" s="2"/>
      <c r="I862" s="7"/>
      <c r="J862" s="7"/>
      <c r="K862" s="2"/>
      <c r="L862" s="2"/>
      <c r="M862" s="2"/>
      <c r="N862" s="2"/>
      <c r="O862" s="2"/>
      <c r="P862" s="2"/>
      <c r="Q862" s="2"/>
      <c r="R862" s="2"/>
      <c r="S862" s="2"/>
      <c r="T862" s="2"/>
      <c r="U862" s="2"/>
      <c r="V862" s="2"/>
      <c r="W862" s="2"/>
      <c r="X862" s="2"/>
      <c r="Y862" s="2"/>
      <c r="Z862" s="2"/>
    </row>
    <row r="863" ht="22.5" customHeight="1">
      <c r="A863" s="7"/>
      <c r="B863" s="7"/>
      <c r="C863" s="7"/>
      <c r="D863" s="7"/>
      <c r="E863" s="7"/>
      <c r="F863" s="7"/>
      <c r="G863" s="7"/>
      <c r="H863" s="2"/>
      <c r="I863" s="7"/>
      <c r="J863" s="7"/>
      <c r="K863" s="2"/>
      <c r="L863" s="2"/>
      <c r="M863" s="2"/>
      <c r="N863" s="2"/>
      <c r="O863" s="2"/>
      <c r="P863" s="2"/>
      <c r="Q863" s="2"/>
      <c r="R863" s="2"/>
      <c r="S863" s="2"/>
      <c r="T863" s="2"/>
      <c r="U863" s="2"/>
      <c r="V863" s="2"/>
      <c r="W863" s="2"/>
      <c r="X863" s="2"/>
      <c r="Y863" s="2"/>
      <c r="Z863" s="2"/>
    </row>
    <row r="864" ht="22.5" customHeight="1">
      <c r="A864" s="7"/>
      <c r="B864" s="7"/>
      <c r="C864" s="7"/>
      <c r="D864" s="7"/>
      <c r="E864" s="7"/>
      <c r="F864" s="7"/>
      <c r="G864" s="7"/>
      <c r="H864" s="2"/>
      <c r="I864" s="7"/>
      <c r="J864" s="7"/>
      <c r="K864" s="2"/>
      <c r="L864" s="2"/>
      <c r="M864" s="2"/>
      <c r="N864" s="2"/>
      <c r="O864" s="2"/>
      <c r="P864" s="2"/>
      <c r="Q864" s="2"/>
      <c r="R864" s="2"/>
      <c r="S864" s="2"/>
      <c r="T864" s="2"/>
      <c r="U864" s="2"/>
      <c r="V864" s="2"/>
      <c r="W864" s="2"/>
      <c r="X864" s="2"/>
      <c r="Y864" s="2"/>
      <c r="Z864" s="2"/>
    </row>
    <row r="865" ht="22.5" customHeight="1">
      <c r="A865" s="7"/>
      <c r="B865" s="7"/>
      <c r="C865" s="7"/>
      <c r="D865" s="7"/>
      <c r="E865" s="7"/>
      <c r="F865" s="7"/>
      <c r="G865" s="7"/>
      <c r="H865" s="2"/>
      <c r="I865" s="7"/>
      <c r="J865" s="7"/>
      <c r="K865" s="2"/>
      <c r="L865" s="2"/>
      <c r="M865" s="2"/>
      <c r="N865" s="2"/>
      <c r="O865" s="2"/>
      <c r="P865" s="2"/>
      <c r="Q865" s="2"/>
      <c r="R865" s="2"/>
      <c r="S865" s="2"/>
      <c r="T865" s="2"/>
      <c r="U865" s="2"/>
      <c r="V865" s="2"/>
      <c r="W865" s="2"/>
      <c r="X865" s="2"/>
      <c r="Y865" s="2"/>
      <c r="Z865" s="2"/>
    </row>
    <row r="866" ht="22.5" customHeight="1">
      <c r="A866" s="7"/>
      <c r="B866" s="7"/>
      <c r="C866" s="7"/>
      <c r="D866" s="7"/>
      <c r="E866" s="7"/>
      <c r="F866" s="7"/>
      <c r="G866" s="7"/>
      <c r="H866" s="2"/>
      <c r="I866" s="7"/>
      <c r="J866" s="7"/>
      <c r="K866" s="2"/>
      <c r="L866" s="2"/>
      <c r="M866" s="2"/>
      <c r="N866" s="2"/>
      <c r="O866" s="2"/>
      <c r="P866" s="2"/>
      <c r="Q866" s="2"/>
      <c r="R866" s="2"/>
      <c r="S866" s="2"/>
      <c r="T866" s="2"/>
      <c r="U866" s="2"/>
      <c r="V866" s="2"/>
      <c r="W866" s="2"/>
      <c r="X866" s="2"/>
      <c r="Y866" s="2"/>
      <c r="Z866" s="2"/>
    </row>
    <row r="867" ht="22.5" customHeight="1">
      <c r="A867" s="7"/>
      <c r="B867" s="7"/>
      <c r="C867" s="7"/>
      <c r="D867" s="7"/>
      <c r="E867" s="7"/>
      <c r="F867" s="7"/>
      <c r="G867" s="7"/>
      <c r="H867" s="2"/>
      <c r="I867" s="7"/>
      <c r="J867" s="7"/>
      <c r="K867" s="2"/>
      <c r="L867" s="2"/>
      <c r="M867" s="2"/>
      <c r="N867" s="2"/>
      <c r="O867" s="2"/>
      <c r="P867" s="2"/>
      <c r="Q867" s="2"/>
      <c r="R867" s="2"/>
      <c r="S867" s="2"/>
      <c r="T867" s="2"/>
      <c r="U867" s="2"/>
      <c r="V867" s="2"/>
      <c r="W867" s="2"/>
      <c r="X867" s="2"/>
      <c r="Y867" s="2"/>
      <c r="Z867" s="2"/>
    </row>
    <row r="868" ht="22.5" customHeight="1">
      <c r="A868" s="7"/>
      <c r="B868" s="7"/>
      <c r="C868" s="7"/>
      <c r="D868" s="7"/>
      <c r="E868" s="7"/>
      <c r="F868" s="7"/>
      <c r="G868" s="7"/>
      <c r="H868" s="2"/>
      <c r="I868" s="7"/>
      <c r="J868" s="7"/>
      <c r="K868" s="2"/>
      <c r="L868" s="2"/>
      <c r="M868" s="2"/>
      <c r="N868" s="2"/>
      <c r="O868" s="2"/>
      <c r="P868" s="2"/>
      <c r="Q868" s="2"/>
      <c r="R868" s="2"/>
      <c r="S868" s="2"/>
      <c r="T868" s="2"/>
      <c r="U868" s="2"/>
      <c r="V868" s="2"/>
      <c r="W868" s="2"/>
      <c r="X868" s="2"/>
      <c r="Y868" s="2"/>
      <c r="Z868" s="2"/>
    </row>
    <row r="869" ht="22.5" customHeight="1">
      <c r="A869" s="7"/>
      <c r="B869" s="7"/>
      <c r="C869" s="7"/>
      <c r="D869" s="7"/>
      <c r="E869" s="7"/>
      <c r="F869" s="7"/>
      <c r="G869" s="7"/>
      <c r="H869" s="2"/>
      <c r="I869" s="7"/>
      <c r="J869" s="7"/>
      <c r="K869" s="2"/>
      <c r="L869" s="2"/>
      <c r="M869" s="2"/>
      <c r="N869" s="2"/>
      <c r="O869" s="2"/>
      <c r="P869" s="2"/>
      <c r="Q869" s="2"/>
      <c r="R869" s="2"/>
      <c r="S869" s="2"/>
      <c r="T869" s="2"/>
      <c r="U869" s="2"/>
      <c r="V869" s="2"/>
      <c r="W869" s="2"/>
      <c r="X869" s="2"/>
      <c r="Y869" s="2"/>
      <c r="Z869" s="2"/>
    </row>
    <row r="870" ht="22.5" customHeight="1">
      <c r="A870" s="7"/>
      <c r="B870" s="7"/>
      <c r="C870" s="7"/>
      <c r="D870" s="7"/>
      <c r="E870" s="7"/>
      <c r="F870" s="7"/>
      <c r="G870" s="7"/>
      <c r="H870" s="2"/>
      <c r="I870" s="7"/>
      <c r="J870" s="7"/>
      <c r="K870" s="2"/>
      <c r="L870" s="2"/>
      <c r="M870" s="2"/>
      <c r="N870" s="2"/>
      <c r="O870" s="2"/>
      <c r="P870" s="2"/>
      <c r="Q870" s="2"/>
      <c r="R870" s="2"/>
      <c r="S870" s="2"/>
      <c r="T870" s="2"/>
      <c r="U870" s="2"/>
      <c r="V870" s="2"/>
      <c r="W870" s="2"/>
      <c r="X870" s="2"/>
      <c r="Y870" s="2"/>
      <c r="Z870" s="2"/>
    </row>
    <row r="871" ht="22.5" customHeight="1">
      <c r="A871" s="7"/>
      <c r="B871" s="7"/>
      <c r="C871" s="7"/>
      <c r="D871" s="7"/>
      <c r="E871" s="7"/>
      <c r="F871" s="7"/>
      <c r="G871" s="7"/>
      <c r="H871" s="2"/>
      <c r="I871" s="7"/>
      <c r="J871" s="7"/>
      <c r="K871" s="2"/>
      <c r="L871" s="2"/>
      <c r="M871" s="2"/>
      <c r="N871" s="2"/>
      <c r="O871" s="2"/>
      <c r="P871" s="2"/>
      <c r="Q871" s="2"/>
      <c r="R871" s="2"/>
      <c r="S871" s="2"/>
      <c r="T871" s="2"/>
      <c r="U871" s="2"/>
      <c r="V871" s="2"/>
      <c r="W871" s="2"/>
      <c r="X871" s="2"/>
      <c r="Y871" s="2"/>
      <c r="Z871" s="2"/>
    </row>
    <row r="872" ht="22.5" customHeight="1">
      <c r="A872" s="7"/>
      <c r="B872" s="7"/>
      <c r="C872" s="7"/>
      <c r="D872" s="7"/>
      <c r="E872" s="7"/>
      <c r="F872" s="7"/>
      <c r="G872" s="7"/>
      <c r="H872" s="2"/>
      <c r="I872" s="7"/>
      <c r="J872" s="7"/>
      <c r="K872" s="2"/>
      <c r="L872" s="2"/>
      <c r="M872" s="2"/>
      <c r="N872" s="2"/>
      <c r="O872" s="2"/>
      <c r="P872" s="2"/>
      <c r="Q872" s="2"/>
      <c r="R872" s="2"/>
      <c r="S872" s="2"/>
      <c r="T872" s="2"/>
      <c r="U872" s="2"/>
      <c r="V872" s="2"/>
      <c r="W872" s="2"/>
      <c r="X872" s="2"/>
      <c r="Y872" s="2"/>
      <c r="Z872" s="2"/>
    </row>
    <row r="873" ht="22.5" customHeight="1">
      <c r="A873" s="7"/>
      <c r="B873" s="7"/>
      <c r="C873" s="7"/>
      <c r="D873" s="7"/>
      <c r="E873" s="7"/>
      <c r="F873" s="7"/>
      <c r="G873" s="7"/>
      <c r="H873" s="2"/>
      <c r="I873" s="7"/>
      <c r="J873" s="7"/>
      <c r="K873" s="2"/>
      <c r="L873" s="2"/>
      <c r="M873" s="2"/>
      <c r="N873" s="2"/>
      <c r="O873" s="2"/>
      <c r="P873" s="2"/>
      <c r="Q873" s="2"/>
      <c r="R873" s="2"/>
      <c r="S873" s="2"/>
      <c r="T873" s="2"/>
      <c r="U873" s="2"/>
      <c r="V873" s="2"/>
      <c r="W873" s="2"/>
      <c r="X873" s="2"/>
      <c r="Y873" s="2"/>
      <c r="Z873" s="2"/>
    </row>
    <row r="874" ht="22.5" customHeight="1">
      <c r="A874" s="7"/>
      <c r="B874" s="7"/>
      <c r="C874" s="7"/>
      <c r="D874" s="7"/>
      <c r="E874" s="7"/>
      <c r="F874" s="7"/>
      <c r="G874" s="7"/>
      <c r="H874" s="2"/>
      <c r="I874" s="7"/>
      <c r="J874" s="7"/>
      <c r="K874" s="2"/>
      <c r="L874" s="2"/>
      <c r="M874" s="2"/>
      <c r="N874" s="2"/>
      <c r="O874" s="2"/>
      <c r="P874" s="2"/>
      <c r="Q874" s="2"/>
      <c r="R874" s="2"/>
      <c r="S874" s="2"/>
      <c r="T874" s="2"/>
      <c r="U874" s="2"/>
      <c r="V874" s="2"/>
      <c r="W874" s="2"/>
      <c r="X874" s="2"/>
      <c r="Y874" s="2"/>
      <c r="Z874" s="2"/>
    </row>
    <row r="875" ht="22.5" customHeight="1">
      <c r="A875" s="7"/>
      <c r="B875" s="7"/>
      <c r="C875" s="7"/>
      <c r="D875" s="7"/>
      <c r="E875" s="7"/>
      <c r="F875" s="7"/>
      <c r="G875" s="7"/>
      <c r="H875" s="2"/>
      <c r="I875" s="7"/>
      <c r="J875" s="7"/>
      <c r="K875" s="2"/>
      <c r="L875" s="2"/>
      <c r="M875" s="2"/>
      <c r="N875" s="2"/>
      <c r="O875" s="2"/>
      <c r="P875" s="2"/>
      <c r="Q875" s="2"/>
      <c r="R875" s="2"/>
      <c r="S875" s="2"/>
      <c r="T875" s="2"/>
      <c r="U875" s="2"/>
      <c r="V875" s="2"/>
      <c r="W875" s="2"/>
      <c r="X875" s="2"/>
      <c r="Y875" s="2"/>
      <c r="Z875" s="2"/>
    </row>
    <row r="876" ht="22.5" customHeight="1">
      <c r="A876" s="7"/>
      <c r="B876" s="7"/>
      <c r="C876" s="7"/>
      <c r="D876" s="7"/>
      <c r="E876" s="7"/>
      <c r="F876" s="7"/>
      <c r="G876" s="7"/>
      <c r="H876" s="2"/>
      <c r="I876" s="7"/>
      <c r="J876" s="7"/>
      <c r="K876" s="2"/>
      <c r="L876" s="2"/>
      <c r="M876" s="2"/>
      <c r="N876" s="2"/>
      <c r="O876" s="2"/>
      <c r="P876" s="2"/>
      <c r="Q876" s="2"/>
      <c r="R876" s="2"/>
      <c r="S876" s="2"/>
      <c r="T876" s="2"/>
      <c r="U876" s="2"/>
      <c r="V876" s="2"/>
      <c r="W876" s="2"/>
      <c r="X876" s="2"/>
      <c r="Y876" s="2"/>
      <c r="Z876" s="2"/>
    </row>
    <row r="877" ht="22.5" customHeight="1">
      <c r="A877" s="7"/>
      <c r="B877" s="7"/>
      <c r="C877" s="7"/>
      <c r="D877" s="7"/>
      <c r="E877" s="7"/>
      <c r="F877" s="7"/>
      <c r="G877" s="7"/>
      <c r="H877" s="2"/>
      <c r="I877" s="7"/>
      <c r="J877" s="7"/>
      <c r="K877" s="2"/>
      <c r="L877" s="2"/>
      <c r="M877" s="2"/>
      <c r="N877" s="2"/>
      <c r="O877" s="2"/>
      <c r="P877" s="2"/>
      <c r="Q877" s="2"/>
      <c r="R877" s="2"/>
      <c r="S877" s="2"/>
      <c r="T877" s="2"/>
      <c r="U877" s="2"/>
      <c r="V877" s="2"/>
      <c r="W877" s="2"/>
      <c r="X877" s="2"/>
      <c r="Y877" s="2"/>
      <c r="Z877" s="2"/>
    </row>
    <row r="878" ht="22.5" customHeight="1">
      <c r="A878" s="7"/>
      <c r="B878" s="7"/>
      <c r="C878" s="7"/>
      <c r="D878" s="7"/>
      <c r="E878" s="7"/>
      <c r="F878" s="7"/>
      <c r="G878" s="7"/>
      <c r="H878" s="2"/>
      <c r="I878" s="7"/>
      <c r="J878" s="7"/>
      <c r="K878" s="2"/>
      <c r="L878" s="2"/>
      <c r="M878" s="2"/>
      <c r="N878" s="2"/>
      <c r="O878" s="2"/>
      <c r="P878" s="2"/>
      <c r="Q878" s="2"/>
      <c r="R878" s="2"/>
      <c r="S878" s="2"/>
      <c r="T878" s="2"/>
      <c r="U878" s="2"/>
      <c r="V878" s="2"/>
      <c r="W878" s="2"/>
      <c r="X878" s="2"/>
      <c r="Y878" s="2"/>
      <c r="Z878" s="2"/>
    </row>
    <row r="879" ht="22.5" customHeight="1">
      <c r="A879" s="7"/>
      <c r="B879" s="7"/>
      <c r="C879" s="7"/>
      <c r="D879" s="7"/>
      <c r="E879" s="7"/>
      <c r="F879" s="7"/>
      <c r="G879" s="7"/>
      <c r="H879" s="2"/>
      <c r="I879" s="7"/>
      <c r="J879" s="7"/>
      <c r="K879" s="2"/>
      <c r="L879" s="2"/>
      <c r="M879" s="2"/>
      <c r="N879" s="2"/>
      <c r="O879" s="2"/>
      <c r="P879" s="2"/>
      <c r="Q879" s="2"/>
      <c r="R879" s="2"/>
      <c r="S879" s="2"/>
      <c r="T879" s="2"/>
      <c r="U879" s="2"/>
      <c r="V879" s="2"/>
      <c r="W879" s="2"/>
      <c r="X879" s="2"/>
      <c r="Y879" s="2"/>
      <c r="Z879" s="2"/>
    </row>
    <row r="880" ht="22.5" customHeight="1">
      <c r="A880" s="7"/>
      <c r="B880" s="7"/>
      <c r="C880" s="7"/>
      <c r="D880" s="7"/>
      <c r="E880" s="7"/>
      <c r="F880" s="7"/>
      <c r="G880" s="7"/>
      <c r="H880" s="2"/>
      <c r="I880" s="7"/>
      <c r="J880" s="7"/>
      <c r="K880" s="2"/>
      <c r="L880" s="2"/>
      <c r="M880" s="2"/>
      <c r="N880" s="2"/>
      <c r="O880" s="2"/>
      <c r="P880" s="2"/>
      <c r="Q880" s="2"/>
      <c r="R880" s="2"/>
      <c r="S880" s="2"/>
      <c r="T880" s="2"/>
      <c r="U880" s="2"/>
      <c r="V880" s="2"/>
      <c r="W880" s="2"/>
      <c r="X880" s="2"/>
      <c r="Y880" s="2"/>
      <c r="Z880" s="2"/>
    </row>
    <row r="881" ht="22.5" customHeight="1">
      <c r="A881" s="7"/>
      <c r="B881" s="7"/>
      <c r="C881" s="7"/>
      <c r="D881" s="7"/>
      <c r="E881" s="7"/>
      <c r="F881" s="7"/>
      <c r="G881" s="7"/>
      <c r="H881" s="2"/>
      <c r="I881" s="7"/>
      <c r="J881" s="7"/>
      <c r="K881" s="2"/>
      <c r="L881" s="2"/>
      <c r="M881" s="2"/>
      <c r="N881" s="2"/>
      <c r="O881" s="2"/>
      <c r="P881" s="2"/>
      <c r="Q881" s="2"/>
      <c r="R881" s="2"/>
      <c r="S881" s="2"/>
      <c r="T881" s="2"/>
      <c r="U881" s="2"/>
      <c r="V881" s="2"/>
      <c r="W881" s="2"/>
      <c r="X881" s="2"/>
      <c r="Y881" s="2"/>
      <c r="Z881" s="2"/>
    </row>
    <row r="882" ht="22.5" customHeight="1">
      <c r="A882" s="7"/>
      <c r="B882" s="7"/>
      <c r="C882" s="7"/>
      <c r="D882" s="7"/>
      <c r="E882" s="7"/>
      <c r="F882" s="7"/>
      <c r="G882" s="7"/>
      <c r="H882" s="2"/>
      <c r="I882" s="7"/>
      <c r="J882" s="7"/>
      <c r="K882" s="2"/>
      <c r="L882" s="2"/>
      <c r="M882" s="2"/>
      <c r="N882" s="2"/>
      <c r="O882" s="2"/>
      <c r="P882" s="2"/>
      <c r="Q882" s="2"/>
      <c r="R882" s="2"/>
      <c r="S882" s="2"/>
      <c r="T882" s="2"/>
      <c r="U882" s="2"/>
      <c r="V882" s="2"/>
      <c r="W882" s="2"/>
      <c r="X882" s="2"/>
      <c r="Y882" s="2"/>
      <c r="Z882" s="2"/>
    </row>
    <row r="883" ht="22.5" customHeight="1">
      <c r="A883" s="7"/>
      <c r="B883" s="7"/>
      <c r="C883" s="7"/>
      <c r="D883" s="7"/>
      <c r="E883" s="7"/>
      <c r="F883" s="7"/>
      <c r="G883" s="7"/>
      <c r="H883" s="2"/>
      <c r="I883" s="7"/>
      <c r="J883" s="7"/>
      <c r="K883" s="2"/>
      <c r="L883" s="2"/>
      <c r="M883" s="2"/>
      <c r="N883" s="2"/>
      <c r="O883" s="2"/>
      <c r="P883" s="2"/>
      <c r="Q883" s="2"/>
      <c r="R883" s="2"/>
      <c r="S883" s="2"/>
      <c r="T883" s="2"/>
      <c r="U883" s="2"/>
      <c r="V883" s="2"/>
      <c r="W883" s="2"/>
      <c r="X883" s="2"/>
      <c r="Y883" s="2"/>
      <c r="Z883" s="2"/>
    </row>
    <row r="884" ht="22.5" customHeight="1">
      <c r="A884" s="7"/>
      <c r="B884" s="7"/>
      <c r="C884" s="7"/>
      <c r="D884" s="7"/>
      <c r="E884" s="7"/>
      <c r="F884" s="7"/>
      <c r="G884" s="7"/>
      <c r="H884" s="2"/>
      <c r="I884" s="7"/>
      <c r="J884" s="7"/>
      <c r="K884" s="2"/>
      <c r="L884" s="2"/>
      <c r="M884" s="2"/>
      <c r="N884" s="2"/>
      <c r="O884" s="2"/>
      <c r="P884" s="2"/>
      <c r="Q884" s="2"/>
      <c r="R884" s="2"/>
      <c r="S884" s="2"/>
      <c r="T884" s="2"/>
      <c r="U884" s="2"/>
      <c r="V884" s="2"/>
      <c r="W884" s="2"/>
      <c r="X884" s="2"/>
      <c r="Y884" s="2"/>
      <c r="Z884" s="2"/>
    </row>
    <row r="885" ht="22.5" customHeight="1">
      <c r="A885" s="7"/>
      <c r="B885" s="7"/>
      <c r="C885" s="7"/>
      <c r="D885" s="7"/>
      <c r="E885" s="7"/>
      <c r="F885" s="7"/>
      <c r="G885" s="7"/>
      <c r="H885" s="2"/>
      <c r="I885" s="7"/>
      <c r="J885" s="7"/>
      <c r="K885" s="2"/>
      <c r="L885" s="2"/>
      <c r="M885" s="2"/>
      <c r="N885" s="2"/>
      <c r="O885" s="2"/>
      <c r="P885" s="2"/>
      <c r="Q885" s="2"/>
      <c r="R885" s="2"/>
      <c r="S885" s="2"/>
      <c r="T885" s="2"/>
      <c r="U885" s="2"/>
      <c r="V885" s="2"/>
      <c r="W885" s="2"/>
      <c r="X885" s="2"/>
      <c r="Y885" s="2"/>
      <c r="Z885" s="2"/>
    </row>
    <row r="886" ht="22.5" customHeight="1">
      <c r="A886" s="7"/>
      <c r="B886" s="7"/>
      <c r="C886" s="7"/>
      <c r="D886" s="7"/>
      <c r="E886" s="7"/>
      <c r="F886" s="7"/>
      <c r="G886" s="7"/>
      <c r="H886" s="2"/>
      <c r="I886" s="7"/>
      <c r="J886" s="7"/>
      <c r="K886" s="2"/>
      <c r="L886" s="2"/>
      <c r="M886" s="2"/>
      <c r="N886" s="2"/>
      <c r="O886" s="2"/>
      <c r="P886" s="2"/>
      <c r="Q886" s="2"/>
      <c r="R886" s="2"/>
      <c r="S886" s="2"/>
      <c r="T886" s="2"/>
      <c r="U886" s="2"/>
      <c r="V886" s="2"/>
      <c r="W886" s="2"/>
      <c r="X886" s="2"/>
      <c r="Y886" s="2"/>
      <c r="Z886" s="2"/>
    </row>
    <row r="887" ht="22.5" customHeight="1">
      <c r="A887" s="7"/>
      <c r="B887" s="7"/>
      <c r="C887" s="7"/>
      <c r="D887" s="7"/>
      <c r="E887" s="7"/>
      <c r="F887" s="7"/>
      <c r="G887" s="7"/>
      <c r="H887" s="2"/>
      <c r="I887" s="7"/>
      <c r="J887" s="7"/>
      <c r="K887" s="2"/>
      <c r="L887" s="2"/>
      <c r="M887" s="2"/>
      <c r="N887" s="2"/>
      <c r="O887" s="2"/>
      <c r="P887" s="2"/>
      <c r="Q887" s="2"/>
      <c r="R887" s="2"/>
      <c r="S887" s="2"/>
      <c r="T887" s="2"/>
      <c r="U887" s="2"/>
      <c r="V887" s="2"/>
      <c r="W887" s="2"/>
      <c r="X887" s="2"/>
      <c r="Y887" s="2"/>
      <c r="Z887" s="2"/>
    </row>
    <row r="888" ht="22.5" customHeight="1">
      <c r="A888" s="7"/>
      <c r="B888" s="7"/>
      <c r="C888" s="7"/>
      <c r="D888" s="7"/>
      <c r="E888" s="7"/>
      <c r="F888" s="7"/>
      <c r="G888" s="7"/>
      <c r="H888" s="2"/>
      <c r="I888" s="7"/>
      <c r="J888" s="7"/>
      <c r="K888" s="2"/>
      <c r="L888" s="2"/>
      <c r="M888" s="2"/>
      <c r="N888" s="2"/>
      <c r="O888" s="2"/>
      <c r="P888" s="2"/>
      <c r="Q888" s="2"/>
      <c r="R888" s="2"/>
      <c r="S888" s="2"/>
      <c r="T888" s="2"/>
      <c r="U888" s="2"/>
      <c r="V888" s="2"/>
      <c r="W888" s="2"/>
      <c r="X888" s="2"/>
      <c r="Y888" s="2"/>
      <c r="Z888" s="2"/>
    </row>
    <row r="889" ht="22.5" customHeight="1">
      <c r="A889" s="7"/>
      <c r="B889" s="7"/>
      <c r="C889" s="7"/>
      <c r="D889" s="7"/>
      <c r="E889" s="7"/>
      <c r="F889" s="7"/>
      <c r="G889" s="7"/>
      <c r="H889" s="2"/>
      <c r="I889" s="7"/>
      <c r="J889" s="7"/>
      <c r="K889" s="2"/>
      <c r="L889" s="2"/>
      <c r="M889" s="2"/>
      <c r="N889" s="2"/>
      <c r="O889" s="2"/>
      <c r="P889" s="2"/>
      <c r="Q889" s="2"/>
      <c r="R889" s="2"/>
      <c r="S889" s="2"/>
      <c r="T889" s="2"/>
      <c r="U889" s="2"/>
      <c r="V889" s="2"/>
      <c r="W889" s="2"/>
      <c r="X889" s="2"/>
      <c r="Y889" s="2"/>
      <c r="Z889" s="2"/>
    </row>
    <row r="890" ht="22.5" customHeight="1">
      <c r="A890" s="7"/>
      <c r="B890" s="7"/>
      <c r="C890" s="7"/>
      <c r="D890" s="7"/>
      <c r="E890" s="7"/>
      <c r="F890" s="7"/>
      <c r="G890" s="7"/>
      <c r="H890" s="2"/>
      <c r="I890" s="7"/>
      <c r="J890" s="7"/>
      <c r="K890" s="2"/>
      <c r="L890" s="2"/>
      <c r="M890" s="2"/>
      <c r="N890" s="2"/>
      <c r="O890" s="2"/>
      <c r="P890" s="2"/>
      <c r="Q890" s="2"/>
      <c r="R890" s="2"/>
      <c r="S890" s="2"/>
      <c r="T890" s="2"/>
      <c r="U890" s="2"/>
      <c r="V890" s="2"/>
      <c r="W890" s="2"/>
      <c r="X890" s="2"/>
      <c r="Y890" s="2"/>
      <c r="Z890" s="2"/>
    </row>
    <row r="891" ht="22.5" customHeight="1">
      <c r="A891" s="7"/>
      <c r="B891" s="7"/>
      <c r="C891" s="7"/>
      <c r="D891" s="7"/>
      <c r="E891" s="7"/>
      <c r="F891" s="7"/>
      <c r="G891" s="7"/>
      <c r="H891" s="2"/>
      <c r="I891" s="7"/>
      <c r="J891" s="7"/>
      <c r="K891" s="2"/>
      <c r="L891" s="2"/>
      <c r="M891" s="2"/>
      <c r="N891" s="2"/>
      <c r="O891" s="2"/>
      <c r="P891" s="2"/>
      <c r="Q891" s="2"/>
      <c r="R891" s="2"/>
      <c r="S891" s="2"/>
      <c r="T891" s="2"/>
      <c r="U891" s="2"/>
      <c r="V891" s="2"/>
      <c r="W891" s="2"/>
      <c r="X891" s="2"/>
      <c r="Y891" s="2"/>
      <c r="Z891" s="2"/>
    </row>
    <row r="892" ht="22.5" customHeight="1">
      <c r="A892" s="7"/>
      <c r="B892" s="7"/>
      <c r="C892" s="7"/>
      <c r="D892" s="7"/>
      <c r="E892" s="7"/>
      <c r="F892" s="7"/>
      <c r="G892" s="7"/>
      <c r="H892" s="2"/>
      <c r="I892" s="7"/>
      <c r="J892" s="7"/>
      <c r="K892" s="2"/>
      <c r="L892" s="2"/>
      <c r="M892" s="2"/>
      <c r="N892" s="2"/>
      <c r="O892" s="2"/>
      <c r="P892" s="2"/>
      <c r="Q892" s="2"/>
      <c r="R892" s="2"/>
      <c r="S892" s="2"/>
      <c r="T892" s="2"/>
      <c r="U892" s="2"/>
      <c r="V892" s="2"/>
      <c r="W892" s="2"/>
      <c r="X892" s="2"/>
      <c r="Y892" s="2"/>
      <c r="Z892" s="2"/>
    </row>
    <row r="893" ht="22.5" customHeight="1">
      <c r="A893" s="7"/>
      <c r="B893" s="7"/>
      <c r="C893" s="7"/>
      <c r="D893" s="7"/>
      <c r="E893" s="7"/>
      <c r="F893" s="7"/>
      <c r="G893" s="7"/>
      <c r="H893" s="2"/>
      <c r="I893" s="7"/>
      <c r="J893" s="7"/>
      <c r="K893" s="2"/>
      <c r="L893" s="2"/>
      <c r="M893" s="2"/>
      <c r="N893" s="2"/>
      <c r="O893" s="2"/>
      <c r="P893" s="2"/>
      <c r="Q893" s="2"/>
      <c r="R893" s="2"/>
      <c r="S893" s="2"/>
      <c r="T893" s="2"/>
      <c r="U893" s="2"/>
      <c r="V893" s="2"/>
      <c r="W893" s="2"/>
      <c r="X893" s="2"/>
      <c r="Y893" s="2"/>
      <c r="Z893" s="2"/>
    </row>
    <row r="894" ht="22.5" customHeight="1">
      <c r="A894" s="7"/>
      <c r="B894" s="7"/>
      <c r="C894" s="7"/>
      <c r="D894" s="7"/>
      <c r="E894" s="7"/>
      <c r="F894" s="7"/>
      <c r="G894" s="7"/>
      <c r="H894" s="2"/>
      <c r="I894" s="7"/>
      <c r="J894" s="7"/>
      <c r="K894" s="2"/>
      <c r="L894" s="2"/>
      <c r="M894" s="2"/>
      <c r="N894" s="2"/>
      <c r="O894" s="2"/>
      <c r="P894" s="2"/>
      <c r="Q894" s="2"/>
      <c r="R894" s="2"/>
      <c r="S894" s="2"/>
      <c r="T894" s="2"/>
      <c r="U894" s="2"/>
      <c r="V894" s="2"/>
      <c r="W894" s="2"/>
      <c r="X894" s="2"/>
      <c r="Y894" s="2"/>
      <c r="Z894" s="2"/>
    </row>
    <row r="895" ht="22.5" customHeight="1">
      <c r="A895" s="7"/>
      <c r="B895" s="7"/>
      <c r="C895" s="7"/>
      <c r="D895" s="7"/>
      <c r="E895" s="7"/>
      <c r="F895" s="7"/>
      <c r="G895" s="7"/>
      <c r="H895" s="2"/>
      <c r="I895" s="7"/>
      <c r="J895" s="7"/>
      <c r="K895" s="2"/>
      <c r="L895" s="2"/>
      <c r="M895" s="2"/>
      <c r="N895" s="2"/>
      <c r="O895" s="2"/>
      <c r="P895" s="2"/>
      <c r="Q895" s="2"/>
      <c r="R895" s="2"/>
      <c r="S895" s="2"/>
      <c r="T895" s="2"/>
      <c r="U895" s="2"/>
      <c r="V895" s="2"/>
      <c r="W895" s="2"/>
      <c r="X895" s="2"/>
      <c r="Y895" s="2"/>
      <c r="Z895" s="2"/>
    </row>
    <row r="896" ht="22.5" customHeight="1">
      <c r="A896" s="7"/>
      <c r="B896" s="7"/>
      <c r="C896" s="7"/>
      <c r="D896" s="7"/>
      <c r="E896" s="7"/>
      <c r="F896" s="7"/>
      <c r="G896" s="7"/>
      <c r="H896" s="2"/>
      <c r="I896" s="7"/>
      <c r="J896" s="7"/>
      <c r="K896" s="2"/>
      <c r="L896" s="2"/>
      <c r="M896" s="2"/>
      <c r="N896" s="2"/>
      <c r="O896" s="2"/>
      <c r="P896" s="2"/>
      <c r="Q896" s="2"/>
      <c r="R896" s="2"/>
      <c r="S896" s="2"/>
      <c r="T896" s="2"/>
      <c r="U896" s="2"/>
      <c r="V896" s="2"/>
      <c r="W896" s="2"/>
      <c r="X896" s="2"/>
      <c r="Y896" s="2"/>
      <c r="Z896" s="2"/>
    </row>
    <row r="897" ht="22.5" customHeight="1">
      <c r="A897" s="7"/>
      <c r="B897" s="7"/>
      <c r="C897" s="7"/>
      <c r="D897" s="7"/>
      <c r="E897" s="7"/>
      <c r="F897" s="7"/>
      <c r="G897" s="7"/>
      <c r="H897" s="2"/>
      <c r="I897" s="7"/>
      <c r="J897" s="7"/>
      <c r="K897" s="2"/>
      <c r="L897" s="2"/>
      <c r="M897" s="2"/>
      <c r="N897" s="2"/>
      <c r="O897" s="2"/>
      <c r="P897" s="2"/>
      <c r="Q897" s="2"/>
      <c r="R897" s="2"/>
      <c r="S897" s="2"/>
      <c r="T897" s="2"/>
      <c r="U897" s="2"/>
      <c r="V897" s="2"/>
      <c r="W897" s="2"/>
      <c r="X897" s="2"/>
      <c r="Y897" s="2"/>
      <c r="Z897" s="2"/>
    </row>
    <row r="898" ht="22.5" customHeight="1">
      <c r="A898" s="7"/>
      <c r="B898" s="7"/>
      <c r="C898" s="7"/>
      <c r="D898" s="7"/>
      <c r="E898" s="7"/>
      <c r="F898" s="7"/>
      <c r="G898" s="7"/>
      <c r="H898" s="2"/>
      <c r="I898" s="7"/>
      <c r="J898" s="7"/>
      <c r="K898" s="2"/>
      <c r="L898" s="2"/>
      <c r="M898" s="2"/>
      <c r="N898" s="2"/>
      <c r="O898" s="2"/>
      <c r="P898" s="2"/>
      <c r="Q898" s="2"/>
      <c r="R898" s="2"/>
      <c r="S898" s="2"/>
      <c r="T898" s="2"/>
      <c r="U898" s="2"/>
      <c r="V898" s="2"/>
      <c r="W898" s="2"/>
      <c r="X898" s="2"/>
      <c r="Y898" s="2"/>
      <c r="Z898" s="2"/>
    </row>
    <row r="899" ht="22.5" customHeight="1">
      <c r="A899" s="7"/>
      <c r="B899" s="7"/>
      <c r="C899" s="7"/>
      <c r="D899" s="7"/>
      <c r="E899" s="7"/>
      <c r="F899" s="7"/>
      <c r="G899" s="7"/>
      <c r="H899" s="2"/>
      <c r="I899" s="7"/>
      <c r="J899" s="7"/>
      <c r="K899" s="2"/>
      <c r="L899" s="2"/>
      <c r="M899" s="2"/>
      <c r="N899" s="2"/>
      <c r="O899" s="2"/>
      <c r="P899" s="2"/>
      <c r="Q899" s="2"/>
      <c r="R899" s="2"/>
      <c r="S899" s="2"/>
      <c r="T899" s="2"/>
      <c r="U899" s="2"/>
      <c r="V899" s="2"/>
      <c r="W899" s="2"/>
      <c r="X899" s="2"/>
      <c r="Y899" s="2"/>
      <c r="Z899" s="2"/>
    </row>
    <row r="900" ht="22.5" customHeight="1">
      <c r="A900" s="7"/>
      <c r="B900" s="7"/>
      <c r="C900" s="7"/>
      <c r="D900" s="7"/>
      <c r="E900" s="7"/>
      <c r="F900" s="7"/>
      <c r="G900" s="7"/>
      <c r="H900" s="2"/>
      <c r="I900" s="7"/>
      <c r="J900" s="7"/>
      <c r="K900" s="2"/>
      <c r="L900" s="2"/>
      <c r="M900" s="2"/>
      <c r="N900" s="2"/>
      <c r="O900" s="2"/>
      <c r="P900" s="2"/>
      <c r="Q900" s="2"/>
      <c r="R900" s="2"/>
      <c r="S900" s="2"/>
      <c r="T900" s="2"/>
      <c r="U900" s="2"/>
      <c r="V900" s="2"/>
      <c r="W900" s="2"/>
      <c r="X900" s="2"/>
      <c r="Y900" s="2"/>
      <c r="Z900" s="2"/>
    </row>
    <row r="901" ht="22.5" customHeight="1">
      <c r="A901" s="7"/>
      <c r="B901" s="7"/>
      <c r="C901" s="7"/>
      <c r="D901" s="7"/>
      <c r="E901" s="7"/>
      <c r="F901" s="7"/>
      <c r="G901" s="7"/>
      <c r="H901" s="2"/>
      <c r="I901" s="7"/>
      <c r="J901" s="7"/>
      <c r="K901" s="2"/>
      <c r="L901" s="2"/>
      <c r="M901" s="2"/>
      <c r="N901" s="2"/>
      <c r="O901" s="2"/>
      <c r="P901" s="2"/>
      <c r="Q901" s="2"/>
      <c r="R901" s="2"/>
      <c r="S901" s="2"/>
      <c r="T901" s="2"/>
      <c r="U901" s="2"/>
      <c r="V901" s="2"/>
      <c r="W901" s="2"/>
      <c r="X901" s="2"/>
      <c r="Y901" s="2"/>
      <c r="Z901" s="2"/>
    </row>
    <row r="902" ht="22.5" customHeight="1">
      <c r="A902" s="7"/>
      <c r="B902" s="7"/>
      <c r="C902" s="7"/>
      <c r="D902" s="7"/>
      <c r="E902" s="7"/>
      <c r="F902" s="7"/>
      <c r="G902" s="7"/>
      <c r="H902" s="2"/>
      <c r="I902" s="7"/>
      <c r="J902" s="7"/>
      <c r="K902" s="2"/>
      <c r="L902" s="2"/>
      <c r="M902" s="2"/>
      <c r="N902" s="2"/>
      <c r="O902" s="2"/>
      <c r="P902" s="2"/>
      <c r="Q902" s="2"/>
      <c r="R902" s="2"/>
      <c r="S902" s="2"/>
      <c r="T902" s="2"/>
      <c r="U902" s="2"/>
      <c r="V902" s="2"/>
      <c r="W902" s="2"/>
      <c r="X902" s="2"/>
      <c r="Y902" s="2"/>
      <c r="Z902" s="2"/>
    </row>
    <row r="903" ht="22.5" customHeight="1">
      <c r="A903" s="7"/>
      <c r="B903" s="7"/>
      <c r="C903" s="7"/>
      <c r="D903" s="7"/>
      <c r="E903" s="7"/>
      <c r="F903" s="7"/>
      <c r="G903" s="7"/>
      <c r="H903" s="2"/>
      <c r="I903" s="7"/>
      <c r="J903" s="7"/>
      <c r="K903" s="2"/>
      <c r="L903" s="2"/>
      <c r="M903" s="2"/>
      <c r="N903" s="2"/>
      <c r="O903" s="2"/>
      <c r="P903" s="2"/>
      <c r="Q903" s="2"/>
      <c r="R903" s="2"/>
      <c r="S903" s="2"/>
      <c r="T903" s="2"/>
      <c r="U903" s="2"/>
      <c r="V903" s="2"/>
      <c r="W903" s="2"/>
      <c r="X903" s="2"/>
      <c r="Y903" s="2"/>
      <c r="Z903" s="2"/>
    </row>
    <row r="904" ht="22.5" customHeight="1">
      <c r="A904" s="7"/>
      <c r="B904" s="7"/>
      <c r="C904" s="7"/>
      <c r="D904" s="7"/>
      <c r="E904" s="7"/>
      <c r="F904" s="7"/>
      <c r="G904" s="7"/>
      <c r="H904" s="2"/>
      <c r="I904" s="7"/>
      <c r="J904" s="7"/>
      <c r="K904" s="2"/>
      <c r="L904" s="2"/>
      <c r="M904" s="2"/>
      <c r="N904" s="2"/>
      <c r="O904" s="2"/>
      <c r="P904" s="2"/>
      <c r="Q904" s="2"/>
      <c r="R904" s="2"/>
      <c r="S904" s="2"/>
      <c r="T904" s="2"/>
      <c r="U904" s="2"/>
      <c r="V904" s="2"/>
      <c r="W904" s="2"/>
      <c r="X904" s="2"/>
      <c r="Y904" s="2"/>
      <c r="Z904" s="2"/>
    </row>
    <row r="905" ht="22.5" customHeight="1">
      <c r="A905" s="7"/>
      <c r="B905" s="7"/>
      <c r="C905" s="7"/>
      <c r="D905" s="7"/>
      <c r="E905" s="7"/>
      <c r="F905" s="7"/>
      <c r="G905" s="7"/>
      <c r="H905" s="2"/>
      <c r="I905" s="7"/>
      <c r="J905" s="7"/>
      <c r="K905" s="2"/>
      <c r="L905" s="2"/>
      <c r="M905" s="2"/>
      <c r="N905" s="2"/>
      <c r="O905" s="2"/>
      <c r="P905" s="2"/>
      <c r="Q905" s="2"/>
      <c r="R905" s="2"/>
      <c r="S905" s="2"/>
      <c r="T905" s="2"/>
      <c r="U905" s="2"/>
      <c r="V905" s="2"/>
      <c r="W905" s="2"/>
      <c r="X905" s="2"/>
      <c r="Y905" s="2"/>
      <c r="Z905" s="2"/>
    </row>
    <row r="906" ht="22.5" customHeight="1">
      <c r="A906" s="7"/>
      <c r="B906" s="7"/>
      <c r="C906" s="7"/>
      <c r="D906" s="7"/>
      <c r="E906" s="7"/>
      <c r="F906" s="7"/>
      <c r="G906" s="7"/>
      <c r="H906" s="2"/>
      <c r="I906" s="7"/>
      <c r="J906" s="7"/>
      <c r="K906" s="2"/>
      <c r="L906" s="2"/>
      <c r="M906" s="2"/>
      <c r="N906" s="2"/>
      <c r="O906" s="2"/>
      <c r="P906" s="2"/>
      <c r="Q906" s="2"/>
      <c r="R906" s="2"/>
      <c r="S906" s="2"/>
      <c r="T906" s="2"/>
      <c r="U906" s="2"/>
      <c r="V906" s="2"/>
      <c r="W906" s="2"/>
      <c r="X906" s="2"/>
      <c r="Y906" s="2"/>
      <c r="Z906" s="2"/>
    </row>
    <row r="907" ht="22.5" customHeight="1">
      <c r="A907" s="7"/>
      <c r="B907" s="7"/>
      <c r="C907" s="7"/>
      <c r="D907" s="7"/>
      <c r="E907" s="7"/>
      <c r="F907" s="7"/>
      <c r="G907" s="7"/>
      <c r="H907" s="2"/>
      <c r="I907" s="7"/>
      <c r="J907" s="7"/>
      <c r="K907" s="2"/>
      <c r="L907" s="2"/>
      <c r="M907" s="2"/>
      <c r="N907" s="2"/>
      <c r="O907" s="2"/>
      <c r="P907" s="2"/>
      <c r="Q907" s="2"/>
      <c r="R907" s="2"/>
      <c r="S907" s="2"/>
      <c r="T907" s="2"/>
      <c r="U907" s="2"/>
      <c r="V907" s="2"/>
      <c r="W907" s="2"/>
      <c r="X907" s="2"/>
      <c r="Y907" s="2"/>
      <c r="Z907" s="2"/>
    </row>
    <row r="908" ht="22.5" customHeight="1">
      <c r="A908" s="7"/>
      <c r="B908" s="7"/>
      <c r="C908" s="7"/>
      <c r="D908" s="7"/>
      <c r="E908" s="7"/>
      <c r="F908" s="7"/>
      <c r="G908" s="7"/>
      <c r="H908" s="2"/>
      <c r="I908" s="7"/>
      <c r="J908" s="7"/>
      <c r="K908" s="2"/>
      <c r="L908" s="2"/>
      <c r="M908" s="2"/>
      <c r="N908" s="2"/>
      <c r="O908" s="2"/>
      <c r="P908" s="2"/>
      <c r="Q908" s="2"/>
      <c r="R908" s="2"/>
      <c r="S908" s="2"/>
      <c r="T908" s="2"/>
      <c r="U908" s="2"/>
      <c r="V908" s="2"/>
      <c r="W908" s="2"/>
      <c r="X908" s="2"/>
      <c r="Y908" s="2"/>
      <c r="Z908" s="2"/>
    </row>
    <row r="909" ht="22.5" customHeight="1">
      <c r="A909" s="7"/>
      <c r="B909" s="7"/>
      <c r="C909" s="7"/>
      <c r="D909" s="7"/>
      <c r="E909" s="7"/>
      <c r="F909" s="7"/>
      <c r="G909" s="7"/>
      <c r="H909" s="2"/>
      <c r="I909" s="7"/>
      <c r="J909" s="7"/>
      <c r="K909" s="2"/>
      <c r="L909" s="2"/>
      <c r="M909" s="2"/>
      <c r="N909" s="2"/>
      <c r="O909" s="2"/>
      <c r="P909" s="2"/>
      <c r="Q909" s="2"/>
      <c r="R909" s="2"/>
      <c r="S909" s="2"/>
      <c r="T909" s="2"/>
      <c r="U909" s="2"/>
      <c r="V909" s="2"/>
      <c r="W909" s="2"/>
      <c r="X909" s="2"/>
      <c r="Y909" s="2"/>
      <c r="Z909" s="2"/>
    </row>
    <row r="910" ht="22.5" customHeight="1">
      <c r="A910" s="7"/>
      <c r="B910" s="7"/>
      <c r="C910" s="7"/>
      <c r="D910" s="7"/>
      <c r="E910" s="7"/>
      <c r="F910" s="7"/>
      <c r="G910" s="7"/>
      <c r="H910" s="2"/>
      <c r="I910" s="7"/>
      <c r="J910" s="7"/>
      <c r="K910" s="2"/>
      <c r="L910" s="2"/>
      <c r="M910" s="2"/>
      <c r="N910" s="2"/>
      <c r="O910" s="2"/>
      <c r="P910" s="2"/>
      <c r="Q910" s="2"/>
      <c r="R910" s="2"/>
      <c r="S910" s="2"/>
      <c r="T910" s="2"/>
      <c r="U910" s="2"/>
      <c r="V910" s="2"/>
      <c r="W910" s="2"/>
      <c r="X910" s="2"/>
      <c r="Y910" s="2"/>
      <c r="Z910" s="2"/>
    </row>
    <row r="911" ht="22.5" customHeight="1">
      <c r="A911" s="7"/>
      <c r="B911" s="7"/>
      <c r="C911" s="7"/>
      <c r="D911" s="7"/>
      <c r="E911" s="7"/>
      <c r="F911" s="7"/>
      <c r="G911" s="7"/>
      <c r="H911" s="2"/>
      <c r="I911" s="7"/>
      <c r="J911" s="7"/>
      <c r="K911" s="2"/>
      <c r="L911" s="2"/>
      <c r="M911" s="2"/>
      <c r="N911" s="2"/>
      <c r="O911" s="2"/>
      <c r="P911" s="2"/>
      <c r="Q911" s="2"/>
      <c r="R911" s="2"/>
      <c r="S911" s="2"/>
      <c r="T911" s="2"/>
      <c r="U911" s="2"/>
      <c r="V911" s="2"/>
      <c r="W911" s="2"/>
      <c r="X911" s="2"/>
      <c r="Y911" s="2"/>
      <c r="Z911" s="2"/>
    </row>
    <row r="912" ht="22.5" customHeight="1">
      <c r="A912" s="7"/>
      <c r="B912" s="7"/>
      <c r="C912" s="7"/>
      <c r="D912" s="7"/>
      <c r="E912" s="7"/>
      <c r="F912" s="7"/>
      <c r="G912" s="7"/>
      <c r="H912" s="2"/>
      <c r="I912" s="7"/>
      <c r="J912" s="7"/>
      <c r="K912" s="2"/>
      <c r="L912" s="2"/>
      <c r="M912" s="2"/>
      <c r="N912" s="2"/>
      <c r="O912" s="2"/>
      <c r="P912" s="2"/>
      <c r="Q912" s="2"/>
      <c r="R912" s="2"/>
      <c r="S912" s="2"/>
      <c r="T912" s="2"/>
      <c r="U912" s="2"/>
      <c r="V912" s="2"/>
      <c r="W912" s="2"/>
      <c r="X912" s="2"/>
      <c r="Y912" s="2"/>
      <c r="Z912" s="2"/>
    </row>
    <row r="913" ht="22.5" customHeight="1">
      <c r="A913" s="7"/>
      <c r="B913" s="7"/>
      <c r="C913" s="7"/>
      <c r="D913" s="7"/>
      <c r="E913" s="7"/>
      <c r="F913" s="7"/>
      <c r="G913" s="7"/>
      <c r="H913" s="2"/>
      <c r="I913" s="7"/>
      <c r="J913" s="7"/>
      <c r="K913" s="2"/>
      <c r="L913" s="2"/>
      <c r="M913" s="2"/>
      <c r="N913" s="2"/>
      <c r="O913" s="2"/>
      <c r="P913" s="2"/>
      <c r="Q913" s="2"/>
      <c r="R913" s="2"/>
      <c r="S913" s="2"/>
      <c r="T913" s="2"/>
      <c r="U913" s="2"/>
      <c r="V913" s="2"/>
      <c r="W913" s="2"/>
      <c r="X913" s="2"/>
      <c r="Y913" s="2"/>
      <c r="Z913" s="2"/>
    </row>
    <row r="914" ht="22.5" customHeight="1">
      <c r="A914" s="7"/>
      <c r="B914" s="7"/>
      <c r="C914" s="7"/>
      <c r="D914" s="7"/>
      <c r="E914" s="7"/>
      <c r="F914" s="7"/>
      <c r="G914" s="7"/>
      <c r="H914" s="2"/>
      <c r="I914" s="7"/>
      <c r="J914" s="7"/>
      <c r="K914" s="2"/>
      <c r="L914" s="2"/>
      <c r="M914" s="2"/>
      <c r="N914" s="2"/>
      <c r="O914" s="2"/>
      <c r="P914" s="2"/>
      <c r="Q914" s="2"/>
      <c r="R914" s="2"/>
      <c r="S914" s="2"/>
      <c r="T914" s="2"/>
      <c r="U914" s="2"/>
      <c r="V914" s="2"/>
      <c r="W914" s="2"/>
      <c r="X914" s="2"/>
      <c r="Y914" s="2"/>
      <c r="Z914" s="2"/>
    </row>
    <row r="915" ht="22.5" customHeight="1">
      <c r="A915" s="7"/>
      <c r="B915" s="7"/>
      <c r="C915" s="7"/>
      <c r="D915" s="7"/>
      <c r="E915" s="7"/>
      <c r="F915" s="7"/>
      <c r="G915" s="7"/>
      <c r="H915" s="2"/>
      <c r="I915" s="7"/>
      <c r="J915" s="7"/>
      <c r="K915" s="2"/>
      <c r="L915" s="2"/>
      <c r="M915" s="2"/>
      <c r="N915" s="2"/>
      <c r="O915" s="2"/>
      <c r="P915" s="2"/>
      <c r="Q915" s="2"/>
      <c r="R915" s="2"/>
      <c r="S915" s="2"/>
      <c r="T915" s="2"/>
      <c r="U915" s="2"/>
      <c r="V915" s="2"/>
      <c r="W915" s="2"/>
      <c r="X915" s="2"/>
      <c r="Y915" s="2"/>
      <c r="Z915" s="2"/>
    </row>
    <row r="916" ht="22.5" customHeight="1">
      <c r="A916" s="7"/>
      <c r="B916" s="7"/>
      <c r="C916" s="7"/>
      <c r="D916" s="7"/>
      <c r="E916" s="7"/>
      <c r="F916" s="7"/>
      <c r="G916" s="7"/>
      <c r="H916" s="2"/>
      <c r="I916" s="7"/>
      <c r="J916" s="7"/>
      <c r="K916" s="2"/>
      <c r="L916" s="2"/>
      <c r="M916" s="2"/>
      <c r="N916" s="2"/>
      <c r="O916" s="2"/>
      <c r="P916" s="2"/>
      <c r="Q916" s="2"/>
      <c r="R916" s="2"/>
      <c r="S916" s="2"/>
      <c r="T916" s="2"/>
      <c r="U916" s="2"/>
      <c r="V916" s="2"/>
      <c r="W916" s="2"/>
      <c r="X916" s="2"/>
      <c r="Y916" s="2"/>
      <c r="Z916" s="2"/>
    </row>
    <row r="917" ht="22.5" customHeight="1">
      <c r="A917" s="7"/>
      <c r="B917" s="7"/>
      <c r="C917" s="7"/>
      <c r="D917" s="7"/>
      <c r="E917" s="7"/>
      <c r="F917" s="7"/>
      <c r="G917" s="7"/>
      <c r="H917" s="2"/>
      <c r="I917" s="7"/>
      <c r="J917" s="7"/>
      <c r="K917" s="2"/>
      <c r="L917" s="2"/>
      <c r="M917" s="2"/>
      <c r="N917" s="2"/>
      <c r="O917" s="2"/>
      <c r="P917" s="2"/>
      <c r="Q917" s="2"/>
      <c r="R917" s="2"/>
      <c r="S917" s="2"/>
      <c r="T917" s="2"/>
      <c r="U917" s="2"/>
      <c r="V917" s="2"/>
      <c r="W917" s="2"/>
      <c r="X917" s="2"/>
      <c r="Y917" s="2"/>
      <c r="Z917" s="2"/>
    </row>
    <row r="918" ht="22.5" customHeight="1">
      <c r="A918" s="7"/>
      <c r="B918" s="7"/>
      <c r="C918" s="7"/>
      <c r="D918" s="7"/>
      <c r="E918" s="7"/>
      <c r="F918" s="7"/>
      <c r="G918" s="7"/>
      <c r="H918" s="2"/>
      <c r="I918" s="7"/>
      <c r="J918" s="7"/>
      <c r="K918" s="2"/>
      <c r="L918" s="2"/>
      <c r="M918" s="2"/>
      <c r="N918" s="2"/>
      <c r="O918" s="2"/>
      <c r="P918" s="2"/>
      <c r="Q918" s="2"/>
      <c r="R918" s="2"/>
      <c r="S918" s="2"/>
      <c r="T918" s="2"/>
      <c r="U918" s="2"/>
      <c r="V918" s="2"/>
      <c r="W918" s="2"/>
      <c r="X918" s="2"/>
      <c r="Y918" s="2"/>
      <c r="Z918" s="2"/>
    </row>
    <row r="919" ht="22.5" customHeight="1">
      <c r="A919" s="7"/>
      <c r="B919" s="7"/>
      <c r="C919" s="7"/>
      <c r="D919" s="7"/>
      <c r="E919" s="7"/>
      <c r="F919" s="7"/>
      <c r="G919" s="7"/>
      <c r="H919" s="2"/>
      <c r="I919" s="7"/>
      <c r="J919" s="7"/>
      <c r="K919" s="2"/>
      <c r="L919" s="2"/>
      <c r="M919" s="2"/>
      <c r="N919" s="2"/>
      <c r="O919" s="2"/>
      <c r="P919" s="2"/>
      <c r="Q919" s="2"/>
      <c r="R919" s="2"/>
      <c r="S919" s="2"/>
      <c r="T919" s="2"/>
      <c r="U919" s="2"/>
      <c r="V919" s="2"/>
      <c r="W919" s="2"/>
      <c r="X919" s="2"/>
      <c r="Y919" s="2"/>
      <c r="Z919" s="2"/>
    </row>
    <row r="920" ht="22.5" customHeight="1">
      <c r="A920" s="7"/>
      <c r="B920" s="7"/>
      <c r="C920" s="7"/>
      <c r="D920" s="7"/>
      <c r="E920" s="7"/>
      <c r="F920" s="7"/>
      <c r="G920" s="7"/>
      <c r="H920" s="2"/>
      <c r="I920" s="7"/>
      <c r="J920" s="7"/>
      <c r="K920" s="2"/>
      <c r="L920" s="2"/>
      <c r="M920" s="2"/>
      <c r="N920" s="2"/>
      <c r="O920" s="2"/>
      <c r="P920" s="2"/>
      <c r="Q920" s="2"/>
      <c r="R920" s="2"/>
      <c r="S920" s="2"/>
      <c r="T920" s="2"/>
      <c r="U920" s="2"/>
      <c r="V920" s="2"/>
      <c r="W920" s="2"/>
      <c r="X920" s="2"/>
      <c r="Y920" s="2"/>
      <c r="Z920" s="2"/>
    </row>
    <row r="921" ht="22.5" customHeight="1">
      <c r="A921" s="7"/>
      <c r="B921" s="7"/>
      <c r="C921" s="7"/>
      <c r="D921" s="7"/>
      <c r="E921" s="7"/>
      <c r="F921" s="7"/>
      <c r="G921" s="7"/>
      <c r="H921" s="2"/>
      <c r="I921" s="7"/>
      <c r="J921" s="7"/>
      <c r="K921" s="2"/>
      <c r="L921" s="2"/>
      <c r="M921" s="2"/>
      <c r="N921" s="2"/>
      <c r="O921" s="2"/>
      <c r="P921" s="2"/>
      <c r="Q921" s="2"/>
      <c r="R921" s="2"/>
      <c r="S921" s="2"/>
      <c r="T921" s="2"/>
      <c r="U921" s="2"/>
      <c r="V921" s="2"/>
      <c r="W921" s="2"/>
      <c r="X921" s="2"/>
      <c r="Y921" s="2"/>
      <c r="Z921" s="2"/>
    </row>
    <row r="922" ht="22.5" customHeight="1">
      <c r="A922" s="7"/>
      <c r="B922" s="7"/>
      <c r="C922" s="7"/>
      <c r="D922" s="7"/>
      <c r="E922" s="7"/>
      <c r="F922" s="7"/>
      <c r="G922" s="7"/>
      <c r="H922" s="2"/>
      <c r="I922" s="7"/>
      <c r="J922" s="7"/>
      <c r="K922" s="2"/>
      <c r="L922" s="2"/>
      <c r="M922" s="2"/>
      <c r="N922" s="2"/>
      <c r="O922" s="2"/>
      <c r="P922" s="2"/>
      <c r="Q922" s="2"/>
      <c r="R922" s="2"/>
      <c r="S922" s="2"/>
      <c r="T922" s="2"/>
      <c r="U922" s="2"/>
      <c r="V922" s="2"/>
      <c r="W922" s="2"/>
      <c r="X922" s="2"/>
      <c r="Y922" s="2"/>
      <c r="Z922" s="2"/>
    </row>
    <row r="923" ht="22.5" customHeight="1">
      <c r="A923" s="7"/>
      <c r="B923" s="7"/>
      <c r="C923" s="7"/>
      <c r="D923" s="7"/>
      <c r="E923" s="7"/>
      <c r="F923" s="7"/>
      <c r="G923" s="7"/>
      <c r="H923" s="2"/>
      <c r="I923" s="7"/>
      <c r="J923" s="7"/>
      <c r="K923" s="2"/>
      <c r="L923" s="2"/>
      <c r="M923" s="2"/>
      <c r="N923" s="2"/>
      <c r="O923" s="2"/>
      <c r="P923" s="2"/>
      <c r="Q923" s="2"/>
      <c r="R923" s="2"/>
      <c r="S923" s="2"/>
      <c r="T923" s="2"/>
      <c r="U923" s="2"/>
      <c r="V923" s="2"/>
      <c r="W923" s="2"/>
      <c r="X923" s="2"/>
      <c r="Y923" s="2"/>
      <c r="Z923" s="2"/>
    </row>
    <row r="924" ht="22.5" customHeight="1">
      <c r="A924" s="7"/>
      <c r="B924" s="7"/>
      <c r="C924" s="7"/>
      <c r="D924" s="7"/>
      <c r="E924" s="7"/>
      <c r="F924" s="7"/>
      <c r="G924" s="7"/>
      <c r="H924" s="2"/>
      <c r="I924" s="7"/>
      <c r="J924" s="7"/>
      <c r="K924" s="2"/>
      <c r="L924" s="2"/>
      <c r="M924" s="2"/>
      <c r="N924" s="2"/>
      <c r="O924" s="2"/>
      <c r="P924" s="2"/>
      <c r="Q924" s="2"/>
      <c r="R924" s="2"/>
      <c r="S924" s="2"/>
      <c r="T924" s="2"/>
      <c r="U924" s="2"/>
      <c r="V924" s="2"/>
      <c r="W924" s="2"/>
      <c r="X924" s="2"/>
      <c r="Y924" s="2"/>
      <c r="Z924" s="2"/>
    </row>
    <row r="925" ht="22.5" customHeight="1">
      <c r="A925" s="7"/>
      <c r="B925" s="7"/>
      <c r="C925" s="7"/>
      <c r="D925" s="7"/>
      <c r="E925" s="7"/>
      <c r="F925" s="7"/>
      <c r="G925" s="7"/>
      <c r="H925" s="2"/>
      <c r="I925" s="7"/>
      <c r="J925" s="7"/>
      <c r="K925" s="2"/>
      <c r="L925" s="2"/>
      <c r="M925" s="2"/>
      <c r="N925" s="2"/>
      <c r="O925" s="2"/>
      <c r="P925" s="2"/>
      <c r="Q925" s="2"/>
      <c r="R925" s="2"/>
      <c r="S925" s="2"/>
      <c r="T925" s="2"/>
      <c r="U925" s="2"/>
      <c r="V925" s="2"/>
      <c r="W925" s="2"/>
      <c r="X925" s="2"/>
      <c r="Y925" s="2"/>
      <c r="Z925" s="2"/>
    </row>
    <row r="926" ht="22.5" customHeight="1">
      <c r="A926" s="7"/>
      <c r="B926" s="7"/>
      <c r="C926" s="7"/>
      <c r="D926" s="7"/>
      <c r="E926" s="7"/>
      <c r="F926" s="7"/>
      <c r="G926" s="7"/>
      <c r="H926" s="2"/>
      <c r="I926" s="7"/>
      <c r="J926" s="7"/>
      <c r="K926" s="2"/>
      <c r="L926" s="2"/>
      <c r="M926" s="2"/>
      <c r="N926" s="2"/>
      <c r="O926" s="2"/>
      <c r="P926" s="2"/>
      <c r="Q926" s="2"/>
      <c r="R926" s="2"/>
      <c r="S926" s="2"/>
      <c r="T926" s="2"/>
      <c r="U926" s="2"/>
      <c r="V926" s="2"/>
      <c r="W926" s="2"/>
      <c r="X926" s="2"/>
      <c r="Y926" s="2"/>
      <c r="Z926" s="2"/>
    </row>
    <row r="927" ht="22.5" customHeight="1">
      <c r="A927" s="7"/>
      <c r="B927" s="7"/>
      <c r="C927" s="7"/>
      <c r="D927" s="7"/>
      <c r="E927" s="7"/>
      <c r="F927" s="7"/>
      <c r="G927" s="7"/>
      <c r="H927" s="2"/>
      <c r="I927" s="7"/>
      <c r="J927" s="7"/>
      <c r="K927" s="2"/>
      <c r="L927" s="2"/>
      <c r="M927" s="2"/>
      <c r="N927" s="2"/>
      <c r="O927" s="2"/>
      <c r="P927" s="2"/>
      <c r="Q927" s="2"/>
      <c r="R927" s="2"/>
      <c r="S927" s="2"/>
      <c r="T927" s="2"/>
      <c r="U927" s="2"/>
      <c r="V927" s="2"/>
      <c r="W927" s="2"/>
      <c r="X927" s="2"/>
      <c r="Y927" s="2"/>
      <c r="Z927" s="2"/>
    </row>
    <row r="928" ht="22.5" customHeight="1">
      <c r="A928" s="7"/>
      <c r="B928" s="7"/>
      <c r="C928" s="7"/>
      <c r="D928" s="7"/>
      <c r="E928" s="7"/>
      <c r="F928" s="7"/>
      <c r="G928" s="7"/>
      <c r="H928" s="2"/>
      <c r="I928" s="7"/>
      <c r="J928" s="7"/>
      <c r="K928" s="2"/>
      <c r="L928" s="2"/>
      <c r="M928" s="2"/>
      <c r="N928" s="2"/>
      <c r="O928" s="2"/>
      <c r="P928" s="2"/>
      <c r="Q928" s="2"/>
      <c r="R928" s="2"/>
      <c r="S928" s="2"/>
      <c r="T928" s="2"/>
      <c r="U928" s="2"/>
      <c r="V928" s="2"/>
      <c r="W928" s="2"/>
      <c r="X928" s="2"/>
      <c r="Y928" s="2"/>
      <c r="Z928" s="2"/>
    </row>
    <row r="929" ht="22.5" customHeight="1">
      <c r="A929" s="7"/>
      <c r="B929" s="7"/>
      <c r="C929" s="7"/>
      <c r="D929" s="7"/>
      <c r="E929" s="7"/>
      <c r="F929" s="7"/>
      <c r="G929" s="7"/>
      <c r="H929" s="2"/>
      <c r="I929" s="7"/>
      <c r="J929" s="7"/>
      <c r="K929" s="2"/>
      <c r="L929" s="2"/>
      <c r="M929" s="2"/>
      <c r="N929" s="2"/>
      <c r="O929" s="2"/>
      <c r="P929" s="2"/>
      <c r="Q929" s="2"/>
      <c r="R929" s="2"/>
      <c r="S929" s="2"/>
      <c r="T929" s="2"/>
      <c r="U929" s="2"/>
      <c r="V929" s="2"/>
      <c r="W929" s="2"/>
      <c r="X929" s="2"/>
      <c r="Y929" s="2"/>
      <c r="Z929" s="2"/>
    </row>
    <row r="930" ht="22.5" customHeight="1">
      <c r="A930" s="7"/>
      <c r="B930" s="7"/>
      <c r="C930" s="7"/>
      <c r="D930" s="7"/>
      <c r="E930" s="7"/>
      <c r="F930" s="7"/>
      <c r="G930" s="7"/>
      <c r="H930" s="2"/>
      <c r="I930" s="7"/>
      <c r="J930" s="7"/>
      <c r="K930" s="2"/>
      <c r="L930" s="2"/>
      <c r="M930" s="2"/>
      <c r="N930" s="2"/>
      <c r="O930" s="2"/>
      <c r="P930" s="2"/>
      <c r="Q930" s="2"/>
      <c r="R930" s="2"/>
      <c r="S930" s="2"/>
      <c r="T930" s="2"/>
      <c r="U930" s="2"/>
      <c r="V930" s="2"/>
      <c r="W930" s="2"/>
      <c r="X930" s="2"/>
      <c r="Y930" s="2"/>
      <c r="Z930" s="2"/>
    </row>
    <row r="931" ht="22.5" customHeight="1">
      <c r="A931" s="7"/>
      <c r="B931" s="7"/>
      <c r="C931" s="7"/>
      <c r="D931" s="7"/>
      <c r="E931" s="7"/>
      <c r="F931" s="7"/>
      <c r="G931" s="7"/>
      <c r="H931" s="2"/>
      <c r="I931" s="7"/>
      <c r="J931" s="7"/>
      <c r="K931" s="2"/>
      <c r="L931" s="2"/>
      <c r="M931" s="2"/>
      <c r="N931" s="2"/>
      <c r="O931" s="2"/>
      <c r="P931" s="2"/>
      <c r="Q931" s="2"/>
      <c r="R931" s="2"/>
      <c r="S931" s="2"/>
      <c r="T931" s="2"/>
      <c r="U931" s="2"/>
      <c r="V931" s="2"/>
      <c r="W931" s="2"/>
      <c r="X931" s="2"/>
      <c r="Y931" s="2"/>
      <c r="Z931" s="2"/>
    </row>
    <row r="932" ht="22.5" customHeight="1">
      <c r="A932" s="7"/>
      <c r="B932" s="7"/>
      <c r="C932" s="7"/>
      <c r="D932" s="7"/>
      <c r="E932" s="7"/>
      <c r="F932" s="7"/>
      <c r="G932" s="7"/>
      <c r="H932" s="2"/>
      <c r="I932" s="7"/>
      <c r="J932" s="7"/>
      <c r="K932" s="2"/>
      <c r="L932" s="2"/>
      <c r="M932" s="2"/>
      <c r="N932" s="2"/>
      <c r="O932" s="2"/>
      <c r="P932" s="2"/>
      <c r="Q932" s="2"/>
      <c r="R932" s="2"/>
      <c r="S932" s="2"/>
      <c r="T932" s="2"/>
      <c r="U932" s="2"/>
      <c r="V932" s="2"/>
      <c r="W932" s="2"/>
      <c r="X932" s="2"/>
      <c r="Y932" s="2"/>
      <c r="Z932" s="2"/>
    </row>
    <row r="933" ht="22.5" customHeight="1">
      <c r="A933" s="7"/>
      <c r="B933" s="7"/>
      <c r="C933" s="7"/>
      <c r="D933" s="7"/>
      <c r="E933" s="7"/>
      <c r="F933" s="7"/>
      <c r="G933" s="7"/>
      <c r="H933" s="2"/>
      <c r="I933" s="7"/>
      <c r="J933" s="7"/>
      <c r="K933" s="2"/>
      <c r="L933" s="2"/>
      <c r="M933" s="2"/>
      <c r="N933" s="2"/>
      <c r="O933" s="2"/>
      <c r="P933" s="2"/>
      <c r="Q933" s="2"/>
      <c r="R933" s="2"/>
      <c r="S933" s="2"/>
      <c r="T933" s="2"/>
      <c r="U933" s="2"/>
      <c r="V933" s="2"/>
      <c r="W933" s="2"/>
      <c r="X933" s="2"/>
      <c r="Y933" s="2"/>
      <c r="Z933" s="2"/>
    </row>
    <row r="934" ht="22.5" customHeight="1">
      <c r="A934" s="7"/>
      <c r="B934" s="7"/>
      <c r="C934" s="7"/>
      <c r="D934" s="7"/>
      <c r="E934" s="7"/>
      <c r="F934" s="7"/>
      <c r="G934" s="7"/>
      <c r="H934" s="2"/>
      <c r="I934" s="7"/>
      <c r="J934" s="7"/>
      <c r="K934" s="2"/>
      <c r="L934" s="2"/>
      <c r="M934" s="2"/>
      <c r="N934" s="2"/>
      <c r="O934" s="2"/>
      <c r="P934" s="2"/>
      <c r="Q934" s="2"/>
      <c r="R934" s="2"/>
      <c r="S934" s="2"/>
      <c r="T934" s="2"/>
      <c r="U934" s="2"/>
      <c r="V934" s="2"/>
      <c r="W934" s="2"/>
      <c r="X934" s="2"/>
      <c r="Y934" s="2"/>
      <c r="Z934" s="2"/>
    </row>
    <row r="935" ht="22.5" customHeight="1">
      <c r="A935" s="7"/>
      <c r="B935" s="7"/>
      <c r="C935" s="7"/>
      <c r="D935" s="7"/>
      <c r="E935" s="7"/>
      <c r="F935" s="7"/>
      <c r="G935" s="7"/>
      <c r="H935" s="2"/>
      <c r="I935" s="7"/>
      <c r="J935" s="7"/>
      <c r="K935" s="2"/>
      <c r="L935" s="2"/>
      <c r="M935" s="2"/>
      <c r="N935" s="2"/>
      <c r="O935" s="2"/>
      <c r="P935" s="2"/>
      <c r="Q935" s="2"/>
      <c r="R935" s="2"/>
      <c r="S935" s="2"/>
      <c r="T935" s="2"/>
      <c r="U935" s="2"/>
      <c r="V935" s="2"/>
      <c r="W935" s="2"/>
      <c r="X935" s="2"/>
      <c r="Y935" s="2"/>
      <c r="Z935" s="2"/>
    </row>
    <row r="936" ht="22.5" customHeight="1">
      <c r="A936" s="7"/>
      <c r="B936" s="7"/>
      <c r="C936" s="7"/>
      <c r="D936" s="7"/>
      <c r="E936" s="7"/>
      <c r="F936" s="7"/>
      <c r="G936" s="7"/>
      <c r="H936" s="2"/>
      <c r="I936" s="7"/>
      <c r="J936" s="7"/>
      <c r="K936" s="2"/>
      <c r="L936" s="2"/>
      <c r="M936" s="2"/>
      <c r="N936" s="2"/>
      <c r="O936" s="2"/>
      <c r="P936" s="2"/>
      <c r="Q936" s="2"/>
      <c r="R936" s="2"/>
      <c r="S936" s="2"/>
      <c r="T936" s="2"/>
      <c r="U936" s="2"/>
      <c r="V936" s="2"/>
      <c r="W936" s="2"/>
      <c r="X936" s="2"/>
      <c r="Y936" s="2"/>
      <c r="Z936" s="2"/>
    </row>
    <row r="937" ht="22.5" customHeight="1">
      <c r="A937" s="7"/>
      <c r="B937" s="7"/>
      <c r="C937" s="7"/>
      <c r="D937" s="7"/>
      <c r="E937" s="7"/>
      <c r="F937" s="7"/>
      <c r="G937" s="7"/>
      <c r="H937" s="2"/>
      <c r="I937" s="7"/>
      <c r="J937" s="7"/>
      <c r="K937" s="2"/>
      <c r="L937" s="2"/>
      <c r="M937" s="2"/>
      <c r="N937" s="2"/>
      <c r="O937" s="2"/>
      <c r="P937" s="2"/>
      <c r="Q937" s="2"/>
      <c r="R937" s="2"/>
      <c r="S937" s="2"/>
      <c r="T937" s="2"/>
      <c r="U937" s="2"/>
      <c r="V937" s="2"/>
      <c r="W937" s="2"/>
      <c r="X937" s="2"/>
      <c r="Y937" s="2"/>
      <c r="Z937" s="2"/>
    </row>
    <row r="938" ht="22.5" customHeight="1">
      <c r="A938" s="7"/>
      <c r="B938" s="7"/>
      <c r="C938" s="7"/>
      <c r="D938" s="7"/>
      <c r="E938" s="7"/>
      <c r="F938" s="7"/>
      <c r="G938" s="7"/>
      <c r="H938" s="2"/>
      <c r="I938" s="7"/>
      <c r="J938" s="7"/>
      <c r="K938" s="2"/>
      <c r="L938" s="2"/>
      <c r="M938" s="2"/>
      <c r="N938" s="2"/>
      <c r="O938" s="2"/>
      <c r="P938" s="2"/>
      <c r="Q938" s="2"/>
      <c r="R938" s="2"/>
      <c r="S938" s="2"/>
      <c r="T938" s="2"/>
      <c r="U938" s="2"/>
      <c r="V938" s="2"/>
      <c r="W938" s="2"/>
      <c r="X938" s="2"/>
      <c r="Y938" s="2"/>
      <c r="Z938" s="2"/>
    </row>
    <row r="939" ht="22.5" customHeight="1">
      <c r="A939" s="7"/>
      <c r="B939" s="7"/>
      <c r="C939" s="7"/>
      <c r="D939" s="7"/>
      <c r="E939" s="7"/>
      <c r="F939" s="7"/>
      <c r="G939" s="7"/>
      <c r="H939" s="2"/>
      <c r="I939" s="7"/>
      <c r="J939" s="7"/>
      <c r="K939" s="2"/>
      <c r="L939" s="2"/>
      <c r="M939" s="2"/>
      <c r="N939" s="2"/>
      <c r="O939" s="2"/>
      <c r="P939" s="2"/>
      <c r="Q939" s="2"/>
      <c r="R939" s="2"/>
      <c r="S939" s="2"/>
      <c r="T939" s="2"/>
      <c r="U939" s="2"/>
      <c r="V939" s="2"/>
      <c r="W939" s="2"/>
      <c r="X939" s="2"/>
      <c r="Y939" s="2"/>
      <c r="Z939" s="2"/>
    </row>
    <row r="940" ht="22.5" customHeight="1">
      <c r="A940" s="7"/>
      <c r="B940" s="7"/>
      <c r="C940" s="7"/>
      <c r="D940" s="7"/>
      <c r="E940" s="7"/>
      <c r="F940" s="7"/>
      <c r="G940" s="7"/>
      <c r="H940" s="2"/>
      <c r="I940" s="7"/>
      <c r="J940" s="7"/>
      <c r="K940" s="2"/>
      <c r="L940" s="2"/>
      <c r="M940" s="2"/>
      <c r="N940" s="2"/>
      <c r="O940" s="2"/>
      <c r="P940" s="2"/>
      <c r="Q940" s="2"/>
      <c r="R940" s="2"/>
      <c r="S940" s="2"/>
      <c r="T940" s="2"/>
      <c r="U940" s="2"/>
      <c r="V940" s="2"/>
      <c r="W940" s="2"/>
      <c r="X940" s="2"/>
      <c r="Y940" s="2"/>
      <c r="Z940" s="2"/>
    </row>
    <row r="941" ht="22.5" customHeight="1">
      <c r="A941" s="7"/>
      <c r="B941" s="7"/>
      <c r="C941" s="7"/>
      <c r="D941" s="7"/>
      <c r="E941" s="7"/>
      <c r="F941" s="7"/>
      <c r="G941" s="7"/>
      <c r="H941" s="2"/>
      <c r="I941" s="7"/>
      <c r="J941" s="7"/>
      <c r="K941" s="2"/>
      <c r="L941" s="2"/>
      <c r="M941" s="2"/>
      <c r="N941" s="2"/>
      <c r="O941" s="2"/>
      <c r="P941" s="2"/>
      <c r="Q941" s="2"/>
      <c r="R941" s="2"/>
      <c r="S941" s="2"/>
      <c r="T941" s="2"/>
      <c r="U941" s="2"/>
      <c r="V941" s="2"/>
      <c r="W941" s="2"/>
      <c r="X941" s="2"/>
      <c r="Y941" s="2"/>
      <c r="Z941" s="2"/>
    </row>
    <row r="942" ht="22.5" customHeight="1">
      <c r="A942" s="7"/>
      <c r="B942" s="7"/>
      <c r="C942" s="7"/>
      <c r="D942" s="7"/>
      <c r="E942" s="7"/>
      <c r="F942" s="7"/>
      <c r="G942" s="7"/>
      <c r="H942" s="2"/>
      <c r="I942" s="7"/>
      <c r="J942" s="7"/>
      <c r="K942" s="2"/>
      <c r="L942" s="2"/>
      <c r="M942" s="2"/>
      <c r="N942" s="2"/>
      <c r="O942" s="2"/>
      <c r="P942" s="2"/>
      <c r="Q942" s="2"/>
      <c r="R942" s="2"/>
      <c r="S942" s="2"/>
      <c r="T942" s="2"/>
      <c r="U942" s="2"/>
      <c r="V942" s="2"/>
      <c r="W942" s="2"/>
      <c r="X942" s="2"/>
      <c r="Y942" s="2"/>
      <c r="Z942" s="2"/>
    </row>
    <row r="943" ht="22.5" customHeight="1">
      <c r="A943" s="7"/>
      <c r="B943" s="7"/>
      <c r="C943" s="7"/>
      <c r="D943" s="7"/>
      <c r="E943" s="7"/>
      <c r="F943" s="7"/>
      <c r="G943" s="7"/>
      <c r="H943" s="2"/>
      <c r="I943" s="7"/>
      <c r="J943" s="7"/>
      <c r="K943" s="2"/>
      <c r="L943" s="2"/>
      <c r="M943" s="2"/>
      <c r="N943" s="2"/>
      <c r="O943" s="2"/>
      <c r="P943" s="2"/>
      <c r="Q943" s="2"/>
      <c r="R943" s="2"/>
      <c r="S943" s="2"/>
      <c r="T943" s="2"/>
      <c r="U943" s="2"/>
      <c r="V943" s="2"/>
      <c r="W943" s="2"/>
      <c r="X943" s="2"/>
      <c r="Y943" s="2"/>
      <c r="Z943" s="2"/>
    </row>
    <row r="944" ht="22.5" customHeight="1">
      <c r="A944" s="7"/>
      <c r="B944" s="7"/>
      <c r="C944" s="7"/>
      <c r="D944" s="7"/>
      <c r="E944" s="7"/>
      <c r="F944" s="7"/>
      <c r="G944" s="7"/>
      <c r="H944" s="2"/>
      <c r="I944" s="7"/>
      <c r="J944" s="7"/>
      <c r="K944" s="2"/>
      <c r="L944" s="2"/>
      <c r="M944" s="2"/>
      <c r="N944" s="2"/>
      <c r="O944" s="2"/>
      <c r="P944" s="2"/>
      <c r="Q944" s="2"/>
      <c r="R944" s="2"/>
      <c r="S944" s="2"/>
      <c r="T944" s="2"/>
      <c r="U944" s="2"/>
      <c r="V944" s="2"/>
      <c r="W944" s="2"/>
      <c r="X944" s="2"/>
      <c r="Y944" s="2"/>
      <c r="Z944" s="2"/>
    </row>
    <row r="945" ht="22.5" customHeight="1">
      <c r="A945" s="7"/>
      <c r="B945" s="7"/>
      <c r="C945" s="7"/>
      <c r="D945" s="7"/>
      <c r="E945" s="7"/>
      <c r="F945" s="7"/>
      <c r="G945" s="7"/>
      <c r="H945" s="2"/>
      <c r="I945" s="7"/>
      <c r="J945" s="7"/>
      <c r="K945" s="2"/>
      <c r="L945" s="2"/>
      <c r="M945" s="2"/>
      <c r="N945" s="2"/>
      <c r="O945" s="2"/>
      <c r="P945" s="2"/>
      <c r="Q945" s="2"/>
      <c r="R945" s="2"/>
      <c r="S945" s="2"/>
      <c r="T945" s="2"/>
      <c r="U945" s="2"/>
      <c r="V945" s="2"/>
      <c r="W945" s="2"/>
      <c r="X945" s="2"/>
      <c r="Y945" s="2"/>
      <c r="Z945" s="2"/>
    </row>
    <row r="946" ht="22.5" customHeight="1">
      <c r="A946" s="7"/>
      <c r="B946" s="7"/>
      <c r="C946" s="7"/>
      <c r="D946" s="7"/>
      <c r="E946" s="7"/>
      <c r="F946" s="7"/>
      <c r="G946" s="7"/>
      <c r="H946" s="2"/>
      <c r="I946" s="7"/>
      <c r="J946" s="7"/>
      <c r="K946" s="2"/>
      <c r="L946" s="2"/>
      <c r="M946" s="2"/>
      <c r="N946" s="2"/>
      <c r="O946" s="2"/>
      <c r="P946" s="2"/>
      <c r="Q946" s="2"/>
      <c r="R946" s="2"/>
      <c r="S946" s="2"/>
      <c r="T946" s="2"/>
      <c r="U946" s="2"/>
      <c r="V946" s="2"/>
      <c r="W946" s="2"/>
      <c r="X946" s="2"/>
      <c r="Y946" s="2"/>
      <c r="Z946" s="2"/>
    </row>
    <row r="947" ht="22.5" customHeight="1">
      <c r="A947" s="7"/>
      <c r="B947" s="7"/>
      <c r="C947" s="7"/>
      <c r="D947" s="7"/>
      <c r="E947" s="7"/>
      <c r="F947" s="7"/>
      <c r="G947" s="7"/>
      <c r="H947" s="2"/>
      <c r="I947" s="7"/>
      <c r="J947" s="7"/>
      <c r="K947" s="2"/>
      <c r="L947" s="2"/>
      <c r="M947" s="2"/>
      <c r="N947" s="2"/>
      <c r="O947" s="2"/>
      <c r="P947" s="2"/>
      <c r="Q947" s="2"/>
      <c r="R947" s="2"/>
      <c r="S947" s="2"/>
      <c r="T947" s="2"/>
      <c r="U947" s="2"/>
      <c r="V947" s="2"/>
      <c r="W947" s="2"/>
      <c r="X947" s="2"/>
      <c r="Y947" s="2"/>
      <c r="Z947" s="2"/>
    </row>
    <row r="948" ht="22.5" customHeight="1">
      <c r="A948" s="7"/>
      <c r="B948" s="7"/>
      <c r="C948" s="7"/>
      <c r="D948" s="7"/>
      <c r="E948" s="7"/>
      <c r="F948" s="7"/>
      <c r="G948" s="7"/>
      <c r="H948" s="2"/>
      <c r="I948" s="7"/>
      <c r="J948" s="7"/>
      <c r="K948" s="2"/>
      <c r="L948" s="2"/>
      <c r="M948" s="2"/>
      <c r="N948" s="2"/>
      <c r="O948" s="2"/>
      <c r="P948" s="2"/>
      <c r="Q948" s="2"/>
      <c r="R948" s="2"/>
      <c r="S948" s="2"/>
      <c r="T948" s="2"/>
      <c r="U948" s="2"/>
      <c r="V948" s="2"/>
      <c r="W948" s="2"/>
      <c r="X948" s="2"/>
      <c r="Y948" s="2"/>
      <c r="Z948" s="2"/>
    </row>
    <row r="949" ht="22.5" customHeight="1">
      <c r="A949" s="7"/>
      <c r="B949" s="7"/>
      <c r="C949" s="7"/>
      <c r="D949" s="7"/>
      <c r="E949" s="7"/>
      <c r="F949" s="7"/>
      <c r="G949" s="7"/>
      <c r="H949" s="2"/>
      <c r="I949" s="7"/>
      <c r="J949" s="7"/>
      <c r="K949" s="2"/>
      <c r="L949" s="2"/>
      <c r="M949" s="2"/>
      <c r="N949" s="2"/>
      <c r="O949" s="2"/>
      <c r="P949" s="2"/>
      <c r="Q949" s="2"/>
      <c r="R949" s="2"/>
      <c r="S949" s="2"/>
      <c r="T949" s="2"/>
      <c r="U949" s="2"/>
      <c r="V949" s="2"/>
      <c r="W949" s="2"/>
      <c r="X949" s="2"/>
      <c r="Y949" s="2"/>
      <c r="Z949" s="2"/>
    </row>
    <row r="950" ht="22.5" customHeight="1">
      <c r="A950" s="7"/>
      <c r="B950" s="7"/>
      <c r="C950" s="7"/>
      <c r="D950" s="7"/>
      <c r="E950" s="7"/>
      <c r="F950" s="7"/>
      <c r="G950" s="7"/>
      <c r="H950" s="2"/>
      <c r="I950" s="7"/>
      <c r="J950" s="7"/>
      <c r="K950" s="2"/>
      <c r="L950" s="2"/>
      <c r="M950" s="2"/>
      <c r="N950" s="2"/>
      <c r="O950" s="2"/>
      <c r="P950" s="2"/>
      <c r="Q950" s="2"/>
      <c r="R950" s="2"/>
      <c r="S950" s="2"/>
      <c r="T950" s="2"/>
      <c r="U950" s="2"/>
      <c r="V950" s="2"/>
      <c r="W950" s="2"/>
      <c r="X950" s="2"/>
      <c r="Y950" s="2"/>
      <c r="Z950" s="2"/>
    </row>
    <row r="951" ht="22.5" customHeight="1">
      <c r="A951" s="7"/>
      <c r="B951" s="7"/>
      <c r="C951" s="7"/>
      <c r="D951" s="7"/>
      <c r="E951" s="7"/>
      <c r="F951" s="7"/>
      <c r="G951" s="7"/>
      <c r="H951" s="2"/>
      <c r="I951" s="7"/>
      <c r="J951" s="7"/>
      <c r="K951" s="2"/>
      <c r="L951" s="2"/>
      <c r="M951" s="2"/>
      <c r="N951" s="2"/>
      <c r="O951" s="2"/>
      <c r="P951" s="2"/>
      <c r="Q951" s="2"/>
      <c r="R951" s="2"/>
      <c r="S951" s="2"/>
      <c r="T951" s="2"/>
      <c r="U951" s="2"/>
      <c r="V951" s="2"/>
      <c r="W951" s="2"/>
      <c r="X951" s="2"/>
      <c r="Y951" s="2"/>
      <c r="Z951" s="2"/>
    </row>
    <row r="952" ht="22.5" customHeight="1">
      <c r="A952" s="7"/>
      <c r="B952" s="7"/>
      <c r="C952" s="7"/>
      <c r="D952" s="7"/>
      <c r="E952" s="7"/>
      <c r="F952" s="7"/>
      <c r="G952" s="7"/>
      <c r="H952" s="2"/>
      <c r="I952" s="7"/>
      <c r="J952" s="7"/>
      <c r="K952" s="2"/>
      <c r="L952" s="2"/>
      <c r="M952" s="2"/>
      <c r="N952" s="2"/>
      <c r="O952" s="2"/>
      <c r="P952" s="2"/>
      <c r="Q952" s="2"/>
      <c r="R952" s="2"/>
      <c r="S952" s="2"/>
      <c r="T952" s="2"/>
      <c r="U952" s="2"/>
      <c r="V952" s="2"/>
      <c r="W952" s="2"/>
      <c r="X952" s="2"/>
      <c r="Y952" s="2"/>
      <c r="Z952" s="2"/>
    </row>
    <row r="953" ht="22.5" customHeight="1">
      <c r="A953" s="7"/>
      <c r="B953" s="7"/>
      <c r="C953" s="7"/>
      <c r="D953" s="7"/>
      <c r="E953" s="7"/>
      <c r="F953" s="7"/>
      <c r="G953" s="7"/>
      <c r="H953" s="2"/>
      <c r="I953" s="7"/>
      <c r="J953" s="7"/>
      <c r="K953" s="2"/>
      <c r="L953" s="2"/>
      <c r="M953" s="2"/>
      <c r="N953" s="2"/>
      <c r="O953" s="2"/>
      <c r="P953" s="2"/>
      <c r="Q953" s="2"/>
      <c r="R953" s="2"/>
      <c r="S953" s="2"/>
      <c r="T953" s="2"/>
      <c r="U953" s="2"/>
      <c r="V953" s="2"/>
      <c r="W953" s="2"/>
      <c r="X953" s="2"/>
      <c r="Y953" s="2"/>
      <c r="Z953" s="2"/>
    </row>
    <row r="954" ht="22.5" customHeight="1">
      <c r="A954" s="7"/>
      <c r="B954" s="7"/>
      <c r="C954" s="7"/>
      <c r="D954" s="7"/>
      <c r="E954" s="7"/>
      <c r="F954" s="7"/>
      <c r="G954" s="7"/>
      <c r="H954" s="2"/>
      <c r="I954" s="7"/>
      <c r="J954" s="7"/>
      <c r="K954" s="2"/>
      <c r="L954" s="2"/>
      <c r="M954" s="2"/>
      <c r="N954" s="2"/>
      <c r="O954" s="2"/>
      <c r="P954" s="2"/>
      <c r="Q954" s="2"/>
      <c r="R954" s="2"/>
      <c r="S954" s="2"/>
      <c r="T954" s="2"/>
      <c r="U954" s="2"/>
      <c r="V954" s="2"/>
      <c r="W954" s="2"/>
      <c r="X954" s="2"/>
      <c r="Y954" s="2"/>
      <c r="Z954" s="2"/>
    </row>
    <row r="955" ht="22.5" customHeight="1">
      <c r="A955" s="7"/>
      <c r="B955" s="7"/>
      <c r="C955" s="7"/>
      <c r="D955" s="7"/>
      <c r="E955" s="7"/>
      <c r="F955" s="7"/>
      <c r="G955" s="7"/>
      <c r="H955" s="2"/>
      <c r="I955" s="7"/>
      <c r="J955" s="7"/>
      <c r="K955" s="2"/>
      <c r="L955" s="2"/>
      <c r="M955" s="2"/>
      <c r="N955" s="2"/>
      <c r="O955" s="2"/>
      <c r="P955" s="2"/>
      <c r="Q955" s="2"/>
      <c r="R955" s="2"/>
      <c r="S955" s="2"/>
      <c r="T955" s="2"/>
      <c r="U955" s="2"/>
      <c r="V955" s="2"/>
      <c r="W955" s="2"/>
      <c r="X955" s="2"/>
      <c r="Y955" s="2"/>
      <c r="Z955" s="2"/>
    </row>
    <row r="956" ht="22.5" customHeight="1">
      <c r="A956" s="7"/>
      <c r="B956" s="7"/>
      <c r="C956" s="7"/>
      <c r="D956" s="7"/>
      <c r="E956" s="7"/>
      <c r="F956" s="7"/>
      <c r="G956" s="7"/>
      <c r="H956" s="2"/>
      <c r="I956" s="7"/>
      <c r="J956" s="7"/>
      <c r="K956" s="2"/>
      <c r="L956" s="2"/>
      <c r="M956" s="2"/>
      <c r="N956" s="2"/>
      <c r="O956" s="2"/>
      <c r="P956" s="2"/>
      <c r="Q956" s="2"/>
      <c r="R956" s="2"/>
      <c r="S956" s="2"/>
      <c r="T956" s="2"/>
      <c r="U956" s="2"/>
      <c r="V956" s="2"/>
      <c r="W956" s="2"/>
      <c r="X956" s="2"/>
      <c r="Y956" s="2"/>
      <c r="Z956" s="2"/>
    </row>
    <row r="957" ht="22.5" customHeight="1">
      <c r="A957" s="7"/>
      <c r="B957" s="7"/>
      <c r="C957" s="7"/>
      <c r="D957" s="7"/>
      <c r="E957" s="7"/>
      <c r="F957" s="7"/>
      <c r="G957" s="7"/>
      <c r="H957" s="2"/>
      <c r="I957" s="7"/>
      <c r="J957" s="7"/>
      <c r="K957" s="2"/>
      <c r="L957" s="2"/>
      <c r="M957" s="2"/>
      <c r="N957" s="2"/>
      <c r="O957" s="2"/>
      <c r="P957" s="2"/>
      <c r="Q957" s="2"/>
      <c r="R957" s="2"/>
      <c r="S957" s="2"/>
      <c r="T957" s="2"/>
      <c r="U957" s="2"/>
      <c r="V957" s="2"/>
      <c r="W957" s="2"/>
      <c r="X957" s="2"/>
      <c r="Y957" s="2"/>
      <c r="Z957" s="2"/>
    </row>
    <row r="958" ht="22.5" customHeight="1">
      <c r="A958" s="7"/>
      <c r="B958" s="7"/>
      <c r="C958" s="7"/>
      <c r="D958" s="7"/>
      <c r="E958" s="7"/>
      <c r="F958" s="7"/>
      <c r="G958" s="7"/>
      <c r="H958" s="2"/>
      <c r="I958" s="7"/>
      <c r="J958" s="7"/>
      <c r="K958" s="2"/>
      <c r="L958" s="2"/>
      <c r="M958" s="2"/>
      <c r="N958" s="2"/>
      <c r="O958" s="2"/>
      <c r="P958" s="2"/>
      <c r="Q958" s="2"/>
      <c r="R958" s="2"/>
      <c r="S958" s="2"/>
      <c r="T958" s="2"/>
      <c r="U958" s="2"/>
      <c r="V958" s="2"/>
      <c r="W958" s="2"/>
      <c r="X958" s="2"/>
      <c r="Y958" s="2"/>
      <c r="Z958" s="2"/>
    </row>
    <row r="959" ht="22.5" customHeight="1">
      <c r="A959" s="7"/>
      <c r="B959" s="7"/>
      <c r="C959" s="7"/>
      <c r="D959" s="7"/>
      <c r="E959" s="7"/>
      <c r="F959" s="7"/>
      <c r="G959" s="7"/>
      <c r="H959" s="2"/>
      <c r="I959" s="7"/>
      <c r="J959" s="7"/>
      <c r="K959" s="2"/>
      <c r="L959" s="2"/>
      <c r="M959" s="2"/>
      <c r="N959" s="2"/>
      <c r="O959" s="2"/>
      <c r="P959" s="2"/>
      <c r="Q959" s="2"/>
      <c r="R959" s="2"/>
      <c r="S959" s="2"/>
      <c r="T959" s="2"/>
      <c r="U959" s="2"/>
      <c r="V959" s="2"/>
      <c r="W959" s="2"/>
      <c r="X959" s="2"/>
      <c r="Y959" s="2"/>
      <c r="Z959" s="2"/>
    </row>
    <row r="960" ht="22.5" customHeight="1">
      <c r="A960" s="7"/>
      <c r="B960" s="7"/>
      <c r="C960" s="7"/>
      <c r="D960" s="7"/>
      <c r="E960" s="7"/>
      <c r="F960" s="7"/>
      <c r="G960" s="7"/>
      <c r="H960" s="2"/>
      <c r="I960" s="7"/>
      <c r="J960" s="7"/>
      <c r="K960" s="2"/>
      <c r="L960" s="2"/>
      <c r="M960" s="2"/>
      <c r="N960" s="2"/>
      <c r="O960" s="2"/>
      <c r="P960" s="2"/>
      <c r="Q960" s="2"/>
      <c r="R960" s="2"/>
      <c r="S960" s="2"/>
      <c r="T960" s="2"/>
      <c r="U960" s="2"/>
      <c r="V960" s="2"/>
      <c r="W960" s="2"/>
      <c r="X960" s="2"/>
      <c r="Y960" s="2"/>
      <c r="Z960" s="2"/>
    </row>
    <row r="961" ht="22.5" customHeight="1">
      <c r="A961" s="7"/>
      <c r="B961" s="7"/>
      <c r="C961" s="7"/>
      <c r="D961" s="7"/>
      <c r="E961" s="7"/>
      <c r="F961" s="7"/>
      <c r="G961" s="7"/>
      <c r="H961" s="2"/>
      <c r="I961" s="7"/>
      <c r="J961" s="7"/>
      <c r="K961" s="2"/>
      <c r="L961" s="2"/>
      <c r="M961" s="2"/>
      <c r="N961" s="2"/>
      <c r="O961" s="2"/>
      <c r="P961" s="2"/>
      <c r="Q961" s="2"/>
      <c r="R961" s="2"/>
      <c r="S961" s="2"/>
      <c r="T961" s="2"/>
      <c r="U961" s="2"/>
      <c r="V961" s="2"/>
      <c r="W961" s="2"/>
      <c r="X961" s="2"/>
      <c r="Y961" s="2"/>
      <c r="Z961" s="2"/>
    </row>
    <row r="962" ht="22.5" customHeight="1">
      <c r="A962" s="7"/>
      <c r="B962" s="7"/>
      <c r="C962" s="7"/>
      <c r="D962" s="7"/>
      <c r="E962" s="7"/>
      <c r="F962" s="7"/>
      <c r="G962" s="7"/>
      <c r="H962" s="2"/>
      <c r="I962" s="7"/>
      <c r="J962" s="7"/>
      <c r="K962" s="2"/>
      <c r="L962" s="2"/>
      <c r="M962" s="2"/>
      <c r="N962" s="2"/>
      <c r="O962" s="2"/>
      <c r="P962" s="2"/>
      <c r="Q962" s="2"/>
      <c r="R962" s="2"/>
      <c r="S962" s="2"/>
      <c r="T962" s="2"/>
      <c r="U962" s="2"/>
      <c r="V962" s="2"/>
      <c r="W962" s="2"/>
      <c r="X962" s="2"/>
      <c r="Y962" s="2"/>
      <c r="Z962" s="2"/>
    </row>
    <row r="963" ht="22.5" customHeight="1">
      <c r="A963" s="7"/>
      <c r="B963" s="7"/>
      <c r="C963" s="7"/>
      <c r="D963" s="7"/>
      <c r="E963" s="7"/>
      <c r="F963" s="7"/>
      <c r="G963" s="7"/>
      <c r="H963" s="2"/>
      <c r="I963" s="7"/>
      <c r="J963" s="7"/>
      <c r="K963" s="2"/>
      <c r="L963" s="2"/>
      <c r="M963" s="2"/>
      <c r="N963" s="2"/>
      <c r="O963" s="2"/>
      <c r="P963" s="2"/>
      <c r="Q963" s="2"/>
      <c r="R963" s="2"/>
      <c r="S963" s="2"/>
      <c r="T963" s="2"/>
      <c r="U963" s="2"/>
      <c r="V963" s="2"/>
      <c r="W963" s="2"/>
      <c r="X963" s="2"/>
      <c r="Y963" s="2"/>
      <c r="Z963" s="2"/>
    </row>
    <row r="964" ht="22.5" customHeight="1">
      <c r="A964" s="7"/>
      <c r="B964" s="7"/>
      <c r="C964" s="7"/>
      <c r="D964" s="7"/>
      <c r="E964" s="7"/>
      <c r="F964" s="7"/>
      <c r="G964" s="7"/>
      <c r="H964" s="2"/>
      <c r="I964" s="7"/>
      <c r="J964" s="7"/>
      <c r="K964" s="2"/>
      <c r="L964" s="2"/>
      <c r="M964" s="2"/>
      <c r="N964" s="2"/>
      <c r="O964" s="2"/>
      <c r="P964" s="2"/>
      <c r="Q964" s="2"/>
      <c r="R964" s="2"/>
      <c r="S964" s="2"/>
      <c r="T964" s="2"/>
      <c r="U964" s="2"/>
      <c r="V964" s="2"/>
      <c r="W964" s="2"/>
      <c r="X964" s="2"/>
      <c r="Y964" s="2"/>
      <c r="Z964" s="2"/>
    </row>
    <row r="965" ht="22.5" customHeight="1">
      <c r="A965" s="7"/>
      <c r="B965" s="7"/>
      <c r="C965" s="7"/>
      <c r="D965" s="7"/>
      <c r="E965" s="7"/>
      <c r="F965" s="7"/>
      <c r="G965" s="7"/>
      <c r="H965" s="2"/>
      <c r="I965" s="7"/>
      <c r="J965" s="7"/>
      <c r="K965" s="2"/>
      <c r="L965" s="2"/>
      <c r="M965" s="2"/>
      <c r="N965" s="2"/>
      <c r="O965" s="2"/>
      <c r="P965" s="2"/>
      <c r="Q965" s="2"/>
      <c r="R965" s="2"/>
      <c r="S965" s="2"/>
      <c r="T965" s="2"/>
      <c r="U965" s="2"/>
      <c r="V965" s="2"/>
      <c r="W965" s="2"/>
      <c r="X965" s="2"/>
      <c r="Y965" s="2"/>
      <c r="Z965" s="2"/>
    </row>
    <row r="966" ht="22.5" customHeight="1">
      <c r="A966" s="7"/>
      <c r="B966" s="7"/>
      <c r="C966" s="7"/>
      <c r="D966" s="7"/>
      <c r="E966" s="7"/>
      <c r="F966" s="7"/>
      <c r="G966" s="7"/>
      <c r="H966" s="2"/>
      <c r="I966" s="7"/>
      <c r="J966" s="7"/>
      <c r="K966" s="2"/>
      <c r="L966" s="2"/>
      <c r="M966" s="2"/>
      <c r="N966" s="2"/>
      <c r="O966" s="2"/>
      <c r="P966" s="2"/>
      <c r="Q966" s="2"/>
      <c r="R966" s="2"/>
      <c r="S966" s="2"/>
      <c r="T966" s="2"/>
      <c r="U966" s="2"/>
      <c r="V966" s="2"/>
      <c r="W966" s="2"/>
      <c r="X966" s="2"/>
      <c r="Y966" s="2"/>
      <c r="Z966" s="2"/>
    </row>
    <row r="967" ht="22.5" customHeight="1">
      <c r="A967" s="7"/>
      <c r="B967" s="7"/>
      <c r="C967" s="7"/>
      <c r="D967" s="7"/>
      <c r="E967" s="7"/>
      <c r="F967" s="7"/>
      <c r="G967" s="7"/>
      <c r="H967" s="2"/>
      <c r="I967" s="7"/>
      <c r="J967" s="7"/>
      <c r="K967" s="2"/>
      <c r="L967" s="2"/>
      <c r="M967" s="2"/>
      <c r="N967" s="2"/>
      <c r="O967" s="2"/>
      <c r="P967" s="2"/>
      <c r="Q967" s="2"/>
      <c r="R967" s="2"/>
      <c r="S967" s="2"/>
      <c r="T967" s="2"/>
      <c r="U967" s="2"/>
      <c r="V967" s="2"/>
      <c r="W967" s="2"/>
      <c r="X967" s="2"/>
      <c r="Y967" s="2"/>
      <c r="Z967" s="2"/>
    </row>
    <row r="968" ht="22.5" customHeight="1">
      <c r="A968" s="7"/>
      <c r="B968" s="7"/>
      <c r="C968" s="7"/>
      <c r="D968" s="7"/>
      <c r="E968" s="7"/>
      <c r="F968" s="7"/>
      <c r="G968" s="7"/>
      <c r="H968" s="2"/>
      <c r="I968" s="7"/>
      <c r="J968" s="7"/>
      <c r="K968" s="2"/>
      <c r="L968" s="2"/>
      <c r="M968" s="2"/>
      <c r="N968" s="2"/>
      <c r="O968" s="2"/>
      <c r="P968" s="2"/>
      <c r="Q968" s="2"/>
      <c r="R968" s="2"/>
      <c r="S968" s="2"/>
      <c r="T968" s="2"/>
      <c r="U968" s="2"/>
      <c r="V968" s="2"/>
      <c r="W968" s="2"/>
      <c r="X968" s="2"/>
      <c r="Y968" s="2"/>
      <c r="Z968" s="2"/>
    </row>
    <row r="969" ht="22.5" customHeight="1">
      <c r="A969" s="7"/>
      <c r="B969" s="7"/>
      <c r="C969" s="7"/>
      <c r="D969" s="7"/>
      <c r="E969" s="7"/>
      <c r="F969" s="7"/>
      <c r="G969" s="7"/>
      <c r="H969" s="2"/>
      <c r="I969" s="7"/>
      <c r="J969" s="7"/>
      <c r="K969" s="2"/>
      <c r="L969" s="2"/>
      <c r="M969" s="2"/>
      <c r="N969" s="2"/>
      <c r="O969" s="2"/>
      <c r="P969" s="2"/>
      <c r="Q969" s="2"/>
      <c r="R969" s="2"/>
      <c r="S969" s="2"/>
      <c r="T969" s="2"/>
      <c r="U969" s="2"/>
      <c r="V969" s="2"/>
      <c r="W969" s="2"/>
      <c r="X969" s="2"/>
      <c r="Y969" s="2"/>
      <c r="Z969" s="2"/>
    </row>
    <row r="970" ht="22.5" customHeight="1">
      <c r="A970" s="7"/>
      <c r="B970" s="7"/>
      <c r="C970" s="7"/>
      <c r="D970" s="7"/>
      <c r="E970" s="7"/>
      <c r="F970" s="7"/>
      <c r="G970" s="7"/>
      <c r="H970" s="2"/>
      <c r="I970" s="7"/>
      <c r="J970" s="7"/>
      <c r="K970" s="2"/>
      <c r="L970" s="2"/>
      <c r="M970" s="2"/>
      <c r="N970" s="2"/>
      <c r="O970" s="2"/>
      <c r="P970" s="2"/>
      <c r="Q970" s="2"/>
      <c r="R970" s="2"/>
      <c r="S970" s="2"/>
      <c r="T970" s="2"/>
      <c r="U970" s="2"/>
      <c r="V970" s="2"/>
      <c r="W970" s="2"/>
      <c r="X970" s="2"/>
      <c r="Y970" s="2"/>
      <c r="Z970" s="2"/>
    </row>
    <row r="971" ht="22.5" customHeight="1">
      <c r="A971" s="7"/>
      <c r="B971" s="7"/>
      <c r="C971" s="7"/>
      <c r="D971" s="7"/>
      <c r="E971" s="7"/>
      <c r="F971" s="7"/>
      <c r="G971" s="7"/>
      <c r="H971" s="2"/>
      <c r="I971" s="7"/>
      <c r="J971" s="7"/>
      <c r="K971" s="2"/>
      <c r="L971" s="2"/>
      <c r="M971" s="2"/>
      <c r="N971" s="2"/>
      <c r="O971" s="2"/>
      <c r="P971" s="2"/>
      <c r="Q971" s="2"/>
      <c r="R971" s="2"/>
      <c r="S971" s="2"/>
      <c r="T971" s="2"/>
      <c r="U971" s="2"/>
      <c r="V971" s="2"/>
      <c r="W971" s="2"/>
      <c r="X971" s="2"/>
      <c r="Y971" s="2"/>
      <c r="Z971" s="2"/>
    </row>
    <row r="972" ht="22.5" customHeight="1">
      <c r="A972" s="7"/>
      <c r="B972" s="7"/>
      <c r="C972" s="7"/>
      <c r="D972" s="7"/>
      <c r="E972" s="7"/>
      <c r="F972" s="7"/>
      <c r="G972" s="7"/>
      <c r="H972" s="2"/>
      <c r="I972" s="7"/>
      <c r="J972" s="7"/>
      <c r="K972" s="2"/>
      <c r="L972" s="2"/>
      <c r="M972" s="2"/>
      <c r="N972" s="2"/>
      <c r="O972" s="2"/>
      <c r="P972" s="2"/>
      <c r="Q972" s="2"/>
      <c r="R972" s="2"/>
      <c r="S972" s="2"/>
      <c r="T972" s="2"/>
      <c r="U972" s="2"/>
      <c r="V972" s="2"/>
      <c r="W972" s="2"/>
      <c r="X972" s="2"/>
      <c r="Y972" s="2"/>
      <c r="Z972" s="2"/>
    </row>
    <row r="973" ht="22.5" customHeight="1">
      <c r="A973" s="7"/>
      <c r="B973" s="7"/>
      <c r="C973" s="7"/>
      <c r="D973" s="7"/>
      <c r="E973" s="7"/>
      <c r="F973" s="7"/>
      <c r="G973" s="7"/>
      <c r="H973" s="2"/>
      <c r="I973" s="7"/>
      <c r="J973" s="7"/>
      <c r="K973" s="2"/>
      <c r="L973" s="2"/>
      <c r="M973" s="2"/>
      <c r="N973" s="2"/>
      <c r="O973" s="2"/>
      <c r="P973" s="2"/>
      <c r="Q973" s="2"/>
      <c r="R973" s="2"/>
      <c r="S973" s="2"/>
      <c r="T973" s="2"/>
      <c r="U973" s="2"/>
      <c r="V973" s="2"/>
      <c r="W973" s="2"/>
      <c r="X973" s="2"/>
      <c r="Y973" s="2"/>
      <c r="Z973" s="2"/>
    </row>
    <row r="974" ht="22.5" customHeight="1">
      <c r="A974" s="7"/>
      <c r="B974" s="7"/>
      <c r="C974" s="7"/>
      <c r="D974" s="7"/>
      <c r="E974" s="7"/>
      <c r="F974" s="7"/>
      <c r="G974" s="7"/>
      <c r="H974" s="2"/>
      <c r="I974" s="7"/>
      <c r="J974" s="7"/>
      <c r="K974" s="2"/>
      <c r="L974" s="2"/>
      <c r="M974" s="2"/>
      <c r="N974" s="2"/>
      <c r="O974" s="2"/>
      <c r="P974" s="2"/>
      <c r="Q974" s="2"/>
      <c r="R974" s="2"/>
      <c r="S974" s="2"/>
      <c r="T974" s="2"/>
      <c r="U974" s="2"/>
      <c r="V974" s="2"/>
      <c r="W974" s="2"/>
      <c r="X974" s="2"/>
      <c r="Y974" s="2"/>
      <c r="Z974" s="2"/>
    </row>
    <row r="975" ht="22.5" customHeight="1">
      <c r="A975" s="7"/>
      <c r="B975" s="7"/>
      <c r="C975" s="7"/>
      <c r="D975" s="7"/>
      <c r="E975" s="7"/>
      <c r="F975" s="7"/>
      <c r="G975" s="7"/>
      <c r="H975" s="2"/>
      <c r="I975" s="7"/>
      <c r="J975" s="7"/>
      <c r="K975" s="2"/>
      <c r="L975" s="2"/>
      <c r="M975" s="2"/>
      <c r="N975" s="2"/>
      <c r="O975" s="2"/>
      <c r="P975" s="2"/>
      <c r="Q975" s="2"/>
      <c r="R975" s="2"/>
      <c r="S975" s="2"/>
      <c r="T975" s="2"/>
      <c r="U975" s="2"/>
      <c r="V975" s="2"/>
      <c r="W975" s="2"/>
      <c r="X975" s="2"/>
      <c r="Y975" s="2"/>
      <c r="Z975" s="2"/>
    </row>
    <row r="976" ht="22.5" customHeight="1">
      <c r="A976" s="7"/>
      <c r="B976" s="7"/>
      <c r="C976" s="7"/>
      <c r="D976" s="7"/>
      <c r="E976" s="7"/>
      <c r="F976" s="7"/>
      <c r="G976" s="7"/>
      <c r="H976" s="2"/>
      <c r="I976" s="7"/>
      <c r="J976" s="7"/>
      <c r="K976" s="2"/>
      <c r="L976" s="2"/>
      <c r="M976" s="2"/>
      <c r="N976" s="2"/>
      <c r="O976" s="2"/>
      <c r="P976" s="2"/>
      <c r="Q976" s="2"/>
      <c r="R976" s="2"/>
      <c r="S976" s="2"/>
      <c r="T976" s="2"/>
      <c r="U976" s="2"/>
      <c r="V976" s="2"/>
      <c r="W976" s="2"/>
      <c r="X976" s="2"/>
      <c r="Y976" s="2"/>
      <c r="Z976" s="2"/>
    </row>
    <row r="977" ht="22.5" customHeight="1">
      <c r="A977" s="7"/>
      <c r="B977" s="7"/>
      <c r="C977" s="7"/>
      <c r="D977" s="7"/>
      <c r="E977" s="7"/>
      <c r="F977" s="7"/>
      <c r="G977" s="7"/>
      <c r="H977" s="2"/>
      <c r="I977" s="7"/>
      <c r="J977" s="7"/>
      <c r="K977" s="2"/>
      <c r="L977" s="2"/>
      <c r="M977" s="2"/>
      <c r="N977" s="2"/>
      <c r="O977" s="2"/>
      <c r="P977" s="2"/>
      <c r="Q977" s="2"/>
      <c r="R977" s="2"/>
      <c r="S977" s="2"/>
      <c r="T977" s="2"/>
      <c r="U977" s="2"/>
      <c r="V977" s="2"/>
      <c r="W977" s="2"/>
      <c r="X977" s="2"/>
      <c r="Y977" s="2"/>
      <c r="Z977" s="2"/>
    </row>
    <row r="978" ht="22.5" customHeight="1">
      <c r="A978" s="7"/>
      <c r="B978" s="7"/>
      <c r="C978" s="7"/>
      <c r="D978" s="7"/>
      <c r="E978" s="7"/>
      <c r="F978" s="7"/>
      <c r="G978" s="7"/>
      <c r="H978" s="2"/>
      <c r="I978" s="7"/>
      <c r="J978" s="7"/>
      <c r="K978" s="2"/>
      <c r="L978" s="2"/>
      <c r="M978" s="2"/>
      <c r="N978" s="2"/>
      <c r="O978" s="2"/>
      <c r="P978" s="2"/>
      <c r="Q978" s="2"/>
      <c r="R978" s="2"/>
      <c r="S978" s="2"/>
      <c r="T978" s="2"/>
      <c r="U978" s="2"/>
      <c r="V978" s="2"/>
      <c r="W978" s="2"/>
      <c r="X978" s="2"/>
      <c r="Y978" s="2"/>
      <c r="Z978" s="2"/>
    </row>
    <row r="979" ht="22.5" customHeight="1">
      <c r="A979" s="7"/>
      <c r="B979" s="7"/>
      <c r="C979" s="7"/>
      <c r="D979" s="7"/>
      <c r="E979" s="7"/>
      <c r="F979" s="7"/>
      <c r="G979" s="7"/>
      <c r="H979" s="2"/>
      <c r="I979" s="7"/>
      <c r="J979" s="7"/>
      <c r="K979" s="2"/>
      <c r="L979" s="2"/>
      <c r="M979" s="2"/>
      <c r="N979" s="2"/>
      <c r="O979" s="2"/>
      <c r="P979" s="2"/>
      <c r="Q979" s="2"/>
      <c r="R979" s="2"/>
      <c r="S979" s="2"/>
      <c r="T979" s="2"/>
      <c r="U979" s="2"/>
      <c r="V979" s="2"/>
      <c r="W979" s="2"/>
      <c r="X979" s="2"/>
      <c r="Y979" s="2"/>
      <c r="Z979" s="2"/>
    </row>
    <row r="980" ht="22.5" customHeight="1">
      <c r="A980" s="7"/>
      <c r="B980" s="7"/>
      <c r="C980" s="7"/>
      <c r="D980" s="7"/>
      <c r="E980" s="7"/>
      <c r="F980" s="7"/>
      <c r="G980" s="7"/>
      <c r="H980" s="2"/>
      <c r="I980" s="7"/>
      <c r="J980" s="7"/>
      <c r="K980" s="2"/>
      <c r="L980" s="2"/>
      <c r="M980" s="2"/>
      <c r="N980" s="2"/>
      <c r="O980" s="2"/>
      <c r="P980" s="2"/>
      <c r="Q980" s="2"/>
      <c r="R980" s="2"/>
      <c r="S980" s="2"/>
      <c r="T980" s="2"/>
      <c r="U980" s="2"/>
      <c r="V980" s="2"/>
      <c r="W980" s="2"/>
      <c r="X980" s="2"/>
      <c r="Y980" s="2"/>
      <c r="Z980" s="2"/>
    </row>
    <row r="981" ht="22.5" customHeight="1">
      <c r="A981" s="7"/>
      <c r="B981" s="7"/>
      <c r="C981" s="7"/>
      <c r="D981" s="7"/>
      <c r="E981" s="7"/>
      <c r="F981" s="7"/>
      <c r="G981" s="7"/>
      <c r="H981" s="2"/>
      <c r="I981" s="7"/>
      <c r="J981" s="7"/>
      <c r="K981" s="2"/>
      <c r="L981" s="2"/>
      <c r="M981" s="2"/>
      <c r="N981" s="2"/>
      <c r="O981" s="2"/>
      <c r="P981" s="2"/>
      <c r="Q981" s="2"/>
      <c r="R981" s="2"/>
      <c r="S981" s="2"/>
      <c r="T981" s="2"/>
      <c r="U981" s="2"/>
      <c r="V981" s="2"/>
      <c r="W981" s="2"/>
      <c r="X981" s="2"/>
      <c r="Y981" s="2"/>
      <c r="Z981" s="2"/>
    </row>
    <row r="982" ht="22.5" customHeight="1">
      <c r="A982" s="7"/>
      <c r="B982" s="7"/>
      <c r="C982" s="7"/>
      <c r="D982" s="7"/>
      <c r="E982" s="7"/>
      <c r="F982" s="7"/>
      <c r="G982" s="7"/>
      <c r="H982" s="2"/>
      <c r="I982" s="7"/>
      <c r="J982" s="7"/>
      <c r="K982" s="2"/>
      <c r="L982" s="2"/>
      <c r="M982" s="2"/>
      <c r="N982" s="2"/>
      <c r="O982" s="2"/>
      <c r="P982" s="2"/>
      <c r="Q982" s="2"/>
      <c r="R982" s="2"/>
      <c r="S982" s="2"/>
      <c r="T982" s="2"/>
      <c r="U982" s="2"/>
      <c r="V982" s="2"/>
      <c r="W982" s="2"/>
      <c r="X982" s="2"/>
      <c r="Y982" s="2"/>
      <c r="Z982" s="2"/>
    </row>
    <row r="983" ht="22.5" customHeight="1">
      <c r="A983" s="7"/>
      <c r="B983" s="7"/>
      <c r="C983" s="7"/>
      <c r="D983" s="7"/>
      <c r="E983" s="7"/>
      <c r="F983" s="7"/>
      <c r="G983" s="7"/>
      <c r="H983" s="2"/>
      <c r="I983" s="7"/>
      <c r="J983" s="7"/>
      <c r="K983" s="2"/>
      <c r="L983" s="2"/>
      <c r="M983" s="2"/>
      <c r="N983" s="2"/>
      <c r="O983" s="2"/>
      <c r="P983" s="2"/>
      <c r="Q983" s="2"/>
      <c r="R983" s="2"/>
      <c r="S983" s="2"/>
      <c r="T983" s="2"/>
      <c r="U983" s="2"/>
      <c r="V983" s="2"/>
      <c r="W983" s="2"/>
      <c r="X983" s="2"/>
      <c r="Y983" s="2"/>
      <c r="Z983" s="2"/>
    </row>
    <row r="984" ht="22.5" customHeight="1">
      <c r="A984" s="7"/>
      <c r="B984" s="7"/>
      <c r="C984" s="7"/>
      <c r="D984" s="7"/>
      <c r="E984" s="7"/>
      <c r="F984" s="7"/>
      <c r="G984" s="7"/>
      <c r="H984" s="2"/>
      <c r="I984" s="7"/>
      <c r="J984" s="7"/>
      <c r="K984" s="2"/>
      <c r="L984" s="2"/>
      <c r="M984" s="2"/>
      <c r="N984" s="2"/>
      <c r="O984" s="2"/>
      <c r="P984" s="2"/>
      <c r="Q984" s="2"/>
      <c r="R984" s="2"/>
      <c r="S984" s="2"/>
      <c r="T984" s="2"/>
      <c r="U984" s="2"/>
      <c r="V984" s="2"/>
      <c r="W984" s="2"/>
      <c r="X984" s="2"/>
      <c r="Y984" s="2"/>
      <c r="Z984" s="2"/>
    </row>
    <row r="985" ht="22.5" customHeight="1">
      <c r="A985" s="7"/>
      <c r="B985" s="7"/>
      <c r="C985" s="7"/>
      <c r="D985" s="7"/>
      <c r="E985" s="7"/>
      <c r="F985" s="7"/>
      <c r="G985" s="7"/>
      <c r="H985" s="2"/>
      <c r="I985" s="7"/>
      <c r="J985" s="7"/>
      <c r="K985" s="2"/>
      <c r="L985" s="2"/>
      <c r="M985" s="2"/>
      <c r="N985" s="2"/>
      <c r="O985" s="2"/>
      <c r="P985" s="2"/>
      <c r="Q985" s="2"/>
      <c r="R985" s="2"/>
      <c r="S985" s="2"/>
      <c r="T985" s="2"/>
      <c r="U985" s="2"/>
      <c r="V985" s="2"/>
      <c r="W985" s="2"/>
      <c r="X985" s="2"/>
      <c r="Y985" s="2"/>
      <c r="Z985" s="2"/>
    </row>
    <row r="986" ht="22.5" customHeight="1">
      <c r="A986" s="7"/>
      <c r="B986" s="7"/>
      <c r="C986" s="7"/>
      <c r="D986" s="7"/>
      <c r="E986" s="7"/>
      <c r="F986" s="7"/>
      <c r="G986" s="7"/>
      <c r="H986" s="2"/>
      <c r="I986" s="7"/>
      <c r="J986" s="7"/>
      <c r="K986" s="2"/>
      <c r="L986" s="2"/>
      <c r="M986" s="2"/>
      <c r="N986" s="2"/>
      <c r="O986" s="2"/>
      <c r="P986" s="2"/>
      <c r="Q986" s="2"/>
      <c r="R986" s="2"/>
      <c r="S986" s="2"/>
      <c r="T986" s="2"/>
      <c r="U986" s="2"/>
      <c r="V986" s="2"/>
      <c r="W986" s="2"/>
      <c r="X986" s="2"/>
      <c r="Y986" s="2"/>
      <c r="Z986" s="2"/>
    </row>
    <row r="987" ht="22.5" customHeight="1">
      <c r="A987" s="7"/>
      <c r="B987" s="7"/>
      <c r="C987" s="7"/>
      <c r="D987" s="7"/>
      <c r="E987" s="7"/>
      <c r="F987" s="7"/>
      <c r="G987" s="7"/>
      <c r="H987" s="2"/>
      <c r="I987" s="7"/>
      <c r="J987" s="7"/>
      <c r="K987" s="2"/>
      <c r="L987" s="2"/>
      <c r="M987" s="2"/>
      <c r="N987" s="2"/>
      <c r="O987" s="2"/>
      <c r="P987" s="2"/>
      <c r="Q987" s="2"/>
      <c r="R987" s="2"/>
      <c r="S987" s="2"/>
      <c r="T987" s="2"/>
      <c r="U987" s="2"/>
      <c r="V987" s="2"/>
      <c r="W987" s="2"/>
      <c r="X987" s="2"/>
      <c r="Y987" s="2"/>
      <c r="Z987" s="2"/>
    </row>
    <row r="988" ht="22.5" customHeight="1">
      <c r="A988" s="7"/>
      <c r="B988" s="7"/>
      <c r="C988" s="7"/>
      <c r="D988" s="7"/>
      <c r="E988" s="7"/>
      <c r="F988" s="7"/>
      <c r="G988" s="7"/>
      <c r="H988" s="2"/>
      <c r="I988" s="7"/>
      <c r="J988" s="7"/>
      <c r="K988" s="2"/>
      <c r="L988" s="2"/>
      <c r="M988" s="2"/>
      <c r="N988" s="2"/>
      <c r="O988" s="2"/>
      <c r="P988" s="2"/>
      <c r="Q988" s="2"/>
      <c r="R988" s="2"/>
      <c r="S988" s="2"/>
      <c r="T988" s="2"/>
      <c r="U988" s="2"/>
      <c r="V988" s="2"/>
      <c r="W988" s="2"/>
      <c r="X988" s="2"/>
      <c r="Y988" s="2"/>
      <c r="Z988" s="2"/>
    </row>
    <row r="989" ht="22.5" customHeight="1">
      <c r="A989" s="7"/>
      <c r="B989" s="7"/>
      <c r="C989" s="7"/>
      <c r="D989" s="7"/>
      <c r="E989" s="7"/>
      <c r="F989" s="7"/>
      <c r="G989" s="7"/>
      <c r="H989" s="2"/>
      <c r="I989" s="7"/>
      <c r="J989" s="7"/>
      <c r="K989" s="2"/>
      <c r="L989" s="2"/>
      <c r="M989" s="2"/>
      <c r="N989" s="2"/>
      <c r="O989" s="2"/>
      <c r="P989" s="2"/>
      <c r="Q989" s="2"/>
      <c r="R989" s="2"/>
      <c r="S989" s="2"/>
      <c r="T989" s="2"/>
      <c r="U989" s="2"/>
      <c r="V989" s="2"/>
      <c r="W989" s="2"/>
      <c r="X989" s="2"/>
      <c r="Y989" s="2"/>
      <c r="Z989" s="2"/>
    </row>
    <row r="990" ht="22.5" customHeight="1">
      <c r="A990" s="7"/>
      <c r="B990" s="7"/>
      <c r="C990" s="7"/>
      <c r="D990" s="7"/>
      <c r="E990" s="7"/>
      <c r="F990" s="7"/>
      <c r="G990" s="7"/>
      <c r="H990" s="2"/>
      <c r="I990" s="7"/>
      <c r="J990" s="7"/>
      <c r="K990" s="2"/>
      <c r="L990" s="2"/>
      <c r="M990" s="2"/>
      <c r="N990" s="2"/>
      <c r="O990" s="2"/>
      <c r="P990" s="2"/>
      <c r="Q990" s="2"/>
      <c r="R990" s="2"/>
      <c r="S990" s="2"/>
      <c r="T990" s="2"/>
      <c r="U990" s="2"/>
      <c r="V990" s="2"/>
      <c r="W990" s="2"/>
      <c r="X990" s="2"/>
      <c r="Y990" s="2"/>
      <c r="Z990" s="2"/>
    </row>
    <row r="991" ht="22.5" customHeight="1">
      <c r="A991" s="7"/>
      <c r="B991" s="7"/>
      <c r="C991" s="7"/>
      <c r="D991" s="7"/>
      <c r="E991" s="7"/>
      <c r="F991" s="7"/>
      <c r="G991" s="7"/>
      <c r="H991" s="2"/>
      <c r="I991" s="7"/>
      <c r="J991" s="7"/>
      <c r="K991" s="2"/>
      <c r="L991" s="2"/>
      <c r="M991" s="2"/>
      <c r="N991" s="2"/>
      <c r="O991" s="2"/>
      <c r="P991" s="2"/>
      <c r="Q991" s="2"/>
      <c r="R991" s="2"/>
      <c r="S991" s="2"/>
      <c r="T991" s="2"/>
      <c r="U991" s="2"/>
      <c r="V991" s="2"/>
      <c r="W991" s="2"/>
      <c r="X991" s="2"/>
      <c r="Y991" s="2"/>
      <c r="Z991" s="2"/>
    </row>
    <row r="992" ht="22.5" customHeight="1">
      <c r="A992" s="7"/>
      <c r="B992" s="7"/>
      <c r="C992" s="7"/>
      <c r="D992" s="7"/>
      <c r="E992" s="7"/>
      <c r="F992" s="7"/>
      <c r="G992" s="7"/>
      <c r="H992" s="2"/>
      <c r="I992" s="7"/>
      <c r="J992" s="7"/>
      <c r="K992" s="2"/>
      <c r="L992" s="2"/>
      <c r="M992" s="2"/>
      <c r="N992" s="2"/>
      <c r="O992" s="2"/>
      <c r="P992" s="2"/>
      <c r="Q992" s="2"/>
      <c r="R992" s="2"/>
      <c r="S992" s="2"/>
      <c r="T992" s="2"/>
      <c r="U992" s="2"/>
      <c r="V992" s="2"/>
      <c r="W992" s="2"/>
      <c r="X992" s="2"/>
      <c r="Y992" s="2"/>
      <c r="Z992" s="2"/>
    </row>
    <row r="993" ht="22.5" customHeight="1">
      <c r="A993" s="7"/>
      <c r="B993" s="7"/>
      <c r="C993" s="7"/>
      <c r="D993" s="7"/>
      <c r="E993" s="7"/>
      <c r="F993" s="7"/>
      <c r="G993" s="7"/>
      <c r="H993" s="2"/>
      <c r="I993" s="7"/>
      <c r="J993" s="7"/>
      <c r="K993" s="2"/>
      <c r="L993" s="2"/>
      <c r="M993" s="2"/>
      <c r="N993" s="2"/>
      <c r="O993" s="2"/>
      <c r="P993" s="2"/>
      <c r="Q993" s="2"/>
      <c r="R993" s="2"/>
      <c r="S993" s="2"/>
      <c r="T993" s="2"/>
      <c r="U993" s="2"/>
      <c r="V993" s="2"/>
      <c r="W993" s="2"/>
      <c r="X993" s="2"/>
      <c r="Y993" s="2"/>
      <c r="Z993" s="2"/>
    </row>
    <row r="994" ht="22.5" customHeight="1">
      <c r="A994" s="7"/>
      <c r="B994" s="7"/>
      <c r="C994" s="7"/>
      <c r="D994" s="7"/>
      <c r="E994" s="7"/>
      <c r="F994" s="7"/>
      <c r="G994" s="7"/>
      <c r="H994" s="2"/>
      <c r="I994" s="7"/>
      <c r="J994" s="7"/>
      <c r="K994" s="2"/>
      <c r="L994" s="2"/>
      <c r="M994" s="2"/>
      <c r="N994" s="2"/>
      <c r="O994" s="2"/>
      <c r="P994" s="2"/>
      <c r="Q994" s="2"/>
      <c r="R994" s="2"/>
      <c r="S994" s="2"/>
      <c r="T994" s="2"/>
      <c r="U994" s="2"/>
      <c r="V994" s="2"/>
      <c r="W994" s="2"/>
      <c r="X994" s="2"/>
      <c r="Y994" s="2"/>
      <c r="Z994" s="2"/>
    </row>
    <row r="995" ht="22.5" customHeight="1">
      <c r="A995" s="7"/>
      <c r="B995" s="7"/>
      <c r="C995" s="7"/>
      <c r="D995" s="7"/>
      <c r="E995" s="7"/>
      <c r="F995" s="7"/>
      <c r="G995" s="7"/>
      <c r="H995" s="2"/>
      <c r="I995" s="7"/>
      <c r="J995" s="7"/>
      <c r="K995" s="2"/>
      <c r="L995" s="2"/>
      <c r="M995" s="2"/>
      <c r="N995" s="2"/>
      <c r="O995" s="2"/>
      <c r="P995" s="2"/>
      <c r="Q995" s="2"/>
      <c r="R995" s="2"/>
      <c r="S995" s="2"/>
      <c r="T995" s="2"/>
      <c r="U995" s="2"/>
      <c r="V995" s="2"/>
      <c r="W995" s="2"/>
      <c r="X995" s="2"/>
      <c r="Y995" s="2"/>
      <c r="Z995" s="2"/>
    </row>
    <row r="996" ht="22.5" customHeight="1">
      <c r="A996" s="7"/>
      <c r="B996" s="7"/>
      <c r="C996" s="7"/>
      <c r="D996" s="7"/>
      <c r="E996" s="7"/>
      <c r="F996" s="7"/>
      <c r="G996" s="7"/>
      <c r="H996" s="2"/>
      <c r="I996" s="7"/>
      <c r="J996" s="7"/>
      <c r="K996" s="2"/>
      <c r="L996" s="2"/>
      <c r="M996" s="2"/>
      <c r="N996" s="2"/>
      <c r="O996" s="2"/>
      <c r="P996" s="2"/>
      <c r="Q996" s="2"/>
      <c r="R996" s="2"/>
      <c r="S996" s="2"/>
      <c r="T996" s="2"/>
      <c r="U996" s="2"/>
      <c r="V996" s="2"/>
      <c r="W996" s="2"/>
      <c r="X996" s="2"/>
      <c r="Y996" s="2"/>
      <c r="Z996" s="2"/>
    </row>
    <row r="997" ht="22.5" customHeight="1">
      <c r="A997" s="7"/>
      <c r="B997" s="7"/>
      <c r="C997" s="7"/>
      <c r="D997" s="7"/>
      <c r="E997" s="7"/>
      <c r="F997" s="7"/>
      <c r="G997" s="7"/>
      <c r="H997" s="2"/>
      <c r="I997" s="7"/>
      <c r="J997" s="7"/>
      <c r="K997" s="2"/>
      <c r="L997" s="2"/>
      <c r="M997" s="2"/>
      <c r="N997" s="2"/>
      <c r="O997" s="2"/>
      <c r="P997" s="2"/>
      <c r="Q997" s="2"/>
      <c r="R997" s="2"/>
      <c r="S997" s="2"/>
      <c r="T997" s="2"/>
      <c r="U997" s="2"/>
      <c r="V997" s="2"/>
      <c r="W997" s="2"/>
      <c r="X997" s="2"/>
      <c r="Y997" s="2"/>
      <c r="Z997" s="2"/>
    </row>
    <row r="998" ht="22.5" customHeight="1">
      <c r="A998" s="7"/>
      <c r="B998" s="7"/>
      <c r="C998" s="7"/>
      <c r="D998" s="7"/>
      <c r="E998" s="7"/>
      <c r="F998" s="7"/>
      <c r="G998" s="7"/>
      <c r="H998" s="2"/>
      <c r="I998" s="7"/>
      <c r="J998" s="7"/>
      <c r="K998" s="2"/>
      <c r="L998" s="2"/>
      <c r="M998" s="2"/>
      <c r="N998" s="2"/>
      <c r="O998" s="2"/>
      <c r="P998" s="2"/>
      <c r="Q998" s="2"/>
      <c r="R998" s="2"/>
      <c r="S998" s="2"/>
      <c r="T998" s="2"/>
      <c r="U998" s="2"/>
      <c r="V998" s="2"/>
      <c r="W998" s="2"/>
      <c r="X998" s="2"/>
      <c r="Y998" s="2"/>
      <c r="Z998" s="2"/>
    </row>
    <row r="999" ht="22.5" customHeight="1">
      <c r="A999" s="7"/>
      <c r="B999" s="7"/>
      <c r="C999" s="7"/>
      <c r="D999" s="7"/>
      <c r="E999" s="7"/>
      <c r="F999" s="7"/>
      <c r="G999" s="7"/>
      <c r="H999" s="2"/>
      <c r="I999" s="7"/>
      <c r="J999" s="7"/>
      <c r="K999" s="2"/>
      <c r="L999" s="2"/>
      <c r="M999" s="2"/>
      <c r="N999" s="2"/>
      <c r="O999" s="2"/>
      <c r="P999" s="2"/>
      <c r="Q999" s="2"/>
      <c r="R999" s="2"/>
      <c r="S999" s="2"/>
      <c r="T999" s="2"/>
      <c r="U999" s="2"/>
      <c r="V999" s="2"/>
      <c r="W999" s="2"/>
      <c r="X999" s="2"/>
      <c r="Y999" s="2"/>
      <c r="Z999" s="2"/>
    </row>
    <row r="1000" ht="22.5" customHeight="1">
      <c r="A1000" s="7"/>
      <c r="B1000" s="7"/>
      <c r="C1000" s="7"/>
      <c r="D1000" s="7"/>
      <c r="E1000" s="7"/>
      <c r="F1000" s="7"/>
      <c r="G1000" s="7"/>
      <c r="H1000" s="2"/>
      <c r="I1000" s="7"/>
      <c r="J1000" s="7"/>
      <c r="K1000" s="2"/>
      <c r="L1000" s="2"/>
      <c r="M1000" s="2"/>
      <c r="N1000" s="2"/>
      <c r="O1000" s="2"/>
      <c r="P1000" s="2"/>
      <c r="Q1000" s="2"/>
      <c r="R1000" s="2"/>
      <c r="S1000" s="2"/>
      <c r="T1000" s="2"/>
      <c r="U1000" s="2"/>
      <c r="V1000" s="2"/>
      <c r="W1000" s="2"/>
      <c r="X1000" s="2"/>
      <c r="Y1000" s="2"/>
      <c r="Z1000" s="2"/>
    </row>
  </sheetData>
  <mergeCells count="4">
    <mergeCell ref="A1:G1"/>
    <mergeCell ref="I1:J1"/>
    <mergeCell ref="E3:F3"/>
    <mergeCell ref="I5:J5"/>
  </mergeCells>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A237:G237 A241:G241 A245:G245 A249:G249 A253:G253 A257:G257 A261:G261 A265:G265 A269:G269 A273:G273 A277:G277 A281:G281 A285:G285 A289:G289 A293:G293 A297:G297 A301:G301 A305:G305 A309:G309 A313:G313 A317:G317 A321:G321 A325:G325 A329:G329 A333:G333 A337:G337 A341:G341 A345:G345 A349:G349 A353:G353 A357:G357 A361:G361 A365:G365 A369:G369">
    <cfRule type="cellIs" dxfId="0" priority="1" operator="greaterThan">
      <formula>$Q$8</formula>
    </cfRule>
  </conditionalFormatting>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A237:G237 A241:G241 A245:G245 A249:G249 A253:G253 A257:G257 A261:G261 A265:G265 A269:G269 A273:G273 A277:G277 A281:G281 A285:G285 A289:G289 A293:G293 A297:G297 A301:G301 A305:G305 A309:G309 A313:G313 A317:G317 A321:G321 A325:G325 A329:G329 A333:G333 A337:G337 A341:G341 A345:G345 A349:G349 A353:G353 A357:G357 A361:G361 A365:G365 A369:G369">
    <cfRule type="cellIs" dxfId="1" priority="2" operator="lessThan">
      <formula>$Q$9</formula>
    </cfRule>
  </conditionalFormatting>
  <conditionalFormatting sqref="J9 J13 J17 J21 J25 J29 J33 J37 J41 J45 J49 J53 J57 J61 J65 J69 J73 J77 J81 J85 J89 J93 J97 J101 J105 J109 J113 J117 J121 J125 J129 J133 J137 J141 J145 J149 J153 J157 J161 J165 J169 J173 J177 J181 J185 J189 J193 J197 J201 J205 J209 J213 J217 J221 J225 J229 J233 J237 J241 J245 J248:J249 J252:J253 J256:J257 J260:J261 J264:J265 J268:J269 J271 J273 J275 J277 J279 J281 J283 J285 J287 J289 J291 J293:J294 J297:J298 J301:J302 J305:J306 J309:J310 J313:J314 J317 J321 J325 J329 J333 J337 J340:J341 J344:J345 J348:J349 J352:J353 J356:J357 J360:J361 J363 J365 J367 J369 J371 J373 J375 J377 J379 J381 J383 J385 J389">
    <cfRule type="cellIs" dxfId="0" priority="3" operator="greaterThanOrEqual">
      <formula>$J$3</formula>
    </cfRule>
  </conditionalFormatting>
  <conditionalFormatting sqref="J9 J13 J17 J21 J25 J29 J33 J37 J41 J45 J49 J53 J57 J61 J65 J69 J73 J77 J81 J85 J89 J93 J97 J101 J105 J109 J113 J117 J121 J125 J129 J133 J137 J141 J145 J149 J153 J157 J161 J165 J169 J173 J177 J181 J185 J189 J193 J197 J201 J205 J209 J213 J217 J221 J225 J229 J233 J237 J241 J245 J248:J249 J252:J253 J256:J257 J260:J261 J264:J265 J268:J269 J271 J273 J275 J277 J279 J281 J283 J285 J287 J289 J291 J293:J294 J297:J298 J301:J302 J305:J306 J309:J310 J313:J314 J317 J321 J325 J329 J333 J337 J340:J341 J344:J345 J348:J349 J352:J353 J356:J357 J360:J361 J363 J365 J367 J369 J371 J373 J375 J377 J379 J381 J383 J385 J389">
    <cfRule type="cellIs" dxfId="1" priority="4" operator="lessThanOrEqual">
      <formula>$J$3*-1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38"/>
    <col customWidth="1" min="2" max="13" width="10.13"/>
    <col customWidth="1" min="14" max="14" width="11.38"/>
  </cols>
  <sheetData>
    <row r="1" ht="26.25" customHeight="1">
      <c r="A1" s="1" t="s">
        <v>37</v>
      </c>
      <c r="O1" s="2"/>
      <c r="P1" s="2"/>
      <c r="Q1" s="2"/>
      <c r="R1" s="2"/>
      <c r="S1" s="2"/>
      <c r="T1" s="2"/>
      <c r="U1" s="2"/>
      <c r="V1" s="2"/>
      <c r="W1" s="2"/>
      <c r="X1" s="2"/>
      <c r="Y1" s="2"/>
      <c r="Z1" s="2"/>
    </row>
    <row r="2" ht="7.5" customHeight="1">
      <c r="A2" s="2"/>
      <c r="B2" s="7"/>
      <c r="C2" s="7"/>
      <c r="D2" s="7"/>
      <c r="E2" s="7"/>
      <c r="F2" s="7"/>
      <c r="G2" s="7"/>
      <c r="H2" s="7"/>
      <c r="I2" s="7"/>
      <c r="J2" s="7"/>
      <c r="K2" s="7"/>
      <c r="L2" s="7"/>
      <c r="M2" s="7"/>
      <c r="N2" s="7"/>
      <c r="O2" s="2"/>
      <c r="P2" s="2"/>
      <c r="Q2" s="2"/>
      <c r="R2" s="2"/>
      <c r="S2" s="2"/>
      <c r="T2" s="2"/>
      <c r="U2" s="2"/>
      <c r="V2" s="2"/>
      <c r="W2" s="2"/>
      <c r="X2" s="2"/>
      <c r="Y2" s="2"/>
      <c r="Z2" s="2"/>
    </row>
    <row r="3" ht="26.25" customHeight="1">
      <c r="A3" s="51"/>
      <c r="B3" s="51"/>
      <c r="C3" s="51"/>
      <c r="D3" s="51"/>
      <c r="E3" s="51"/>
      <c r="F3" s="35" t="s">
        <v>22</v>
      </c>
      <c r="H3" s="52">
        <v>44287.0</v>
      </c>
      <c r="J3" s="51"/>
      <c r="K3" s="51"/>
      <c r="L3" s="51"/>
      <c r="M3" s="51"/>
      <c r="N3" s="51"/>
      <c r="O3" s="51"/>
      <c r="P3" s="51"/>
      <c r="Q3" s="51"/>
      <c r="R3" s="51"/>
      <c r="S3" s="51"/>
      <c r="T3" s="51"/>
      <c r="U3" s="51"/>
      <c r="V3" s="51"/>
      <c r="W3" s="51"/>
      <c r="X3" s="51"/>
      <c r="Y3" s="51"/>
      <c r="Z3" s="51"/>
    </row>
    <row r="4" ht="7.5" customHeight="1">
      <c r="A4" s="2"/>
      <c r="B4" s="7"/>
      <c r="C4" s="7"/>
      <c r="D4" s="7"/>
      <c r="E4" s="7"/>
      <c r="F4" s="7"/>
      <c r="G4" s="7"/>
      <c r="H4" s="7"/>
      <c r="I4" s="7"/>
      <c r="J4" s="7"/>
      <c r="K4" s="7"/>
      <c r="L4" s="7"/>
      <c r="M4" s="7"/>
      <c r="N4" s="7"/>
      <c r="O4" s="2"/>
      <c r="P4" s="2"/>
      <c r="Q4" s="2"/>
      <c r="R4" s="2"/>
      <c r="S4" s="2"/>
      <c r="T4" s="2"/>
      <c r="U4" s="2"/>
      <c r="V4" s="2"/>
      <c r="W4" s="2"/>
      <c r="X4" s="2"/>
      <c r="Y4" s="2"/>
      <c r="Z4" s="2"/>
    </row>
    <row r="5" ht="18.75" customHeight="1">
      <c r="A5" s="2"/>
      <c r="B5" s="53" t="str">
        <f>IF(YEAR(B6)&lt;&gt;YEAR(M6),CONCATENATE(YEAR(B6),"-",YEAR(M6)),YEAR(B6))</f>
        <v>2021-2022</v>
      </c>
      <c r="N5" s="53" t="s">
        <v>38</v>
      </c>
      <c r="O5" s="2"/>
      <c r="P5" s="2"/>
      <c r="Q5" s="2"/>
      <c r="R5" s="2"/>
      <c r="S5" s="2"/>
      <c r="T5" s="2"/>
      <c r="U5" s="2"/>
      <c r="V5" s="2"/>
      <c r="W5" s="2"/>
      <c r="X5" s="2"/>
      <c r="Y5" s="2"/>
      <c r="Z5" s="2"/>
    </row>
    <row r="6" ht="18.75" customHeight="1">
      <c r="A6" s="2"/>
      <c r="B6" s="54">
        <f>DATE(YEAR($H$3),MONTH($H$3),1)</f>
        <v>44287</v>
      </c>
      <c r="C6" s="54">
        <f t="shared" ref="C6:M6" si="1">EDATE(B6,1)</f>
        <v>44317</v>
      </c>
      <c r="D6" s="54">
        <f t="shared" si="1"/>
        <v>44348</v>
      </c>
      <c r="E6" s="54">
        <f t="shared" si="1"/>
        <v>44378</v>
      </c>
      <c r="F6" s="54">
        <f t="shared" si="1"/>
        <v>44409</v>
      </c>
      <c r="G6" s="54">
        <f t="shared" si="1"/>
        <v>44440</v>
      </c>
      <c r="H6" s="54">
        <f t="shared" si="1"/>
        <v>44470</v>
      </c>
      <c r="I6" s="54">
        <f t="shared" si="1"/>
        <v>44501</v>
      </c>
      <c r="J6" s="54">
        <f t="shared" si="1"/>
        <v>44531</v>
      </c>
      <c r="K6" s="54">
        <f t="shared" si="1"/>
        <v>44562</v>
      </c>
      <c r="L6" s="54">
        <f t="shared" si="1"/>
        <v>44593</v>
      </c>
      <c r="M6" s="54">
        <f t="shared" si="1"/>
        <v>44621</v>
      </c>
      <c r="O6" s="2"/>
      <c r="P6" s="2"/>
      <c r="Q6" s="2"/>
      <c r="R6" s="2"/>
      <c r="S6" s="2"/>
      <c r="T6" s="2"/>
      <c r="U6" s="2"/>
      <c r="V6" s="2"/>
      <c r="W6" s="2"/>
      <c r="X6" s="2"/>
      <c r="Y6" s="2"/>
      <c r="Z6" s="2"/>
    </row>
    <row r="7" ht="7.5" customHeight="1">
      <c r="A7" s="44"/>
      <c r="B7" s="7"/>
      <c r="C7" s="7"/>
      <c r="D7" s="7"/>
      <c r="E7" s="7"/>
      <c r="F7" s="7"/>
      <c r="G7" s="7"/>
      <c r="H7" s="7"/>
      <c r="I7" s="7"/>
      <c r="J7" s="7"/>
      <c r="K7" s="7"/>
      <c r="L7" s="7"/>
      <c r="M7" s="7"/>
      <c r="N7" s="7"/>
      <c r="O7" s="2"/>
      <c r="P7" s="2"/>
      <c r="Q7" s="2"/>
      <c r="R7" s="2"/>
      <c r="S7" s="2"/>
      <c r="T7" s="2"/>
      <c r="U7" s="2"/>
      <c r="V7" s="2"/>
      <c r="W7" s="2"/>
      <c r="X7" s="2"/>
      <c r="Y7" s="2"/>
      <c r="Z7" s="2"/>
    </row>
    <row r="8" ht="75.0" customHeight="1">
      <c r="A8" s="55" t="str">
        <f>IFERROR("1st Half: "&amp;TEXT(SUM(B9:G9)/$N9,"0.0%"),"")</f>
        <v>1st Half: 50.0%</v>
      </c>
      <c r="B8" s="7"/>
      <c r="N8" s="55" t="str">
        <f>IFERROR("2nd Half: "&amp;TEXT(SUM(H9:M9)/$N9,"0.0%"),"")</f>
        <v>2nd Half: 50.0%</v>
      </c>
      <c r="O8" s="2"/>
      <c r="P8" s="2"/>
      <c r="Q8" s="2"/>
      <c r="R8" s="2"/>
      <c r="S8" s="2"/>
      <c r="T8" s="2"/>
      <c r="U8" s="2"/>
      <c r="V8" s="2"/>
      <c r="W8" s="2"/>
      <c r="X8" s="2"/>
      <c r="Y8" s="2"/>
      <c r="Z8" s="2"/>
    </row>
    <row r="9" ht="18.75" customHeight="1">
      <c r="A9" s="44" t="s">
        <v>12</v>
      </c>
      <c r="B9" s="7">
        <f>SUMIFS(FinishedData!$C:$C,FinishedData!$A:$A,"&gt;="&amp;B6,FinishedData!$A:$A,"&lt;"&amp;EDATE(B6,1))</f>
        <v>20175</v>
      </c>
      <c r="C9" s="7">
        <f>SUMIFS(FinishedData!$C:$C,FinishedData!$A:$A,"&gt;="&amp;C6,FinishedData!$A:$A,"&lt;"&amp;EDATE(C6,1))</f>
        <v>21095</v>
      </c>
      <c r="D9" s="7">
        <f>SUMIFS(FinishedData!$C:$C,FinishedData!$A:$A,"&gt;="&amp;D6,FinishedData!$A:$A,"&lt;"&amp;EDATE(D6,1))</f>
        <v>19400</v>
      </c>
      <c r="E9" s="7">
        <f>SUMIFS(FinishedData!$C:$C,FinishedData!$A:$A,"&gt;="&amp;E6,FinishedData!$A:$A,"&lt;"&amp;EDATE(E6,1))</f>
        <v>20790</v>
      </c>
      <c r="F9" s="7">
        <f>SUMIFS(FinishedData!$C:$C,FinishedData!$A:$A,"&gt;="&amp;F6,FinishedData!$A:$A,"&lt;"&amp;EDATE(F6,1))</f>
        <v>20285</v>
      </c>
      <c r="G9" s="7">
        <f>SUMIFS(FinishedData!$C:$C,FinishedData!$A:$A,"&gt;="&amp;G6,FinishedData!$A:$A,"&lt;"&amp;EDATE(G6,1))</f>
        <v>18380</v>
      </c>
      <c r="H9" s="7">
        <f>SUMIFS(FinishedData!$C:$C,FinishedData!$A:$A,"&gt;="&amp;H6,FinishedData!$A:$A,"&lt;"&amp;EDATE(H6,1))</f>
        <v>20255</v>
      </c>
      <c r="I9" s="7">
        <f>SUMIFS(FinishedData!$C:$C,FinishedData!$A:$A,"&gt;="&amp;I6,FinishedData!$A:$A,"&lt;"&amp;EDATE(I6,1))</f>
        <v>19985</v>
      </c>
      <c r="J9" s="7">
        <f>SUMIFS(FinishedData!$C:$C,FinishedData!$A:$A,"&gt;="&amp;J6,FinishedData!$A:$A,"&lt;"&amp;EDATE(J6,1))</f>
        <v>20680</v>
      </c>
      <c r="K9" s="7">
        <f>SUMIFS(FinishedData!$C:$C,FinishedData!$A:$A,"&gt;="&amp;K6,FinishedData!$A:$A,"&lt;"&amp;EDATE(K6,1))</f>
        <v>21230</v>
      </c>
      <c r="L9" s="7">
        <f>SUMIFS(FinishedData!$C:$C,FinishedData!$A:$A,"&gt;="&amp;L6,FinishedData!$A:$A,"&lt;"&amp;EDATE(L6,1))</f>
        <v>17880</v>
      </c>
      <c r="M9" s="7">
        <f>SUMIFS(FinishedData!$C:$C,FinishedData!$A:$A,"&gt;="&amp;M6,FinishedData!$A:$A,"&lt;"&amp;EDATE(M6,1))</f>
        <v>20200</v>
      </c>
      <c r="N9" s="56">
        <f>SUM(B9:M9)</f>
        <v>240355</v>
      </c>
      <c r="O9" s="2"/>
      <c r="P9" s="2"/>
      <c r="Q9" s="2"/>
      <c r="R9" s="2"/>
      <c r="S9" s="2"/>
      <c r="T9" s="2"/>
      <c r="U9" s="2"/>
      <c r="V9" s="2"/>
      <c r="W9" s="2"/>
      <c r="X9" s="2"/>
      <c r="Y9" s="2"/>
      <c r="Z9" s="2"/>
    </row>
    <row r="10" ht="18.75" customHeight="1">
      <c r="A10" s="44" t="s">
        <v>39</v>
      </c>
      <c r="B10" s="57">
        <f t="shared" ref="B10:M10" si="2">B9/$N9</f>
        <v>0.0839383412</v>
      </c>
      <c r="C10" s="57">
        <f t="shared" si="2"/>
        <v>0.08776601277</v>
      </c>
      <c r="D10" s="57">
        <f t="shared" si="2"/>
        <v>0.08071394396</v>
      </c>
      <c r="E10" s="57">
        <f t="shared" si="2"/>
        <v>0.08649705644</v>
      </c>
      <c r="F10" s="57">
        <f t="shared" si="2"/>
        <v>0.08439599759</v>
      </c>
      <c r="G10" s="57">
        <f t="shared" si="2"/>
        <v>0.07647022113</v>
      </c>
      <c r="H10" s="57">
        <f t="shared" si="2"/>
        <v>0.08427118221</v>
      </c>
      <c r="I10" s="57">
        <f t="shared" si="2"/>
        <v>0.08314784381</v>
      </c>
      <c r="J10" s="57">
        <f t="shared" si="2"/>
        <v>0.08603940005</v>
      </c>
      <c r="K10" s="57">
        <f t="shared" si="2"/>
        <v>0.08832768197</v>
      </c>
      <c r="L10" s="57">
        <f t="shared" si="2"/>
        <v>0.07438996484</v>
      </c>
      <c r="M10" s="57">
        <f t="shared" si="2"/>
        <v>0.08404235402</v>
      </c>
      <c r="O10" s="2"/>
      <c r="P10" s="2"/>
      <c r="Q10" s="2"/>
      <c r="R10" s="2"/>
      <c r="S10" s="2"/>
      <c r="T10" s="2"/>
      <c r="U10" s="2"/>
      <c r="V10" s="2"/>
      <c r="W10" s="2"/>
      <c r="X10" s="2"/>
      <c r="Y10" s="2"/>
      <c r="Z10" s="2"/>
    </row>
    <row r="11" ht="18.75" customHeight="1">
      <c r="A11" s="44" t="s">
        <v>40</v>
      </c>
      <c r="B11" s="7">
        <f>SUMIFS(FinishedData!$D:$D,FinishedData!$B:$B,"Game",FinishedData!$A:$A,"&gt;="&amp;B6,FinishedData!$A:$A,"&lt;"&amp;EDATE(B6,1))</f>
        <v>9</v>
      </c>
      <c r="C11" s="7">
        <f>SUMIFS(FinishedData!$D:$D,FinishedData!$B:$B,"Game",FinishedData!$A:$A,"&gt;="&amp;C6,FinishedData!$A:$A,"&lt;"&amp;EDATE(C6,1))</f>
        <v>7</v>
      </c>
      <c r="D11" s="7">
        <f>SUMIFS(FinishedData!$D:$D,FinishedData!$B:$B,"Game",FinishedData!$A:$A,"&gt;="&amp;D6,FinishedData!$A:$A,"&lt;"&amp;EDATE(D6,1))</f>
        <v>7</v>
      </c>
      <c r="E11" s="7">
        <f>SUMIFS(FinishedData!$D:$D,FinishedData!$B:$B,"Game",FinishedData!$A:$A,"&gt;="&amp;E6,FinishedData!$A:$A,"&lt;"&amp;EDATE(E6,1))</f>
        <v>8</v>
      </c>
      <c r="F11" s="7">
        <f>SUMIFS(FinishedData!$D:$D,FinishedData!$B:$B,"Game",FinishedData!$A:$A,"&gt;="&amp;F6,FinishedData!$A:$A,"&lt;"&amp;EDATE(F6,1))</f>
        <v>9</v>
      </c>
      <c r="G11" s="7">
        <f>SUMIFS(FinishedData!$D:$D,FinishedData!$B:$B,"Game",FinishedData!$A:$A,"&gt;="&amp;G6,FinishedData!$A:$A,"&lt;"&amp;EDATE(G6,1))</f>
        <v>8</v>
      </c>
      <c r="H11" s="7">
        <f>SUMIFS(FinishedData!$D:$D,FinishedData!$B:$B,"Game",FinishedData!$A:$A,"&gt;="&amp;H6,FinishedData!$A:$A,"&lt;"&amp;EDATE(H6,1))</f>
        <v>7</v>
      </c>
      <c r="I11" s="7">
        <f>SUMIFS(FinishedData!$D:$D,FinishedData!$B:$B,"Game",FinishedData!$A:$A,"&gt;="&amp;I6,FinishedData!$A:$A,"&lt;"&amp;EDATE(I6,1))</f>
        <v>8</v>
      </c>
      <c r="J11" s="7">
        <f>SUMIFS(FinishedData!$D:$D,FinishedData!$B:$B,"Game",FinishedData!$A:$A,"&gt;="&amp;J6,FinishedData!$A:$A,"&lt;"&amp;EDATE(J6,1))</f>
        <v>7</v>
      </c>
      <c r="K11" s="7">
        <f>SUMIFS(FinishedData!$D:$D,FinishedData!$B:$B,"Game",FinishedData!$A:$A,"&gt;="&amp;K6,FinishedData!$A:$A,"&lt;"&amp;EDATE(K6,1))</f>
        <v>9</v>
      </c>
      <c r="L11" s="7">
        <f>SUMIFS(FinishedData!$D:$D,FinishedData!$B:$B,"Game",FinishedData!$A:$A,"&gt;="&amp;L6,FinishedData!$A:$A,"&lt;"&amp;EDATE(L6,1))</f>
        <v>6</v>
      </c>
      <c r="M11" s="7">
        <f>SUMIFS(FinishedData!$D:$D,FinishedData!$B:$B,"Game",FinishedData!$A:$A,"&gt;="&amp;M6,FinishedData!$A:$A,"&lt;"&amp;EDATE(M6,1))</f>
        <v>9</v>
      </c>
      <c r="N11" s="56">
        <f t="shared" ref="N11:N14" si="3">SUM(B11:M11)</f>
        <v>94</v>
      </c>
      <c r="O11" s="2"/>
      <c r="P11" s="2"/>
      <c r="Q11" s="2"/>
      <c r="R11" s="2"/>
      <c r="S11" s="2"/>
      <c r="T11" s="2"/>
      <c r="U11" s="2"/>
      <c r="V11" s="2"/>
      <c r="W11" s="2"/>
      <c r="X11" s="2"/>
      <c r="Y11" s="2"/>
      <c r="Z11" s="2"/>
    </row>
    <row r="12" ht="18.75" customHeight="1">
      <c r="A12" s="44" t="s">
        <v>41</v>
      </c>
      <c r="B12" s="7">
        <f>SUMIFS(FinishedData!$D:$D,FinishedData!$B:$B,"Practice",FinishedData!$A:$A,"&gt;="&amp;B6,FinishedData!$A:$A,"&lt;"&amp;EDATE(B6,1))</f>
        <v>14</v>
      </c>
      <c r="C12" s="7">
        <f>SUMIFS(FinishedData!$D:$D,FinishedData!$B:$B,"Practice",FinishedData!$A:$A,"&gt;="&amp;C6,FinishedData!$A:$A,"&lt;"&amp;EDATE(C6,1))</f>
        <v>16</v>
      </c>
      <c r="D12" s="7">
        <f>SUMIFS(FinishedData!$D:$D,FinishedData!$B:$B,"Practice",FinishedData!$A:$A,"&gt;="&amp;D6,FinishedData!$A:$A,"&lt;"&amp;EDATE(D6,1))</f>
        <v>16</v>
      </c>
      <c r="E12" s="7">
        <f>SUMIFS(FinishedData!$D:$D,FinishedData!$B:$B,"Practice",FinishedData!$A:$A,"&gt;="&amp;E6,FinishedData!$A:$A,"&lt;"&amp;EDATE(E6,1))</f>
        <v>16</v>
      </c>
      <c r="F12" s="7">
        <f>SUMIFS(FinishedData!$D:$D,FinishedData!$B:$B,"Practice",FinishedData!$A:$A,"&gt;="&amp;F6,FinishedData!$A:$A,"&lt;"&amp;EDATE(F6,1))</f>
        <v>15</v>
      </c>
      <c r="G12" s="7">
        <f>SUMIFS(FinishedData!$D:$D,FinishedData!$B:$B,"Practice",FinishedData!$A:$A,"&gt;="&amp;G6,FinishedData!$A:$A,"&lt;"&amp;EDATE(G6,1))</f>
        <v>15</v>
      </c>
      <c r="H12" s="7">
        <f>SUMIFS(FinishedData!$D:$D,FinishedData!$B:$B,"Practice",FinishedData!$A:$A,"&gt;="&amp;H6,FinishedData!$A:$A,"&lt;"&amp;EDATE(H6,1))</f>
        <v>16</v>
      </c>
      <c r="I12" s="7">
        <f>SUMIFS(FinishedData!$D:$D,FinishedData!$B:$B,"Practice",FinishedData!$A:$A,"&gt;="&amp;I6,FinishedData!$A:$A,"&lt;"&amp;EDATE(I6,1))</f>
        <v>16</v>
      </c>
      <c r="J12" s="7">
        <f>SUMIFS(FinishedData!$D:$D,FinishedData!$B:$B,"Practice",FinishedData!$A:$A,"&gt;="&amp;J6,FinishedData!$A:$A,"&lt;"&amp;EDATE(J6,1))</f>
        <v>15</v>
      </c>
      <c r="K12" s="7">
        <f>SUMIFS(FinishedData!$D:$D,FinishedData!$B:$B,"Practice",FinishedData!$A:$A,"&gt;="&amp;K6,FinishedData!$A:$A,"&lt;"&amp;EDATE(K6,1))</f>
        <v>16</v>
      </c>
      <c r="L12" s="7">
        <f>SUMIFS(FinishedData!$D:$D,FinishedData!$B:$B,"Practice",FinishedData!$A:$A,"&gt;="&amp;L6,FinishedData!$A:$A,"&lt;"&amp;EDATE(L6,1))</f>
        <v>14</v>
      </c>
      <c r="M12" s="7">
        <f>SUMIFS(FinishedData!$D:$D,FinishedData!$B:$B,"Practice",FinishedData!$A:$A,"&gt;="&amp;M6,FinishedData!$A:$A,"&lt;"&amp;EDATE(M6,1))</f>
        <v>15</v>
      </c>
      <c r="N12" s="56">
        <f t="shared" si="3"/>
        <v>184</v>
      </c>
      <c r="O12" s="2"/>
      <c r="P12" s="2"/>
      <c r="Q12" s="2"/>
      <c r="R12" s="2"/>
      <c r="S12" s="2"/>
      <c r="T12" s="2"/>
      <c r="U12" s="2"/>
      <c r="V12" s="2"/>
      <c r="W12" s="2"/>
      <c r="X12" s="2"/>
      <c r="Y12" s="2"/>
      <c r="Z12" s="2"/>
    </row>
    <row r="13" ht="18.75" customHeight="1">
      <c r="A13" s="44" t="s">
        <v>13</v>
      </c>
      <c r="B13" s="7">
        <f>SUMIFS(FinishedData!$D:$D,FinishedData!$B:$B,"Gym",FinishedData!$A:$A,"&gt;="&amp;B6,FinishedData!$A:$A,"&lt;"&amp;EDATE(B6,1))</f>
        <v>3</v>
      </c>
      <c r="C13" s="7">
        <f>SUMIFS(FinishedData!$D:$D,FinishedData!$B:$B,"Gym",FinishedData!$A:$A,"&gt;="&amp;C6,FinishedData!$A:$A,"&lt;"&amp;EDATE(C6,1))</f>
        <v>4</v>
      </c>
      <c r="D13" s="7">
        <f>SUMIFS(FinishedData!$D:$D,FinishedData!$B:$B,"Gym",FinishedData!$A:$A,"&gt;="&amp;D6,FinishedData!$A:$A,"&lt;"&amp;EDATE(D6,1))</f>
        <v>3</v>
      </c>
      <c r="E13" s="7">
        <f>SUMIFS(FinishedData!$D:$D,FinishedData!$B:$B,"Gym",FinishedData!$A:$A,"&gt;="&amp;E6,FinishedData!$A:$A,"&lt;"&amp;EDATE(E6,1))</f>
        <v>3</v>
      </c>
      <c r="F13" s="7">
        <f>SUMIFS(FinishedData!$D:$D,FinishedData!$B:$B,"Gym",FinishedData!$A:$A,"&gt;="&amp;F6,FinishedData!$A:$A,"&lt;"&amp;EDATE(F6,1))</f>
        <v>3</v>
      </c>
      <c r="G13" s="7">
        <f>SUMIFS(FinishedData!$D:$D,FinishedData!$B:$B,"Gym",FinishedData!$A:$A,"&gt;="&amp;G6,FinishedData!$A:$A,"&lt;"&amp;EDATE(G6,1))</f>
        <v>3</v>
      </c>
      <c r="H13" s="7">
        <f>SUMIFS(FinishedData!$D:$D,FinishedData!$B:$B,"Gym",FinishedData!$A:$A,"&gt;="&amp;H6,FinishedData!$A:$A,"&lt;"&amp;EDATE(H6,1))</f>
        <v>3</v>
      </c>
      <c r="I13" s="7">
        <f>SUMIFS(FinishedData!$D:$D,FinishedData!$B:$B,"Gym",FinishedData!$A:$A,"&gt;="&amp;I6,FinishedData!$A:$A,"&lt;"&amp;EDATE(I6,1))</f>
        <v>3</v>
      </c>
      <c r="J13" s="7">
        <f>SUMIFS(FinishedData!$D:$D,FinishedData!$B:$B,"Gym",FinishedData!$A:$A,"&gt;="&amp;J6,FinishedData!$A:$A,"&lt;"&amp;EDATE(J6,1))</f>
        <v>4</v>
      </c>
      <c r="K13" s="7">
        <f>SUMIFS(FinishedData!$D:$D,FinishedData!$B:$B,"Gym",FinishedData!$A:$A,"&gt;="&amp;K6,FinishedData!$A:$A,"&lt;"&amp;EDATE(K6,1))</f>
        <v>2</v>
      </c>
      <c r="L13" s="7">
        <f>SUMIFS(FinishedData!$D:$D,FinishedData!$B:$B,"Gym",FinishedData!$A:$A,"&gt;="&amp;L6,FinishedData!$A:$A,"&lt;"&amp;EDATE(L6,1))</f>
        <v>4</v>
      </c>
      <c r="M13" s="7">
        <f>SUMIFS(FinishedData!$D:$D,FinishedData!$B:$B,"Gym",FinishedData!$A:$A,"&gt;="&amp;M6,FinishedData!$A:$A,"&lt;"&amp;EDATE(M6,1))</f>
        <v>3</v>
      </c>
      <c r="N13" s="56">
        <f t="shared" si="3"/>
        <v>38</v>
      </c>
      <c r="O13" s="2"/>
      <c r="P13" s="2"/>
      <c r="Q13" s="2"/>
      <c r="R13" s="2"/>
      <c r="S13" s="2"/>
      <c r="T13" s="2"/>
      <c r="U13" s="2"/>
      <c r="V13" s="2"/>
      <c r="W13" s="2"/>
      <c r="X13" s="2"/>
      <c r="Y13" s="2"/>
      <c r="Z13" s="2"/>
    </row>
    <row r="14" ht="18.75" customHeight="1">
      <c r="A14" s="44" t="s">
        <v>16</v>
      </c>
      <c r="B14" s="7">
        <f>SUMIFS(FinishedData!$D:$D,FinishedData!$B:$B,"Off",FinishedData!$A:$A,"&gt;="&amp;B6,FinishedData!$A:$A,"&lt;"&amp;EDATE(B6,1))</f>
        <v>4</v>
      </c>
      <c r="C14" s="7">
        <f>SUMIFS(FinishedData!$D:$D,FinishedData!$B:$B,"Off",FinishedData!$A:$A,"&gt;="&amp;C6,FinishedData!$A:$A,"&lt;"&amp;EDATE(C6,1))</f>
        <v>4</v>
      </c>
      <c r="D14" s="7">
        <f>SUMIFS(FinishedData!$D:$D,FinishedData!$B:$B,"Off",FinishedData!$A:$A,"&gt;="&amp;D6,FinishedData!$A:$A,"&lt;"&amp;EDATE(D6,1))</f>
        <v>4</v>
      </c>
      <c r="E14" s="7">
        <f>SUMIFS(FinishedData!$D:$D,FinishedData!$B:$B,"Off",FinishedData!$A:$A,"&gt;="&amp;E6,FinishedData!$A:$A,"&lt;"&amp;EDATE(E6,1))</f>
        <v>4</v>
      </c>
      <c r="F14" s="7">
        <f>SUMIFS(FinishedData!$D:$D,FinishedData!$B:$B,"Off",FinishedData!$A:$A,"&gt;="&amp;F6,FinishedData!$A:$A,"&lt;"&amp;EDATE(F6,1))</f>
        <v>4</v>
      </c>
      <c r="G14" s="7">
        <f>SUMIFS(FinishedData!$D:$D,FinishedData!$B:$B,"Off",FinishedData!$A:$A,"&gt;="&amp;G6,FinishedData!$A:$A,"&lt;"&amp;EDATE(G6,1))</f>
        <v>4</v>
      </c>
      <c r="H14" s="7">
        <f>SUMIFS(FinishedData!$D:$D,FinishedData!$B:$B,"Off",FinishedData!$A:$A,"&gt;="&amp;H6,FinishedData!$A:$A,"&lt;"&amp;EDATE(H6,1))</f>
        <v>5</v>
      </c>
      <c r="I14" s="7">
        <f>SUMIFS(FinishedData!$D:$D,FinishedData!$B:$B,"Off",FinishedData!$A:$A,"&gt;="&amp;I6,FinishedData!$A:$A,"&lt;"&amp;EDATE(I6,1))</f>
        <v>3</v>
      </c>
      <c r="J14" s="7">
        <f>SUMIFS(FinishedData!$D:$D,FinishedData!$B:$B,"Off",FinishedData!$A:$A,"&gt;="&amp;J6,FinishedData!$A:$A,"&lt;"&amp;EDATE(J6,1))</f>
        <v>5</v>
      </c>
      <c r="K14" s="7">
        <f>SUMIFS(FinishedData!$D:$D,FinishedData!$B:$B,"Off",FinishedData!$A:$A,"&gt;="&amp;K6,FinishedData!$A:$A,"&lt;"&amp;EDATE(K6,1))</f>
        <v>4</v>
      </c>
      <c r="L14" s="7">
        <f>SUMIFS(FinishedData!$D:$D,FinishedData!$B:$B,"Off",FinishedData!$A:$A,"&gt;="&amp;L6,FinishedData!$A:$A,"&lt;"&amp;EDATE(L6,1))</f>
        <v>4</v>
      </c>
      <c r="M14" s="7">
        <f>SUMIFS(FinishedData!$D:$D,FinishedData!$B:$B,"Off",FinishedData!$A:$A,"&gt;="&amp;M6,FinishedData!$A:$A,"&lt;"&amp;EDATE(M6,1))</f>
        <v>4</v>
      </c>
      <c r="N14" s="56">
        <f t="shared" si="3"/>
        <v>49</v>
      </c>
      <c r="O14" s="2"/>
      <c r="P14" s="2"/>
      <c r="Q14" s="2"/>
      <c r="R14" s="2"/>
      <c r="S14" s="2"/>
      <c r="T14" s="2"/>
      <c r="U14" s="2"/>
      <c r="V14" s="2"/>
      <c r="W14" s="2"/>
      <c r="X14" s="2"/>
      <c r="Y14" s="2"/>
      <c r="Z14" s="2"/>
    </row>
    <row r="15" ht="18.75" customHeight="1">
      <c r="A15" s="2"/>
      <c r="B15" s="7"/>
      <c r="C15" s="7"/>
      <c r="D15" s="7"/>
      <c r="E15" s="7"/>
      <c r="F15" s="7"/>
      <c r="G15" s="7"/>
      <c r="H15" s="7"/>
      <c r="I15" s="7"/>
      <c r="J15" s="7"/>
      <c r="K15" s="7"/>
      <c r="L15" s="7"/>
      <c r="M15" s="7"/>
      <c r="N15" s="7"/>
      <c r="O15" s="2"/>
      <c r="P15" s="2"/>
      <c r="Q15" s="2"/>
      <c r="R15" s="2"/>
      <c r="S15" s="2"/>
      <c r="T15" s="2"/>
      <c r="U15" s="2"/>
      <c r="V15" s="2"/>
      <c r="W15" s="2"/>
      <c r="X15" s="2"/>
      <c r="Y15" s="2"/>
      <c r="Z15" s="2"/>
    </row>
    <row r="16" ht="18.75" customHeight="1">
      <c r="A16" s="2"/>
      <c r="B16" s="53" t="str">
        <f>IF(YEAR(B17)&lt;&gt;YEAR(M17),CONCATENATE(YEAR(B17),"-",YEAR(M17)),YEAR(B17))</f>
        <v>2022-2023</v>
      </c>
      <c r="N16" s="53" t="s">
        <v>38</v>
      </c>
      <c r="O16" s="2"/>
      <c r="P16" s="2"/>
      <c r="Q16" s="2"/>
      <c r="R16" s="2"/>
      <c r="S16" s="2"/>
      <c r="T16" s="2"/>
      <c r="U16" s="2"/>
      <c r="V16" s="2"/>
      <c r="W16" s="2"/>
      <c r="X16" s="2"/>
      <c r="Y16" s="2"/>
      <c r="Z16" s="2"/>
    </row>
    <row r="17" ht="18.75" customHeight="1">
      <c r="A17" s="2"/>
      <c r="B17" s="54">
        <f>DATE(YEAR($H$3)+1,MONTH($H$3),1)</f>
        <v>44652</v>
      </c>
      <c r="C17" s="54">
        <f t="shared" ref="C17:M17" si="4">EDATE(B17,1)</f>
        <v>44682</v>
      </c>
      <c r="D17" s="54">
        <f t="shared" si="4"/>
        <v>44713</v>
      </c>
      <c r="E17" s="54">
        <f t="shared" si="4"/>
        <v>44743</v>
      </c>
      <c r="F17" s="54">
        <f t="shared" si="4"/>
        <v>44774</v>
      </c>
      <c r="G17" s="54">
        <f t="shared" si="4"/>
        <v>44805</v>
      </c>
      <c r="H17" s="54">
        <f t="shared" si="4"/>
        <v>44835</v>
      </c>
      <c r="I17" s="54">
        <f t="shared" si="4"/>
        <v>44866</v>
      </c>
      <c r="J17" s="54">
        <f t="shared" si="4"/>
        <v>44896</v>
      </c>
      <c r="K17" s="54">
        <f t="shared" si="4"/>
        <v>44927</v>
      </c>
      <c r="L17" s="54">
        <f t="shared" si="4"/>
        <v>44958</v>
      </c>
      <c r="M17" s="54">
        <f t="shared" si="4"/>
        <v>44986</v>
      </c>
      <c r="O17" s="2"/>
      <c r="P17" s="2"/>
      <c r="Q17" s="2"/>
      <c r="R17" s="2"/>
      <c r="S17" s="2"/>
      <c r="T17" s="2"/>
      <c r="U17" s="2"/>
      <c r="V17" s="2"/>
      <c r="W17" s="2"/>
      <c r="X17" s="2"/>
      <c r="Y17" s="2"/>
      <c r="Z17" s="2"/>
    </row>
    <row r="18" ht="7.5" customHeight="1">
      <c r="A18" s="44"/>
      <c r="B18" s="7"/>
      <c r="C18" s="7"/>
      <c r="D18" s="7"/>
      <c r="E18" s="7"/>
      <c r="F18" s="7"/>
      <c r="G18" s="7"/>
      <c r="H18" s="7"/>
      <c r="I18" s="7"/>
      <c r="J18" s="7"/>
      <c r="K18" s="7"/>
      <c r="L18" s="7"/>
      <c r="M18" s="7"/>
      <c r="N18" s="7"/>
      <c r="O18" s="2"/>
      <c r="P18" s="2"/>
      <c r="Q18" s="2"/>
      <c r="R18" s="2"/>
      <c r="S18" s="2"/>
      <c r="T18" s="2"/>
      <c r="U18" s="2"/>
      <c r="V18" s="2"/>
      <c r="W18" s="2"/>
      <c r="X18" s="2"/>
      <c r="Y18" s="2"/>
      <c r="Z18" s="2"/>
    </row>
    <row r="19" ht="75.0" customHeight="1">
      <c r="A19" s="55" t="str">
        <f>IFERROR("1st Half: "&amp;TEXT(SUM(B20:G20)/$N20,"0.0%"),"")</f>
        <v>1st Half: 49.5%</v>
      </c>
      <c r="B19" s="7"/>
      <c r="N19" s="55" t="str">
        <f>IFERROR("2nd Half: "&amp;TEXT(SUM(H20:M20)/$N20,"0.0%"),"")</f>
        <v>2nd Half: 50.5%</v>
      </c>
      <c r="O19" s="2"/>
      <c r="P19" s="2"/>
      <c r="Q19" s="2"/>
      <c r="R19" s="2"/>
      <c r="S19" s="2"/>
      <c r="T19" s="2"/>
      <c r="U19" s="2"/>
      <c r="V19" s="2"/>
      <c r="W19" s="2"/>
      <c r="X19" s="2"/>
      <c r="Y19" s="2"/>
      <c r="Z19" s="2"/>
    </row>
    <row r="20" ht="18.75" customHeight="1">
      <c r="A20" s="44" t="s">
        <v>12</v>
      </c>
      <c r="B20" s="7">
        <f>SUMIFS(FinishedData!$C:$C,FinishedData!$A:$A,"&gt;="&amp;B17,FinishedData!$A:$A,"&lt;"&amp;EDATE(B17,1))</f>
        <v>19955</v>
      </c>
      <c r="C20" s="7">
        <f>SUMIFS(FinishedData!$C:$C,FinishedData!$A:$A,"&gt;="&amp;C17,FinishedData!$A:$A,"&lt;"&amp;EDATE(C17,1))</f>
        <v>20190</v>
      </c>
      <c r="D20" s="7">
        <f>SUMIFS(FinishedData!$C:$C,FinishedData!$A:$A,"&gt;="&amp;D17,FinishedData!$A:$A,"&lt;"&amp;EDATE(D17,1))</f>
        <v>20760</v>
      </c>
      <c r="E20" s="7">
        <f>SUMIFS(FinishedData!$C:$C,FinishedData!$A:$A,"&gt;="&amp;E17,FinishedData!$A:$A,"&lt;"&amp;EDATE(E17,1))</f>
        <v>19955</v>
      </c>
      <c r="F20" s="7">
        <f>SUMIFS(FinishedData!$C:$C,FinishedData!$A:$A,"&gt;="&amp;F17,FinishedData!$A:$A,"&lt;"&amp;EDATE(F17,1))</f>
        <v>19610</v>
      </c>
      <c r="G20" s="7">
        <f>SUMIFS(FinishedData!$C:$C,FinishedData!$A:$A,"&gt;="&amp;G17,FinishedData!$A:$A,"&lt;"&amp;EDATE(G17,1))</f>
        <v>19220</v>
      </c>
      <c r="H20" s="7">
        <f>SUMIFS(FinishedData!$C:$C,FinishedData!$A:$A,"&gt;="&amp;H17,FinishedData!$A:$A,"&lt;"&amp;EDATE(H17,1))</f>
        <v>22025</v>
      </c>
      <c r="I20" s="7">
        <f>SUMIFS(FinishedData!$C:$C,FinishedData!$A:$A,"&gt;="&amp;I17,FinishedData!$A:$A,"&lt;"&amp;EDATE(I17,1))</f>
        <v>20105</v>
      </c>
      <c r="J20" s="7">
        <f>SUMIFS(FinishedData!$C:$C,FinishedData!$A:$A,"&gt;="&amp;J17,FinishedData!$A:$A,"&lt;"&amp;EDATE(J17,1))</f>
        <v>19295</v>
      </c>
      <c r="K20" s="7">
        <f>SUMIFS(FinishedData!$C:$C,FinishedData!$A:$A,"&gt;="&amp;K17,FinishedData!$A:$A,"&lt;"&amp;EDATE(K17,1))</f>
        <v>21535</v>
      </c>
      <c r="L20" s="7">
        <f>SUMIFS(FinishedData!$C:$C,FinishedData!$A:$A,"&gt;="&amp;L17,FinishedData!$A:$A,"&lt;"&amp;EDATE(L17,1))</f>
        <v>18090</v>
      </c>
      <c r="M20" s="7">
        <f>SUMIFS(FinishedData!$C:$C,FinishedData!$A:$A,"&gt;="&amp;M17,FinishedData!$A:$A,"&lt;"&amp;EDATE(M17,1))</f>
        <v>21215</v>
      </c>
      <c r="N20" s="56">
        <f>SUM(B20:M20)</f>
        <v>241955</v>
      </c>
      <c r="O20" s="2"/>
      <c r="P20" s="2"/>
      <c r="Q20" s="2"/>
      <c r="R20" s="2"/>
      <c r="S20" s="2"/>
      <c r="T20" s="2"/>
      <c r="U20" s="2"/>
      <c r="V20" s="2"/>
      <c r="W20" s="2"/>
      <c r="X20" s="2"/>
      <c r="Y20" s="2"/>
      <c r="Z20" s="2"/>
    </row>
    <row r="21" ht="18.75" customHeight="1">
      <c r="A21" s="44" t="s">
        <v>39</v>
      </c>
      <c r="B21" s="57">
        <f t="shared" ref="B21:M21" si="5">B20/$N20</f>
        <v>0.08247401376</v>
      </c>
      <c r="C21" s="57">
        <f t="shared" si="5"/>
        <v>0.08344526875</v>
      </c>
      <c r="D21" s="57">
        <f t="shared" si="5"/>
        <v>0.08580107871</v>
      </c>
      <c r="E21" s="57">
        <f t="shared" si="5"/>
        <v>0.08247401376</v>
      </c>
      <c r="F21" s="57">
        <f t="shared" si="5"/>
        <v>0.08104812878</v>
      </c>
      <c r="G21" s="57">
        <f t="shared" si="5"/>
        <v>0.07943625881</v>
      </c>
      <c r="H21" s="57">
        <f t="shared" si="5"/>
        <v>0.09102932363</v>
      </c>
      <c r="I21" s="57">
        <f t="shared" si="5"/>
        <v>0.08309396375</v>
      </c>
      <c r="J21" s="57">
        <f t="shared" si="5"/>
        <v>0.0797462338</v>
      </c>
      <c r="K21" s="57">
        <f t="shared" si="5"/>
        <v>0.08900415366</v>
      </c>
      <c r="L21" s="57">
        <f t="shared" si="5"/>
        <v>0.07476596888</v>
      </c>
      <c r="M21" s="57">
        <f t="shared" si="5"/>
        <v>0.08768159368</v>
      </c>
      <c r="O21" s="2"/>
      <c r="P21" s="2"/>
      <c r="Q21" s="2"/>
      <c r="R21" s="2"/>
      <c r="S21" s="2"/>
      <c r="T21" s="2"/>
      <c r="U21" s="2"/>
      <c r="V21" s="2"/>
      <c r="W21" s="2"/>
      <c r="X21" s="2"/>
      <c r="Y21" s="2"/>
      <c r="Z21" s="2"/>
    </row>
    <row r="22" ht="18.75" customHeight="1">
      <c r="A22" s="44" t="s">
        <v>40</v>
      </c>
      <c r="B22" s="7">
        <f>SUMIFS(FinishedData!$D:$D,FinishedData!$B:$B,"Game",FinishedData!$A:$A,"&gt;="&amp;B17,FinishedData!$A:$A,"&lt;"&amp;EDATE(B17,1))</f>
        <v>7</v>
      </c>
      <c r="C22" s="7">
        <f>SUMIFS(FinishedData!$D:$D,FinishedData!$B:$B,"Game",FinishedData!$A:$A,"&gt;="&amp;C17,FinishedData!$A:$A,"&lt;"&amp;EDATE(C17,1))</f>
        <v>7</v>
      </c>
      <c r="D22" s="7">
        <f>SUMIFS(FinishedData!$D:$D,FinishedData!$B:$B,"Game",FinishedData!$A:$A,"&gt;="&amp;D17,FinishedData!$A:$A,"&lt;"&amp;EDATE(D17,1))</f>
        <v>8</v>
      </c>
      <c r="E22" s="7">
        <f>SUMIFS(FinishedData!$D:$D,FinishedData!$B:$B,"Game",FinishedData!$A:$A,"&gt;="&amp;E17,FinishedData!$A:$A,"&lt;"&amp;EDATE(E17,1))</f>
        <v>8</v>
      </c>
      <c r="F22" s="7">
        <f>SUMIFS(FinishedData!$D:$D,FinishedData!$B:$B,"Game",FinishedData!$A:$A,"&gt;="&amp;F17,FinishedData!$A:$A,"&lt;"&amp;EDATE(F17,1))</f>
        <v>9</v>
      </c>
      <c r="G22" s="7">
        <f>SUMIFS(FinishedData!$D:$D,FinishedData!$B:$B,"Game",FinishedData!$A:$A,"&gt;="&amp;G17,FinishedData!$A:$A,"&lt;"&amp;EDATE(G17,1))</f>
        <v>7</v>
      </c>
      <c r="H22" s="7">
        <f>SUMIFS(FinishedData!$D:$D,FinishedData!$B:$B,"Game",FinishedData!$A:$A,"&gt;="&amp;H17,FinishedData!$A:$A,"&lt;"&amp;EDATE(H17,1))</f>
        <v>8</v>
      </c>
      <c r="I22" s="7">
        <f>SUMIFS(FinishedData!$D:$D,FinishedData!$B:$B,"Game",FinishedData!$A:$A,"&gt;="&amp;I17,FinishedData!$A:$A,"&lt;"&amp;EDATE(I17,1))</f>
        <v>7</v>
      </c>
      <c r="J22" s="7">
        <f>SUMIFS(FinishedData!$D:$D,FinishedData!$B:$B,"Game",FinishedData!$A:$A,"&gt;="&amp;J17,FinishedData!$A:$A,"&lt;"&amp;EDATE(J17,1))</f>
        <v>9</v>
      </c>
      <c r="K22" s="7">
        <f>SUMIFS(FinishedData!$D:$D,FinishedData!$B:$B,"Game",FinishedData!$A:$A,"&gt;="&amp;K17,FinishedData!$A:$A,"&lt;"&amp;EDATE(K17,1))</f>
        <v>7</v>
      </c>
      <c r="L22" s="7">
        <f>SUMIFS(FinishedData!$D:$D,FinishedData!$B:$B,"Game",FinishedData!$A:$A,"&gt;="&amp;L17,FinishedData!$A:$A,"&lt;"&amp;EDATE(L17,1))</f>
        <v>8</v>
      </c>
      <c r="M22" s="7">
        <f>SUMIFS(FinishedData!$D:$D,FinishedData!$B:$B,"Game",FinishedData!$A:$A,"&gt;="&amp;M17,FinishedData!$A:$A,"&lt;"&amp;EDATE(M17,1))</f>
        <v>8</v>
      </c>
      <c r="N22" s="56">
        <f t="shared" ref="N22:N25" si="6">SUM(B22:M22)</f>
        <v>93</v>
      </c>
      <c r="O22" s="2"/>
      <c r="P22" s="2"/>
      <c r="Q22" s="2"/>
      <c r="R22" s="2"/>
      <c r="S22" s="2"/>
      <c r="T22" s="2"/>
      <c r="U22" s="2"/>
      <c r="V22" s="2"/>
      <c r="W22" s="2"/>
      <c r="X22" s="2"/>
      <c r="Y22" s="2"/>
      <c r="Z22" s="2"/>
    </row>
    <row r="23" ht="18.75" customHeight="1">
      <c r="A23" s="44" t="s">
        <v>41</v>
      </c>
      <c r="B23" s="7">
        <f>SUMIFS(FinishedData!$D:$D,FinishedData!$B:$B,"Practice",FinishedData!$A:$A,"&gt;="&amp;B17,FinishedData!$A:$A,"&lt;"&amp;EDATE(B17,1))</f>
        <v>16</v>
      </c>
      <c r="C23" s="7">
        <f>SUMIFS(FinishedData!$D:$D,FinishedData!$B:$B,"Practice",FinishedData!$A:$A,"&gt;="&amp;C17,FinishedData!$A:$A,"&lt;"&amp;EDATE(C17,1))</f>
        <v>16</v>
      </c>
      <c r="D23" s="7">
        <f>SUMIFS(FinishedData!$D:$D,FinishedData!$B:$B,"Practice",FinishedData!$A:$A,"&gt;="&amp;D17,FinishedData!$A:$A,"&lt;"&amp;EDATE(D17,1))</f>
        <v>15</v>
      </c>
      <c r="E23" s="7">
        <f>SUMIFS(FinishedData!$D:$D,FinishedData!$B:$B,"Practice",FinishedData!$A:$A,"&gt;="&amp;E17,FinishedData!$A:$A,"&lt;"&amp;EDATE(E17,1))</f>
        <v>16</v>
      </c>
      <c r="F23" s="7">
        <f>SUMIFS(FinishedData!$D:$D,FinishedData!$B:$B,"Practice",FinishedData!$A:$A,"&gt;="&amp;F17,FinishedData!$A:$A,"&lt;"&amp;EDATE(F17,1))</f>
        <v>15</v>
      </c>
      <c r="G23" s="7">
        <f>SUMIFS(FinishedData!$D:$D,FinishedData!$B:$B,"Practice",FinishedData!$A:$A,"&gt;="&amp;G17,FinishedData!$A:$A,"&lt;"&amp;EDATE(G17,1))</f>
        <v>15</v>
      </c>
      <c r="H23" s="7">
        <f>SUMIFS(FinishedData!$D:$D,FinishedData!$B:$B,"Practice",FinishedData!$A:$A,"&gt;="&amp;H17,FinishedData!$A:$A,"&lt;"&amp;EDATE(H17,1))</f>
        <v>17</v>
      </c>
      <c r="I23" s="7">
        <f>SUMIFS(FinishedData!$D:$D,FinishedData!$B:$B,"Practice",FinishedData!$A:$A,"&gt;="&amp;I17,FinishedData!$A:$A,"&lt;"&amp;EDATE(I17,1))</f>
        <v>15</v>
      </c>
      <c r="J23" s="7">
        <f>SUMIFS(FinishedData!$D:$D,FinishedData!$B:$B,"Practice",FinishedData!$A:$A,"&gt;="&amp;J17,FinishedData!$A:$A,"&lt;"&amp;EDATE(J17,1))</f>
        <v>15</v>
      </c>
      <c r="K23" s="7">
        <f>SUMIFS(FinishedData!$D:$D,FinishedData!$B:$B,"Practice",FinishedData!$A:$A,"&gt;="&amp;K17,FinishedData!$A:$A,"&lt;"&amp;EDATE(K17,1))</f>
        <v>16</v>
      </c>
      <c r="L23" s="7">
        <f>SUMIFS(FinishedData!$D:$D,FinishedData!$B:$B,"Practice",FinishedData!$A:$A,"&gt;="&amp;L17,FinishedData!$A:$A,"&lt;"&amp;EDATE(L17,1))</f>
        <v>13</v>
      </c>
      <c r="M23" s="7">
        <f>SUMIFS(FinishedData!$D:$D,FinishedData!$B:$B,"Practice",FinishedData!$A:$A,"&gt;="&amp;M17,FinishedData!$A:$A,"&lt;"&amp;EDATE(M17,1))</f>
        <v>17</v>
      </c>
      <c r="N23" s="56">
        <f t="shared" si="6"/>
        <v>186</v>
      </c>
      <c r="O23" s="2"/>
      <c r="P23" s="2"/>
      <c r="Q23" s="2"/>
      <c r="R23" s="2"/>
      <c r="S23" s="2"/>
      <c r="T23" s="2"/>
      <c r="U23" s="2"/>
      <c r="V23" s="2"/>
      <c r="W23" s="2"/>
      <c r="X23" s="2"/>
      <c r="Y23" s="2"/>
      <c r="Z23" s="2"/>
    </row>
    <row r="24" ht="18.75" customHeight="1">
      <c r="A24" s="44" t="s">
        <v>13</v>
      </c>
      <c r="B24" s="7">
        <f>SUMIFS(FinishedData!$D:$D,FinishedData!$B:$B,"Gym",FinishedData!$A:$A,"&gt;="&amp;B17,FinishedData!$A:$A,"&lt;"&amp;EDATE(B17,1))</f>
        <v>3</v>
      </c>
      <c r="C24" s="7">
        <f>SUMIFS(FinishedData!$D:$D,FinishedData!$B:$B,"Gym",FinishedData!$A:$A,"&gt;="&amp;C17,FinishedData!$A:$A,"&lt;"&amp;EDATE(C17,1))</f>
        <v>4</v>
      </c>
      <c r="D24" s="7">
        <f>SUMIFS(FinishedData!$D:$D,FinishedData!$B:$B,"Gym",FinishedData!$A:$A,"&gt;="&amp;D17,FinishedData!$A:$A,"&lt;"&amp;EDATE(D17,1))</f>
        <v>3</v>
      </c>
      <c r="E24" s="7">
        <f>SUMIFS(FinishedData!$D:$D,FinishedData!$B:$B,"Gym",FinishedData!$A:$A,"&gt;="&amp;E17,FinishedData!$A:$A,"&lt;"&amp;EDATE(E17,1))</f>
        <v>3</v>
      </c>
      <c r="F24" s="7">
        <f>SUMIFS(FinishedData!$D:$D,FinishedData!$B:$B,"Gym",FinishedData!$A:$A,"&gt;="&amp;F17,FinishedData!$A:$A,"&lt;"&amp;EDATE(F17,1))</f>
        <v>3</v>
      </c>
      <c r="G24" s="7">
        <f>SUMIFS(FinishedData!$D:$D,FinishedData!$B:$B,"Gym",FinishedData!$A:$A,"&gt;="&amp;G17,FinishedData!$A:$A,"&lt;"&amp;EDATE(G17,1))</f>
        <v>3</v>
      </c>
      <c r="H24" s="7">
        <f>SUMIFS(FinishedData!$D:$D,FinishedData!$B:$B,"Gym",FinishedData!$A:$A,"&gt;="&amp;H17,FinishedData!$A:$A,"&lt;"&amp;EDATE(H17,1))</f>
        <v>3</v>
      </c>
      <c r="I24" s="7">
        <f>SUMIFS(FinishedData!$D:$D,FinishedData!$B:$B,"Gym",FinishedData!$A:$A,"&gt;="&amp;I17,FinishedData!$A:$A,"&lt;"&amp;EDATE(I17,1))</f>
        <v>4</v>
      </c>
      <c r="J24" s="7">
        <f>SUMIFS(FinishedData!$D:$D,FinishedData!$B:$B,"Gym",FinishedData!$A:$A,"&gt;="&amp;J17,FinishedData!$A:$A,"&lt;"&amp;EDATE(J17,1))</f>
        <v>2</v>
      </c>
      <c r="K24" s="7">
        <f>SUMIFS(FinishedData!$D:$D,FinishedData!$B:$B,"Gym",FinishedData!$A:$A,"&gt;="&amp;K17,FinishedData!$A:$A,"&lt;"&amp;EDATE(K17,1))</f>
        <v>4</v>
      </c>
      <c r="L24" s="7">
        <f>SUMIFS(FinishedData!$D:$D,FinishedData!$B:$B,"Gym",FinishedData!$A:$A,"&gt;="&amp;L17,FinishedData!$A:$A,"&lt;"&amp;EDATE(L17,1))</f>
        <v>3</v>
      </c>
      <c r="M24" s="7">
        <f>SUMIFS(FinishedData!$D:$D,FinishedData!$B:$B,"Gym",FinishedData!$A:$A,"&gt;="&amp;M17,FinishedData!$A:$A,"&lt;"&amp;EDATE(M17,1))</f>
        <v>2</v>
      </c>
      <c r="N24" s="56">
        <f t="shared" si="6"/>
        <v>37</v>
      </c>
      <c r="O24" s="2"/>
      <c r="P24" s="2"/>
      <c r="Q24" s="2"/>
      <c r="R24" s="2"/>
      <c r="S24" s="2"/>
      <c r="T24" s="2"/>
      <c r="U24" s="2"/>
      <c r="V24" s="2"/>
      <c r="W24" s="2"/>
      <c r="X24" s="2"/>
      <c r="Y24" s="2"/>
      <c r="Z24" s="2"/>
    </row>
    <row r="25" ht="18.75" customHeight="1">
      <c r="A25" s="44" t="s">
        <v>16</v>
      </c>
      <c r="B25" s="7">
        <f>SUMIFS(FinishedData!$D:$D,FinishedData!$B:$B,"Off",FinishedData!$A:$A,"&gt;="&amp;B17,FinishedData!$A:$A,"&lt;"&amp;EDATE(B17,1))</f>
        <v>4</v>
      </c>
      <c r="C25" s="7">
        <f>SUMIFS(FinishedData!$D:$D,FinishedData!$B:$B,"Off",FinishedData!$A:$A,"&gt;="&amp;C17,FinishedData!$A:$A,"&lt;"&amp;EDATE(C17,1))</f>
        <v>4</v>
      </c>
      <c r="D25" s="7">
        <f>SUMIFS(FinishedData!$D:$D,FinishedData!$B:$B,"Off",FinishedData!$A:$A,"&gt;="&amp;D17,FinishedData!$A:$A,"&lt;"&amp;EDATE(D17,1))</f>
        <v>4</v>
      </c>
      <c r="E25" s="7">
        <f>SUMIFS(FinishedData!$D:$D,FinishedData!$B:$B,"Off",FinishedData!$A:$A,"&gt;="&amp;E17,FinishedData!$A:$A,"&lt;"&amp;EDATE(E17,1))</f>
        <v>4</v>
      </c>
      <c r="F25" s="7">
        <f>SUMIFS(FinishedData!$D:$D,FinishedData!$B:$B,"Off",FinishedData!$A:$A,"&gt;="&amp;F17,FinishedData!$A:$A,"&lt;"&amp;EDATE(F17,1))</f>
        <v>4</v>
      </c>
      <c r="G25" s="7">
        <f>SUMIFS(FinishedData!$D:$D,FinishedData!$B:$B,"Off",FinishedData!$A:$A,"&gt;="&amp;G17,FinishedData!$A:$A,"&lt;"&amp;EDATE(G17,1))</f>
        <v>5</v>
      </c>
      <c r="H25" s="7">
        <f>SUMIFS(FinishedData!$D:$D,FinishedData!$B:$B,"Off",FinishedData!$A:$A,"&gt;="&amp;H17,FinishedData!$A:$A,"&lt;"&amp;EDATE(H17,1))</f>
        <v>3</v>
      </c>
      <c r="I25" s="7">
        <f>SUMIFS(FinishedData!$D:$D,FinishedData!$B:$B,"Off",FinishedData!$A:$A,"&gt;="&amp;I17,FinishedData!$A:$A,"&lt;"&amp;EDATE(I17,1))</f>
        <v>4</v>
      </c>
      <c r="J25" s="7">
        <f>SUMIFS(FinishedData!$D:$D,FinishedData!$B:$B,"Off",FinishedData!$A:$A,"&gt;="&amp;J17,FinishedData!$A:$A,"&lt;"&amp;EDATE(J17,1))</f>
        <v>5</v>
      </c>
      <c r="K25" s="7">
        <f>SUMIFS(FinishedData!$D:$D,FinishedData!$B:$B,"Off",FinishedData!$A:$A,"&gt;="&amp;K17,FinishedData!$A:$A,"&lt;"&amp;EDATE(K17,1))</f>
        <v>4</v>
      </c>
      <c r="L25" s="7">
        <f>SUMIFS(FinishedData!$D:$D,FinishedData!$B:$B,"Off",FinishedData!$A:$A,"&gt;="&amp;L17,FinishedData!$A:$A,"&lt;"&amp;EDATE(L17,1))</f>
        <v>4</v>
      </c>
      <c r="M25" s="7">
        <f>SUMIFS(FinishedData!$D:$D,FinishedData!$B:$B,"Off",FinishedData!$A:$A,"&gt;="&amp;M17,FinishedData!$A:$A,"&lt;"&amp;EDATE(M17,1))</f>
        <v>4</v>
      </c>
      <c r="N25" s="56">
        <f t="shared" si="6"/>
        <v>49</v>
      </c>
      <c r="O25" s="2"/>
      <c r="P25" s="2"/>
      <c r="Q25" s="2"/>
      <c r="R25" s="2"/>
      <c r="S25" s="2"/>
      <c r="T25" s="2"/>
      <c r="U25" s="2"/>
      <c r="V25" s="2"/>
      <c r="W25" s="2"/>
      <c r="X25" s="2"/>
      <c r="Y25" s="2"/>
      <c r="Z25" s="2"/>
    </row>
    <row r="26" ht="18.75" customHeight="1">
      <c r="A26" s="2"/>
      <c r="B26" s="7"/>
      <c r="C26" s="7"/>
      <c r="D26" s="7"/>
      <c r="E26" s="7"/>
      <c r="F26" s="7"/>
      <c r="G26" s="7"/>
      <c r="H26" s="7"/>
      <c r="I26" s="7"/>
      <c r="J26" s="7"/>
      <c r="K26" s="7"/>
      <c r="L26" s="7"/>
      <c r="M26" s="7"/>
      <c r="N26" s="7"/>
      <c r="O26" s="2"/>
      <c r="P26" s="2"/>
      <c r="Q26" s="2"/>
      <c r="R26" s="2"/>
      <c r="S26" s="2"/>
      <c r="T26" s="2"/>
      <c r="U26" s="2"/>
      <c r="V26" s="2"/>
      <c r="W26" s="2"/>
      <c r="X26" s="2"/>
      <c r="Y26" s="2"/>
      <c r="Z26" s="2"/>
    </row>
    <row r="27" ht="18.75" customHeight="1">
      <c r="A27" s="2"/>
      <c r="B27" s="53" t="str">
        <f>IF(YEAR(B28)&lt;&gt;YEAR(M28),CONCATENATE(YEAR(B28),"-",YEAR(M28)),YEAR(B28))</f>
        <v>2023-2024</v>
      </c>
      <c r="N27" s="53" t="s">
        <v>38</v>
      </c>
      <c r="O27" s="2"/>
      <c r="P27" s="2"/>
      <c r="Q27" s="2"/>
      <c r="R27" s="2"/>
      <c r="S27" s="2"/>
      <c r="T27" s="2"/>
      <c r="U27" s="2"/>
      <c r="V27" s="2"/>
      <c r="W27" s="2"/>
      <c r="X27" s="2"/>
      <c r="Y27" s="2"/>
      <c r="Z27" s="2"/>
    </row>
    <row r="28" ht="18.75" customHeight="1">
      <c r="A28" s="2"/>
      <c r="B28" s="54">
        <f>DATE(YEAR($H$3)+2,MONTH($H$3),1)</f>
        <v>45017</v>
      </c>
      <c r="C28" s="54">
        <f t="shared" ref="C28:M28" si="7">EDATE(B28,1)</f>
        <v>45047</v>
      </c>
      <c r="D28" s="54">
        <f t="shared" si="7"/>
        <v>45078</v>
      </c>
      <c r="E28" s="54">
        <f t="shared" si="7"/>
        <v>45108</v>
      </c>
      <c r="F28" s="54">
        <f t="shared" si="7"/>
        <v>45139</v>
      </c>
      <c r="G28" s="54">
        <f t="shared" si="7"/>
        <v>45170</v>
      </c>
      <c r="H28" s="54">
        <f t="shared" si="7"/>
        <v>45200</v>
      </c>
      <c r="I28" s="54">
        <f t="shared" si="7"/>
        <v>45231</v>
      </c>
      <c r="J28" s="54">
        <f t="shared" si="7"/>
        <v>45261</v>
      </c>
      <c r="K28" s="54">
        <f t="shared" si="7"/>
        <v>45292</v>
      </c>
      <c r="L28" s="54">
        <f t="shared" si="7"/>
        <v>45323</v>
      </c>
      <c r="M28" s="54">
        <f t="shared" si="7"/>
        <v>45352</v>
      </c>
      <c r="O28" s="2"/>
      <c r="P28" s="2"/>
      <c r="Q28" s="2"/>
      <c r="R28" s="2"/>
      <c r="S28" s="2"/>
      <c r="T28" s="2"/>
      <c r="U28" s="2"/>
      <c r="V28" s="2"/>
      <c r="W28" s="2"/>
      <c r="X28" s="2"/>
      <c r="Y28" s="2"/>
      <c r="Z28" s="2"/>
    </row>
    <row r="29" ht="7.5" customHeight="1">
      <c r="A29" s="44"/>
      <c r="B29" s="7"/>
      <c r="C29" s="7"/>
      <c r="D29" s="7"/>
      <c r="E29" s="7"/>
      <c r="F29" s="7"/>
      <c r="G29" s="7"/>
      <c r="H29" s="7"/>
      <c r="I29" s="7"/>
      <c r="J29" s="7"/>
      <c r="K29" s="7"/>
      <c r="L29" s="7"/>
      <c r="M29" s="7"/>
      <c r="N29" s="7"/>
      <c r="O29" s="2"/>
      <c r="P29" s="2"/>
      <c r="Q29" s="2"/>
      <c r="R29" s="2"/>
      <c r="S29" s="2"/>
      <c r="T29" s="2"/>
      <c r="U29" s="2"/>
      <c r="V29" s="2"/>
      <c r="W29" s="2"/>
      <c r="X29" s="2"/>
      <c r="Y29" s="2"/>
      <c r="Z29" s="2"/>
    </row>
    <row r="30" ht="75.0" customHeight="1">
      <c r="A30" s="55" t="str">
        <f>IFERROR("1st Half: "&amp;TEXT(SUM(B31:G31)/$N31,"0.0%"),"")</f>
        <v>1st Half: 100.0%</v>
      </c>
      <c r="B30" s="7"/>
      <c r="N30" s="55" t="str">
        <f>IFERROR("2nd Half: "&amp;TEXT(SUM(H31:M31)/$N31,"0.0%"),"")</f>
        <v>2nd Half: 0.0%</v>
      </c>
      <c r="O30" s="2"/>
      <c r="P30" s="2"/>
      <c r="Q30" s="2"/>
      <c r="R30" s="2"/>
      <c r="S30" s="2"/>
      <c r="T30" s="2"/>
      <c r="U30" s="2"/>
      <c r="V30" s="2"/>
      <c r="W30" s="2"/>
      <c r="X30" s="2"/>
      <c r="Y30" s="2"/>
      <c r="Z30" s="2"/>
    </row>
    <row r="31" ht="18.75" customHeight="1">
      <c r="A31" s="44" t="s">
        <v>12</v>
      </c>
      <c r="B31" s="7">
        <f>SUMIFS(FinishedData!$C:$C,FinishedData!$A:$A,"&gt;="&amp;B28,FinishedData!$A:$A,"&lt;"&amp;EDATE(B28,1))</f>
        <v>16620</v>
      </c>
      <c r="C31" s="7">
        <f>SUMIFS(FinishedData!$C:$C,FinishedData!$A:$A,"&gt;="&amp;C28,FinishedData!$A:$A,"&lt;"&amp;EDATE(C28,1))</f>
        <v>19540</v>
      </c>
      <c r="D31" s="7">
        <f>SUMIFS(FinishedData!$C:$C,FinishedData!$A:$A,"&gt;="&amp;D28,FinishedData!$A:$A,"&lt;"&amp;EDATE(D28,1))</f>
        <v>18765</v>
      </c>
      <c r="E31" s="7">
        <f>SUMIFS(FinishedData!$C:$C,FinishedData!$A:$A,"&gt;="&amp;E28,FinishedData!$A:$A,"&lt;"&amp;EDATE(E28,1))</f>
        <v>20425</v>
      </c>
      <c r="F31" s="7">
        <f>SUMIFS(FinishedData!$C:$C,FinishedData!$A:$A,"&gt;="&amp;F28,FinishedData!$A:$A,"&lt;"&amp;EDATE(F28,1))</f>
        <v>20190</v>
      </c>
      <c r="G31" s="7">
        <f>SUMIFS(FinishedData!$C:$C,FinishedData!$A:$A,"&gt;="&amp;G28,FinishedData!$A:$A,"&lt;"&amp;EDATE(G28,1))</f>
        <v>18310</v>
      </c>
      <c r="H31" s="7">
        <f>SUMIFS(FinishedData!$C:$C,FinishedData!$A:$A,"&gt;="&amp;H28,FinishedData!$A:$A,"&lt;"&amp;EDATE(H28,1))</f>
        <v>0</v>
      </c>
      <c r="I31" s="7">
        <f>SUMIFS(FinishedData!$C:$C,FinishedData!$A:$A,"&gt;="&amp;I28,FinishedData!$A:$A,"&lt;"&amp;EDATE(I28,1))</f>
        <v>0</v>
      </c>
      <c r="J31" s="7">
        <f>SUMIFS(FinishedData!$C:$C,FinishedData!$A:$A,"&gt;="&amp;J28,FinishedData!$A:$A,"&lt;"&amp;EDATE(J28,1))</f>
        <v>0</v>
      </c>
      <c r="K31" s="7">
        <f>SUMIFS(FinishedData!$C:$C,FinishedData!$A:$A,"&gt;="&amp;K28,FinishedData!$A:$A,"&lt;"&amp;EDATE(K28,1))</f>
        <v>0</v>
      </c>
      <c r="L31" s="7">
        <f>SUMIFS(FinishedData!$C:$C,FinishedData!$A:$A,"&gt;="&amp;L28,FinishedData!$A:$A,"&lt;"&amp;EDATE(L28,1))</f>
        <v>0</v>
      </c>
      <c r="M31" s="7">
        <f>SUMIFS(FinishedData!$C:$C,FinishedData!$A:$A,"&gt;="&amp;M28,FinishedData!$A:$A,"&lt;"&amp;EDATE(M28,1))</f>
        <v>0</v>
      </c>
      <c r="N31" s="56">
        <f>SUM(B31:M31)</f>
        <v>113850</v>
      </c>
      <c r="O31" s="2"/>
      <c r="P31" s="2"/>
      <c r="Q31" s="2"/>
      <c r="R31" s="2"/>
      <c r="S31" s="2"/>
      <c r="T31" s="2"/>
      <c r="U31" s="2"/>
      <c r="V31" s="2"/>
      <c r="W31" s="2"/>
      <c r="X31" s="2"/>
      <c r="Y31" s="2"/>
      <c r="Z31" s="2"/>
    </row>
    <row r="32" ht="18.75" customHeight="1">
      <c r="A32" s="44" t="s">
        <v>39</v>
      </c>
      <c r="B32" s="57">
        <f t="shared" ref="B32:M32" si="8">B31/$N31</f>
        <v>0.1459815547</v>
      </c>
      <c r="C32" s="57">
        <f t="shared" si="8"/>
        <v>0.1716293368</v>
      </c>
      <c r="D32" s="57">
        <f t="shared" si="8"/>
        <v>0.1648221344</v>
      </c>
      <c r="E32" s="57">
        <f t="shared" si="8"/>
        <v>0.1794027229</v>
      </c>
      <c r="F32" s="57">
        <f t="shared" si="8"/>
        <v>0.1773386034</v>
      </c>
      <c r="G32" s="57">
        <f t="shared" si="8"/>
        <v>0.1608256478</v>
      </c>
      <c r="H32" s="57">
        <f t="shared" si="8"/>
        <v>0</v>
      </c>
      <c r="I32" s="57">
        <f t="shared" si="8"/>
        <v>0</v>
      </c>
      <c r="J32" s="57">
        <f t="shared" si="8"/>
        <v>0</v>
      </c>
      <c r="K32" s="57">
        <f t="shared" si="8"/>
        <v>0</v>
      </c>
      <c r="L32" s="57">
        <f t="shared" si="8"/>
        <v>0</v>
      </c>
      <c r="M32" s="57">
        <f t="shared" si="8"/>
        <v>0</v>
      </c>
      <c r="O32" s="2"/>
      <c r="P32" s="2"/>
      <c r="Q32" s="2"/>
      <c r="R32" s="2"/>
      <c r="S32" s="2"/>
      <c r="T32" s="2"/>
      <c r="U32" s="2"/>
      <c r="V32" s="2"/>
      <c r="W32" s="2"/>
      <c r="X32" s="2"/>
      <c r="Y32" s="2"/>
      <c r="Z32" s="2"/>
    </row>
    <row r="33" ht="18.75" customHeight="1">
      <c r="A33" s="44" t="s">
        <v>40</v>
      </c>
      <c r="B33" s="7">
        <f>SUMIFS(FinishedData!$D:$D,FinishedData!$B:$B,"Game",FinishedData!$A:$A,"&gt;="&amp;B28,FinishedData!$A:$A,"&lt;"&amp;EDATE(B28,1))</f>
        <v>6</v>
      </c>
      <c r="C33" s="7">
        <f>SUMIFS(FinishedData!$D:$D,FinishedData!$B:$B,"Game",FinishedData!$A:$A,"&gt;="&amp;C28,FinishedData!$A:$A,"&lt;"&amp;EDATE(C28,1))</f>
        <v>8</v>
      </c>
      <c r="D33" s="7">
        <f>SUMIFS(FinishedData!$D:$D,FinishedData!$B:$B,"Game",FinishedData!$A:$A,"&gt;="&amp;D28,FinishedData!$A:$A,"&lt;"&amp;EDATE(D28,1))</f>
        <v>8</v>
      </c>
      <c r="E33" s="7">
        <f>SUMIFS(FinishedData!$D:$D,FinishedData!$B:$B,"Game",FinishedData!$A:$A,"&gt;="&amp;E28,FinishedData!$A:$A,"&lt;"&amp;EDATE(E28,1))</f>
        <v>8</v>
      </c>
      <c r="F33" s="7">
        <f>SUMIFS(FinishedData!$D:$D,FinishedData!$B:$B,"Game",FinishedData!$A:$A,"&gt;="&amp;F28,FinishedData!$A:$A,"&lt;"&amp;EDATE(F28,1))</f>
        <v>8</v>
      </c>
      <c r="G33" s="7">
        <f>SUMIFS(FinishedData!$D:$D,FinishedData!$B:$B,"Game",FinishedData!$A:$A,"&gt;="&amp;G28,FinishedData!$A:$A,"&lt;"&amp;EDATE(G28,1))</f>
        <v>7</v>
      </c>
      <c r="H33" s="7">
        <f>SUMIFS(FinishedData!$D:$D,FinishedData!$B:$B,"Game",FinishedData!$A:$A,"&gt;="&amp;H28,FinishedData!$A:$A,"&lt;"&amp;EDATE(H28,1))</f>
        <v>0</v>
      </c>
      <c r="I33" s="7">
        <f>SUMIFS(FinishedData!$D:$D,FinishedData!$B:$B,"Game",FinishedData!$A:$A,"&gt;="&amp;I28,FinishedData!$A:$A,"&lt;"&amp;EDATE(I28,1))</f>
        <v>0</v>
      </c>
      <c r="J33" s="7">
        <f>SUMIFS(FinishedData!$D:$D,FinishedData!$B:$B,"Game",FinishedData!$A:$A,"&gt;="&amp;J28,FinishedData!$A:$A,"&lt;"&amp;EDATE(J28,1))</f>
        <v>0</v>
      </c>
      <c r="K33" s="7">
        <f>SUMIFS(FinishedData!$D:$D,FinishedData!$B:$B,"Game",FinishedData!$A:$A,"&gt;="&amp;K28,FinishedData!$A:$A,"&lt;"&amp;EDATE(K28,1))</f>
        <v>0</v>
      </c>
      <c r="L33" s="7">
        <f>SUMIFS(FinishedData!$D:$D,FinishedData!$B:$B,"Game",FinishedData!$A:$A,"&gt;="&amp;L28,FinishedData!$A:$A,"&lt;"&amp;EDATE(L28,1))</f>
        <v>0</v>
      </c>
      <c r="M33" s="7">
        <f>SUMIFS(FinishedData!$D:$D,FinishedData!$B:$B,"Game",FinishedData!$A:$A,"&gt;="&amp;M28,FinishedData!$A:$A,"&lt;"&amp;EDATE(M28,1))</f>
        <v>0</v>
      </c>
      <c r="N33" s="56">
        <f t="shared" ref="N33:N36" si="9">SUM(B33:M33)</f>
        <v>45</v>
      </c>
      <c r="O33" s="2"/>
      <c r="P33" s="2"/>
      <c r="Q33" s="2"/>
      <c r="R33" s="2"/>
      <c r="S33" s="2"/>
      <c r="T33" s="2"/>
      <c r="U33" s="2"/>
      <c r="V33" s="2"/>
      <c r="W33" s="2"/>
      <c r="X33" s="2"/>
      <c r="Y33" s="2"/>
      <c r="Z33" s="2"/>
    </row>
    <row r="34" ht="18.75" customHeight="1">
      <c r="A34" s="44" t="s">
        <v>41</v>
      </c>
      <c r="B34" s="7">
        <f>SUMIFS(FinishedData!$D:$D,FinishedData!$B:$B,"Practice",FinishedData!$A:$A,"&gt;="&amp;B28,FinishedData!$A:$A,"&lt;"&amp;EDATE(B28,1))</f>
        <v>14</v>
      </c>
      <c r="C34" s="7">
        <f>SUMIFS(FinishedData!$D:$D,FinishedData!$B:$B,"Practice",FinishedData!$A:$A,"&gt;="&amp;C28,FinishedData!$A:$A,"&lt;"&amp;EDATE(C28,1))</f>
        <v>16</v>
      </c>
      <c r="D34" s="7">
        <f>SUMIFS(FinishedData!$D:$D,FinishedData!$B:$B,"Practice",FinishedData!$A:$A,"&gt;="&amp;D28,FinishedData!$A:$A,"&lt;"&amp;EDATE(D28,1))</f>
        <v>15</v>
      </c>
      <c r="E34" s="7">
        <f>SUMIFS(FinishedData!$D:$D,FinishedData!$B:$B,"Practice",FinishedData!$A:$A,"&gt;="&amp;E28,FinishedData!$A:$A,"&lt;"&amp;EDATE(E28,1))</f>
        <v>16</v>
      </c>
      <c r="F34" s="7">
        <f>SUMIFS(FinishedData!$D:$D,FinishedData!$B:$B,"Practice",FinishedData!$A:$A,"&gt;="&amp;F28,FinishedData!$A:$A,"&lt;"&amp;EDATE(F28,1))</f>
        <v>15</v>
      </c>
      <c r="G34" s="7">
        <f>SUMIFS(FinishedData!$D:$D,FinishedData!$B:$B,"Practice",FinishedData!$A:$A,"&gt;="&amp;G28,FinishedData!$A:$A,"&lt;"&amp;EDATE(G28,1))</f>
        <v>14</v>
      </c>
      <c r="H34" s="7">
        <f>SUMIFS(FinishedData!$D:$D,FinishedData!$B:$B,"Practice",FinishedData!$A:$A,"&gt;="&amp;H28,FinishedData!$A:$A,"&lt;"&amp;EDATE(H28,1))</f>
        <v>0</v>
      </c>
      <c r="I34" s="7">
        <f>SUMIFS(FinishedData!$D:$D,FinishedData!$B:$B,"Practice",FinishedData!$A:$A,"&gt;="&amp;I28,FinishedData!$A:$A,"&lt;"&amp;EDATE(I28,1))</f>
        <v>0</v>
      </c>
      <c r="J34" s="7">
        <f>SUMIFS(FinishedData!$D:$D,FinishedData!$B:$B,"Practice",FinishedData!$A:$A,"&gt;="&amp;J28,FinishedData!$A:$A,"&lt;"&amp;EDATE(J28,1))</f>
        <v>0</v>
      </c>
      <c r="K34" s="7">
        <f>SUMIFS(FinishedData!$D:$D,FinishedData!$B:$B,"Practice",FinishedData!$A:$A,"&gt;="&amp;K28,FinishedData!$A:$A,"&lt;"&amp;EDATE(K28,1))</f>
        <v>0</v>
      </c>
      <c r="L34" s="7">
        <f>SUMIFS(FinishedData!$D:$D,FinishedData!$B:$B,"Practice",FinishedData!$A:$A,"&gt;="&amp;L28,FinishedData!$A:$A,"&lt;"&amp;EDATE(L28,1))</f>
        <v>0</v>
      </c>
      <c r="M34" s="7">
        <f>SUMIFS(FinishedData!$D:$D,FinishedData!$B:$B,"Practice",FinishedData!$A:$A,"&gt;="&amp;M28,FinishedData!$A:$A,"&lt;"&amp;EDATE(M28,1))</f>
        <v>0</v>
      </c>
      <c r="N34" s="56">
        <f t="shared" si="9"/>
        <v>90</v>
      </c>
      <c r="O34" s="2"/>
      <c r="P34" s="2"/>
      <c r="Q34" s="2"/>
      <c r="R34" s="2"/>
      <c r="S34" s="2"/>
      <c r="T34" s="2"/>
      <c r="U34" s="2"/>
      <c r="V34" s="2"/>
      <c r="W34" s="2"/>
      <c r="X34" s="2"/>
      <c r="Y34" s="2"/>
      <c r="Z34" s="2"/>
    </row>
    <row r="35" ht="18.75" customHeight="1">
      <c r="A35" s="44" t="s">
        <v>13</v>
      </c>
      <c r="B35" s="7">
        <f>SUMIFS(FinishedData!$D:$D,FinishedData!$B:$B,"Gym",FinishedData!$A:$A,"&gt;="&amp;B28,FinishedData!$A:$A,"&lt;"&amp;EDATE(B28,1))</f>
        <v>2</v>
      </c>
      <c r="C35" s="7">
        <f>SUMIFS(FinishedData!$D:$D,FinishedData!$B:$B,"Gym",FinishedData!$A:$A,"&gt;="&amp;C28,FinishedData!$A:$A,"&lt;"&amp;EDATE(C28,1))</f>
        <v>3</v>
      </c>
      <c r="D35" s="7">
        <f>SUMIFS(FinishedData!$D:$D,FinishedData!$B:$B,"Gym",FinishedData!$A:$A,"&gt;="&amp;D28,FinishedData!$A:$A,"&lt;"&amp;EDATE(D28,1))</f>
        <v>3</v>
      </c>
      <c r="E35" s="7">
        <f>SUMIFS(FinishedData!$D:$D,FinishedData!$B:$B,"Gym",FinishedData!$A:$A,"&gt;="&amp;E28,FinishedData!$A:$A,"&lt;"&amp;EDATE(E28,1))</f>
        <v>3</v>
      </c>
      <c r="F35" s="7">
        <f>SUMIFS(FinishedData!$D:$D,FinishedData!$B:$B,"Gym",FinishedData!$A:$A,"&gt;="&amp;F28,FinishedData!$A:$A,"&lt;"&amp;EDATE(F28,1))</f>
        <v>3</v>
      </c>
      <c r="G35" s="7">
        <f>SUMIFS(FinishedData!$D:$D,FinishedData!$B:$B,"Gym",FinishedData!$A:$A,"&gt;="&amp;G28,FinishedData!$A:$A,"&lt;"&amp;EDATE(G28,1))</f>
        <v>2</v>
      </c>
      <c r="H35" s="7">
        <f>SUMIFS(FinishedData!$D:$D,FinishedData!$B:$B,"Gym",FinishedData!$A:$A,"&gt;="&amp;H28,FinishedData!$A:$A,"&lt;"&amp;EDATE(H28,1))</f>
        <v>0</v>
      </c>
      <c r="I35" s="7">
        <f>SUMIFS(FinishedData!$D:$D,FinishedData!$B:$B,"Gym",FinishedData!$A:$A,"&gt;="&amp;I28,FinishedData!$A:$A,"&lt;"&amp;EDATE(I28,1))</f>
        <v>0</v>
      </c>
      <c r="J35" s="7">
        <f>SUMIFS(FinishedData!$D:$D,FinishedData!$B:$B,"Gym",FinishedData!$A:$A,"&gt;="&amp;J28,FinishedData!$A:$A,"&lt;"&amp;EDATE(J28,1))</f>
        <v>0</v>
      </c>
      <c r="K35" s="7">
        <f>SUMIFS(FinishedData!$D:$D,FinishedData!$B:$B,"Gym",FinishedData!$A:$A,"&gt;="&amp;K28,FinishedData!$A:$A,"&lt;"&amp;EDATE(K28,1))</f>
        <v>0</v>
      </c>
      <c r="L35" s="7">
        <f>SUMIFS(FinishedData!$D:$D,FinishedData!$B:$B,"Gym",FinishedData!$A:$A,"&gt;="&amp;L28,FinishedData!$A:$A,"&lt;"&amp;EDATE(L28,1))</f>
        <v>0</v>
      </c>
      <c r="M35" s="7">
        <f>SUMIFS(FinishedData!$D:$D,FinishedData!$B:$B,"Gym",FinishedData!$A:$A,"&gt;="&amp;M28,FinishedData!$A:$A,"&lt;"&amp;EDATE(M28,1))</f>
        <v>0</v>
      </c>
      <c r="N35" s="56">
        <f t="shared" si="9"/>
        <v>16</v>
      </c>
      <c r="O35" s="2"/>
      <c r="P35" s="2"/>
      <c r="Q35" s="2"/>
      <c r="R35" s="2"/>
      <c r="S35" s="2"/>
      <c r="T35" s="2"/>
      <c r="U35" s="2"/>
      <c r="V35" s="2"/>
      <c r="W35" s="2"/>
      <c r="X35" s="2"/>
      <c r="Y35" s="2"/>
      <c r="Z35" s="2"/>
    </row>
    <row r="36" ht="18.75" customHeight="1">
      <c r="A36" s="44" t="s">
        <v>16</v>
      </c>
      <c r="B36" s="7">
        <f>SUMIFS(FinishedData!$D:$D,FinishedData!$B:$B,"Off",FinishedData!$A:$A,"&gt;="&amp;B28,FinishedData!$A:$A,"&lt;"&amp;EDATE(B28,1))</f>
        <v>8</v>
      </c>
      <c r="C36" s="7">
        <f>SUMIFS(FinishedData!$D:$D,FinishedData!$B:$B,"Off",FinishedData!$A:$A,"&gt;="&amp;C28,FinishedData!$A:$A,"&lt;"&amp;EDATE(C28,1))</f>
        <v>4</v>
      </c>
      <c r="D36" s="7">
        <f>SUMIFS(FinishedData!$D:$D,FinishedData!$B:$B,"Off",FinishedData!$A:$A,"&gt;="&amp;D28,FinishedData!$A:$A,"&lt;"&amp;EDATE(D28,1))</f>
        <v>4</v>
      </c>
      <c r="E36" s="7">
        <f>SUMIFS(FinishedData!$D:$D,FinishedData!$B:$B,"Off",FinishedData!$A:$A,"&gt;="&amp;E28,FinishedData!$A:$A,"&lt;"&amp;EDATE(E28,1))</f>
        <v>4</v>
      </c>
      <c r="F36" s="7">
        <f>SUMIFS(FinishedData!$D:$D,FinishedData!$B:$B,"Off",FinishedData!$A:$A,"&gt;="&amp;F28,FinishedData!$A:$A,"&lt;"&amp;EDATE(F28,1))</f>
        <v>5</v>
      </c>
      <c r="G36" s="7">
        <f>SUMIFS(FinishedData!$D:$D,FinishedData!$B:$B,"Off",FinishedData!$A:$A,"&gt;="&amp;G28,FinishedData!$A:$A,"&lt;"&amp;EDATE(G28,1))</f>
        <v>3</v>
      </c>
      <c r="H36" s="7">
        <f>SUMIFS(FinishedData!$D:$D,FinishedData!$B:$B,"Off",FinishedData!$A:$A,"&gt;="&amp;H28,FinishedData!$A:$A,"&lt;"&amp;EDATE(H28,1))</f>
        <v>0</v>
      </c>
      <c r="I36" s="7">
        <f>SUMIFS(FinishedData!$D:$D,FinishedData!$B:$B,"Off",FinishedData!$A:$A,"&gt;="&amp;I28,FinishedData!$A:$A,"&lt;"&amp;EDATE(I28,1))</f>
        <v>0</v>
      </c>
      <c r="J36" s="7">
        <f>SUMIFS(FinishedData!$D:$D,FinishedData!$B:$B,"Off",FinishedData!$A:$A,"&gt;="&amp;J28,FinishedData!$A:$A,"&lt;"&amp;EDATE(J28,1))</f>
        <v>0</v>
      </c>
      <c r="K36" s="7">
        <f>SUMIFS(FinishedData!$D:$D,FinishedData!$B:$B,"Off",FinishedData!$A:$A,"&gt;="&amp;K28,FinishedData!$A:$A,"&lt;"&amp;EDATE(K28,1))</f>
        <v>0</v>
      </c>
      <c r="L36" s="7">
        <f>SUMIFS(FinishedData!$D:$D,FinishedData!$B:$B,"Off",FinishedData!$A:$A,"&gt;="&amp;L28,FinishedData!$A:$A,"&lt;"&amp;EDATE(L28,1))</f>
        <v>0</v>
      </c>
      <c r="M36" s="7">
        <f>SUMIFS(FinishedData!$D:$D,FinishedData!$B:$B,"Off",FinishedData!$A:$A,"&gt;="&amp;M28,FinishedData!$A:$A,"&lt;"&amp;EDATE(M28,1))</f>
        <v>0</v>
      </c>
      <c r="N36" s="56">
        <f t="shared" si="9"/>
        <v>28</v>
      </c>
      <c r="O36" s="2"/>
      <c r="P36" s="2"/>
      <c r="Q36" s="2"/>
      <c r="R36" s="2"/>
      <c r="S36" s="2"/>
      <c r="T36" s="2"/>
      <c r="U36" s="2"/>
      <c r="V36" s="2"/>
      <c r="W36" s="2"/>
      <c r="X36" s="2"/>
      <c r="Y36" s="2"/>
      <c r="Z36" s="2"/>
    </row>
    <row r="37" ht="18.75" customHeight="1">
      <c r="A37" s="2"/>
      <c r="B37" s="7"/>
      <c r="C37" s="7"/>
      <c r="D37" s="7"/>
      <c r="E37" s="7"/>
      <c r="F37" s="7"/>
      <c r="G37" s="7"/>
      <c r="H37" s="7"/>
      <c r="I37" s="7"/>
      <c r="J37" s="7"/>
      <c r="K37" s="7"/>
      <c r="L37" s="7"/>
      <c r="M37" s="7"/>
      <c r="N37" s="7"/>
      <c r="O37" s="2"/>
      <c r="P37" s="2"/>
      <c r="Q37" s="2"/>
      <c r="R37" s="2"/>
      <c r="S37" s="2"/>
      <c r="T37" s="2"/>
      <c r="U37" s="2"/>
      <c r="V37" s="2"/>
      <c r="W37" s="2"/>
      <c r="X37" s="2"/>
      <c r="Y37" s="2"/>
      <c r="Z37" s="2"/>
    </row>
    <row r="38" ht="18.75" customHeight="1">
      <c r="A38" s="2"/>
      <c r="B38" s="7"/>
      <c r="C38" s="7"/>
      <c r="D38" s="7"/>
      <c r="E38" s="7"/>
      <c r="F38" s="7"/>
      <c r="G38" s="7"/>
      <c r="H38" s="7"/>
      <c r="I38" s="7"/>
      <c r="J38" s="7"/>
      <c r="K38" s="7"/>
      <c r="L38" s="7"/>
      <c r="M38" s="7"/>
      <c r="N38" s="7"/>
      <c r="O38" s="2"/>
      <c r="P38" s="2"/>
      <c r="Q38" s="2"/>
      <c r="R38" s="2"/>
      <c r="S38" s="2"/>
      <c r="T38" s="2"/>
      <c r="U38" s="2"/>
      <c r="V38" s="2"/>
      <c r="W38" s="2"/>
      <c r="X38" s="2"/>
      <c r="Y38" s="2"/>
      <c r="Z38" s="2"/>
    </row>
    <row r="39" ht="18.75" customHeight="1">
      <c r="A39" s="2"/>
      <c r="B39" s="7"/>
      <c r="C39" s="7"/>
      <c r="D39" s="7"/>
      <c r="E39" s="7"/>
      <c r="F39" s="7"/>
      <c r="G39" s="7"/>
      <c r="H39" s="7"/>
      <c r="I39" s="7"/>
      <c r="J39" s="7"/>
      <c r="K39" s="7"/>
      <c r="L39" s="7"/>
      <c r="M39" s="7"/>
      <c r="N39" s="7"/>
      <c r="O39" s="2"/>
      <c r="P39" s="2"/>
      <c r="Q39" s="2"/>
      <c r="R39" s="2"/>
      <c r="S39" s="2"/>
      <c r="T39" s="2"/>
      <c r="U39" s="2"/>
      <c r="V39" s="2"/>
      <c r="W39" s="2"/>
      <c r="X39" s="2"/>
      <c r="Y39" s="2"/>
      <c r="Z39" s="2"/>
    </row>
    <row r="40" ht="18.75" customHeight="1">
      <c r="A40" s="2"/>
      <c r="B40" s="7"/>
      <c r="C40" s="7"/>
      <c r="D40" s="7"/>
      <c r="E40" s="7"/>
      <c r="F40" s="7"/>
      <c r="G40" s="7"/>
      <c r="H40" s="7"/>
      <c r="I40" s="7"/>
      <c r="J40" s="7"/>
      <c r="K40" s="7"/>
      <c r="L40" s="7"/>
      <c r="M40" s="7"/>
      <c r="N40" s="7"/>
      <c r="O40" s="2"/>
      <c r="P40" s="2"/>
      <c r="Q40" s="2"/>
      <c r="R40" s="2"/>
      <c r="S40" s="2"/>
      <c r="T40" s="2"/>
      <c r="U40" s="2"/>
      <c r="V40" s="2"/>
      <c r="W40" s="2"/>
      <c r="X40" s="2"/>
      <c r="Y40" s="2"/>
      <c r="Z40" s="2"/>
    </row>
    <row r="41" ht="18.75" customHeight="1">
      <c r="A41" s="2"/>
      <c r="B41" s="7"/>
      <c r="C41" s="7"/>
      <c r="D41" s="7"/>
      <c r="E41" s="7"/>
      <c r="F41" s="7"/>
      <c r="G41" s="7"/>
      <c r="H41" s="7"/>
      <c r="I41" s="7"/>
      <c r="J41" s="7"/>
      <c r="K41" s="7"/>
      <c r="L41" s="7"/>
      <c r="M41" s="7"/>
      <c r="N41" s="7"/>
      <c r="O41" s="2"/>
      <c r="P41" s="2"/>
      <c r="Q41" s="2"/>
      <c r="R41" s="2"/>
      <c r="S41" s="2"/>
      <c r="T41" s="2"/>
      <c r="U41" s="2"/>
      <c r="V41" s="2"/>
      <c r="W41" s="2"/>
      <c r="X41" s="2"/>
      <c r="Y41" s="2"/>
      <c r="Z41" s="2"/>
    </row>
    <row r="42" ht="18.75" customHeight="1">
      <c r="A42" s="2"/>
      <c r="B42" s="7"/>
      <c r="C42" s="7"/>
      <c r="D42" s="7"/>
      <c r="E42" s="7"/>
      <c r="F42" s="7"/>
      <c r="G42" s="7"/>
      <c r="H42" s="7"/>
      <c r="I42" s="7"/>
      <c r="J42" s="7"/>
      <c r="K42" s="7"/>
      <c r="L42" s="7"/>
      <c r="M42" s="7"/>
      <c r="N42" s="7"/>
      <c r="O42" s="2"/>
      <c r="P42" s="2"/>
      <c r="Q42" s="2"/>
      <c r="R42" s="2"/>
      <c r="S42" s="2"/>
      <c r="T42" s="2"/>
      <c r="U42" s="2"/>
      <c r="V42" s="2"/>
      <c r="W42" s="2"/>
      <c r="X42" s="2"/>
      <c r="Y42" s="2"/>
      <c r="Z42" s="2"/>
    </row>
    <row r="43" ht="18.75" customHeight="1">
      <c r="A43" s="2"/>
      <c r="B43" s="7"/>
      <c r="C43" s="7"/>
      <c r="D43" s="7"/>
      <c r="E43" s="7"/>
      <c r="F43" s="7"/>
      <c r="G43" s="7"/>
      <c r="H43" s="7"/>
      <c r="I43" s="7"/>
      <c r="J43" s="7"/>
      <c r="K43" s="7"/>
      <c r="L43" s="7"/>
      <c r="M43" s="7"/>
      <c r="N43" s="7"/>
      <c r="O43" s="2"/>
      <c r="P43" s="2"/>
      <c r="Q43" s="2"/>
      <c r="R43" s="2"/>
      <c r="S43" s="2"/>
      <c r="T43" s="2"/>
      <c r="U43" s="2"/>
      <c r="V43" s="2"/>
      <c r="W43" s="2"/>
      <c r="X43" s="2"/>
      <c r="Y43" s="2"/>
      <c r="Z43" s="2"/>
    </row>
    <row r="44" ht="18.75" customHeight="1">
      <c r="A44" s="2"/>
      <c r="B44" s="7"/>
      <c r="C44" s="7"/>
      <c r="D44" s="7"/>
      <c r="E44" s="7"/>
      <c r="F44" s="7"/>
      <c r="G44" s="7"/>
      <c r="H44" s="7"/>
      <c r="I44" s="7"/>
      <c r="J44" s="7"/>
      <c r="K44" s="7"/>
      <c r="L44" s="7"/>
      <c r="M44" s="7"/>
      <c r="N44" s="7"/>
      <c r="O44" s="2"/>
      <c r="P44" s="2"/>
      <c r="Q44" s="2"/>
      <c r="R44" s="2"/>
      <c r="S44" s="2"/>
      <c r="T44" s="2"/>
      <c r="U44" s="2"/>
      <c r="V44" s="2"/>
      <c r="W44" s="2"/>
      <c r="X44" s="2"/>
      <c r="Y44" s="2"/>
      <c r="Z44" s="2"/>
    </row>
    <row r="45" ht="18.75" customHeight="1">
      <c r="A45" s="2"/>
      <c r="B45" s="7"/>
      <c r="C45" s="7"/>
      <c r="D45" s="7"/>
      <c r="E45" s="7"/>
      <c r="F45" s="7"/>
      <c r="G45" s="7"/>
      <c r="H45" s="7"/>
      <c r="I45" s="7"/>
      <c r="J45" s="7"/>
      <c r="K45" s="7"/>
      <c r="L45" s="7"/>
      <c r="M45" s="7"/>
      <c r="N45" s="7"/>
      <c r="O45" s="2"/>
      <c r="P45" s="2"/>
      <c r="Q45" s="2"/>
      <c r="R45" s="2"/>
      <c r="S45" s="2"/>
      <c r="T45" s="2"/>
      <c r="U45" s="2"/>
      <c r="V45" s="2"/>
      <c r="W45" s="2"/>
      <c r="X45" s="2"/>
      <c r="Y45" s="2"/>
      <c r="Z45" s="2"/>
    </row>
    <row r="46" ht="18.75" customHeight="1">
      <c r="A46" s="2"/>
      <c r="B46" s="7"/>
      <c r="C46" s="7"/>
      <c r="D46" s="7"/>
      <c r="E46" s="7"/>
      <c r="F46" s="7"/>
      <c r="G46" s="7"/>
      <c r="H46" s="7"/>
      <c r="I46" s="7"/>
      <c r="J46" s="7"/>
      <c r="K46" s="7"/>
      <c r="L46" s="7"/>
      <c r="M46" s="7"/>
      <c r="N46" s="7"/>
      <c r="O46" s="2"/>
      <c r="P46" s="2"/>
      <c r="Q46" s="2"/>
      <c r="R46" s="2"/>
      <c r="S46" s="2"/>
      <c r="T46" s="2"/>
      <c r="U46" s="2"/>
      <c r="V46" s="2"/>
      <c r="W46" s="2"/>
      <c r="X46" s="2"/>
      <c r="Y46" s="2"/>
      <c r="Z46" s="2"/>
    </row>
    <row r="47" ht="18.75" customHeight="1">
      <c r="A47" s="2"/>
      <c r="B47" s="7"/>
      <c r="C47" s="7"/>
      <c r="D47" s="7"/>
      <c r="E47" s="7"/>
      <c r="F47" s="7"/>
      <c r="G47" s="7"/>
      <c r="H47" s="7"/>
      <c r="I47" s="7"/>
      <c r="J47" s="7"/>
      <c r="K47" s="7"/>
      <c r="L47" s="7"/>
      <c r="M47" s="7"/>
      <c r="N47" s="7"/>
      <c r="O47" s="2"/>
      <c r="P47" s="2"/>
      <c r="Q47" s="2"/>
      <c r="R47" s="2"/>
      <c r="S47" s="2"/>
      <c r="T47" s="2"/>
      <c r="U47" s="2"/>
      <c r="V47" s="2"/>
      <c r="W47" s="2"/>
      <c r="X47" s="2"/>
      <c r="Y47" s="2"/>
      <c r="Z47" s="2"/>
    </row>
    <row r="48" ht="18.75" customHeight="1">
      <c r="A48" s="2"/>
      <c r="B48" s="7"/>
      <c r="C48" s="7"/>
      <c r="D48" s="7"/>
      <c r="E48" s="7"/>
      <c r="F48" s="7"/>
      <c r="G48" s="7"/>
      <c r="H48" s="7"/>
      <c r="I48" s="7"/>
      <c r="J48" s="7"/>
      <c r="K48" s="7"/>
      <c r="L48" s="7"/>
      <c r="M48" s="7"/>
      <c r="N48" s="7"/>
      <c r="O48" s="2"/>
      <c r="P48" s="2"/>
      <c r="Q48" s="2"/>
      <c r="R48" s="2"/>
      <c r="S48" s="2"/>
      <c r="T48" s="2"/>
      <c r="U48" s="2"/>
      <c r="V48" s="2"/>
      <c r="W48" s="2"/>
      <c r="X48" s="2"/>
      <c r="Y48" s="2"/>
      <c r="Z48" s="2"/>
    </row>
    <row r="49" ht="18.75" customHeight="1">
      <c r="A49" s="2"/>
      <c r="B49" s="7"/>
      <c r="C49" s="7"/>
      <c r="D49" s="7"/>
      <c r="E49" s="7"/>
      <c r="F49" s="7"/>
      <c r="G49" s="7"/>
      <c r="H49" s="7"/>
      <c r="I49" s="7"/>
      <c r="J49" s="7"/>
      <c r="K49" s="7"/>
      <c r="L49" s="7"/>
      <c r="M49" s="7"/>
      <c r="N49" s="7"/>
      <c r="O49" s="2"/>
      <c r="P49" s="2"/>
      <c r="Q49" s="2"/>
      <c r="R49" s="2"/>
      <c r="S49" s="2"/>
      <c r="T49" s="2"/>
      <c r="U49" s="2"/>
      <c r="V49" s="2"/>
      <c r="W49" s="2"/>
      <c r="X49" s="2"/>
      <c r="Y49" s="2"/>
      <c r="Z49" s="2"/>
    </row>
    <row r="50">
      <c r="A50" s="2"/>
      <c r="B50" s="7"/>
      <c r="C50" s="7"/>
      <c r="D50" s="7"/>
      <c r="E50" s="7"/>
      <c r="F50" s="7"/>
      <c r="G50" s="7"/>
      <c r="H50" s="7"/>
      <c r="I50" s="7"/>
      <c r="J50" s="7"/>
      <c r="K50" s="7"/>
      <c r="L50" s="7"/>
      <c r="M50" s="7"/>
      <c r="N50" s="7"/>
      <c r="O50" s="2"/>
      <c r="P50" s="2"/>
      <c r="Q50" s="2"/>
      <c r="R50" s="2"/>
      <c r="S50" s="2"/>
      <c r="T50" s="2"/>
      <c r="U50" s="2"/>
      <c r="V50" s="2"/>
      <c r="W50" s="2"/>
      <c r="X50" s="2"/>
      <c r="Y50" s="2"/>
      <c r="Z50" s="2"/>
    </row>
    <row r="51">
      <c r="A51" s="2"/>
      <c r="B51" s="7"/>
      <c r="C51" s="7"/>
      <c r="D51" s="7"/>
      <c r="E51" s="7"/>
      <c r="F51" s="7"/>
      <c r="G51" s="7"/>
      <c r="H51" s="7"/>
      <c r="I51" s="7"/>
      <c r="J51" s="7"/>
      <c r="K51" s="7"/>
      <c r="L51" s="7"/>
      <c r="M51" s="7"/>
      <c r="N51" s="7"/>
      <c r="O51" s="2"/>
      <c r="P51" s="2"/>
      <c r="Q51" s="2"/>
      <c r="R51" s="2"/>
      <c r="S51" s="2"/>
      <c r="T51" s="2"/>
      <c r="U51" s="2"/>
      <c r="V51" s="2"/>
      <c r="W51" s="2"/>
      <c r="X51" s="2"/>
      <c r="Y51" s="2"/>
      <c r="Z51" s="2"/>
    </row>
    <row r="52">
      <c r="A52" s="2"/>
      <c r="B52" s="7"/>
      <c r="C52" s="7"/>
      <c r="D52" s="7"/>
      <c r="E52" s="7"/>
      <c r="F52" s="7"/>
      <c r="G52" s="7"/>
      <c r="H52" s="7"/>
      <c r="I52" s="7"/>
      <c r="J52" s="7"/>
      <c r="K52" s="7"/>
      <c r="L52" s="7"/>
      <c r="M52" s="7"/>
      <c r="N52" s="7"/>
      <c r="O52" s="2"/>
      <c r="P52" s="2"/>
      <c r="Q52" s="2"/>
      <c r="R52" s="2"/>
      <c r="S52" s="2"/>
      <c r="T52" s="2"/>
      <c r="U52" s="2"/>
      <c r="V52" s="2"/>
      <c r="W52" s="2"/>
      <c r="X52" s="2"/>
      <c r="Y52" s="2"/>
      <c r="Z52" s="2"/>
    </row>
    <row r="53">
      <c r="A53" s="2"/>
      <c r="B53" s="7"/>
      <c r="C53" s="7"/>
      <c r="D53" s="7"/>
      <c r="E53" s="7"/>
      <c r="F53" s="7"/>
      <c r="G53" s="7"/>
      <c r="H53" s="7"/>
      <c r="I53" s="7"/>
      <c r="J53" s="7"/>
      <c r="K53" s="7"/>
      <c r="L53" s="7"/>
      <c r="M53" s="7"/>
      <c r="N53" s="7"/>
      <c r="O53" s="2"/>
      <c r="P53" s="2"/>
      <c r="Q53" s="2"/>
      <c r="R53" s="2"/>
      <c r="S53" s="2"/>
      <c r="T53" s="2"/>
      <c r="U53" s="2"/>
      <c r="V53" s="2"/>
      <c r="W53" s="2"/>
      <c r="X53" s="2"/>
      <c r="Y53" s="2"/>
      <c r="Z53" s="2"/>
    </row>
    <row r="54">
      <c r="A54" s="2"/>
      <c r="B54" s="7"/>
      <c r="C54" s="7"/>
      <c r="D54" s="7"/>
      <c r="E54" s="7"/>
      <c r="F54" s="7"/>
      <c r="G54" s="7"/>
      <c r="H54" s="7"/>
      <c r="I54" s="7"/>
      <c r="J54" s="7"/>
      <c r="K54" s="7"/>
      <c r="L54" s="7"/>
      <c r="M54" s="7"/>
      <c r="N54" s="7"/>
      <c r="O54" s="2"/>
      <c r="P54" s="2"/>
      <c r="Q54" s="2"/>
      <c r="R54" s="2"/>
      <c r="S54" s="2"/>
      <c r="T54" s="2"/>
      <c r="U54" s="2"/>
      <c r="V54" s="2"/>
      <c r="W54" s="2"/>
      <c r="X54" s="2"/>
      <c r="Y54" s="2"/>
      <c r="Z54" s="2"/>
    </row>
    <row r="55">
      <c r="A55" s="2"/>
      <c r="B55" s="7"/>
      <c r="C55" s="7"/>
      <c r="D55" s="7"/>
      <c r="E55" s="7"/>
      <c r="F55" s="7"/>
      <c r="G55" s="7"/>
      <c r="H55" s="7"/>
      <c r="I55" s="7"/>
      <c r="J55" s="7"/>
      <c r="K55" s="7"/>
      <c r="L55" s="7"/>
      <c r="M55" s="7"/>
      <c r="N55" s="7"/>
      <c r="O55" s="2"/>
      <c r="P55" s="2"/>
      <c r="Q55" s="2"/>
      <c r="R55" s="2"/>
      <c r="S55" s="2"/>
      <c r="T55" s="2"/>
      <c r="U55" s="2"/>
      <c r="V55" s="2"/>
      <c r="W55" s="2"/>
      <c r="X55" s="2"/>
      <c r="Y55" s="2"/>
      <c r="Z55" s="2"/>
    </row>
    <row r="56">
      <c r="A56" s="2"/>
      <c r="B56" s="7"/>
      <c r="C56" s="7"/>
      <c r="D56" s="7"/>
      <c r="E56" s="7"/>
      <c r="F56" s="7"/>
      <c r="G56" s="7"/>
      <c r="H56" s="7"/>
      <c r="I56" s="7"/>
      <c r="J56" s="7"/>
      <c r="K56" s="7"/>
      <c r="L56" s="7"/>
      <c r="M56" s="7"/>
      <c r="N56" s="7"/>
      <c r="O56" s="2"/>
      <c r="P56" s="2"/>
      <c r="Q56" s="2"/>
      <c r="R56" s="2"/>
      <c r="S56" s="2"/>
      <c r="T56" s="2"/>
      <c r="U56" s="2"/>
      <c r="V56" s="2"/>
      <c r="W56" s="2"/>
      <c r="X56" s="2"/>
      <c r="Y56" s="2"/>
      <c r="Z56" s="2"/>
    </row>
    <row r="57">
      <c r="A57" s="2"/>
      <c r="B57" s="7"/>
      <c r="C57" s="7"/>
      <c r="D57" s="7"/>
      <c r="E57" s="7"/>
      <c r="F57" s="7"/>
      <c r="G57" s="7"/>
      <c r="H57" s="7"/>
      <c r="I57" s="7"/>
      <c r="J57" s="7"/>
      <c r="K57" s="7"/>
      <c r="L57" s="7"/>
      <c r="M57" s="7"/>
      <c r="N57" s="7"/>
      <c r="O57" s="2"/>
      <c r="P57" s="2"/>
      <c r="Q57" s="2"/>
      <c r="R57" s="2"/>
      <c r="S57" s="2"/>
      <c r="T57" s="2"/>
      <c r="U57" s="2"/>
      <c r="V57" s="2"/>
      <c r="W57" s="2"/>
      <c r="X57" s="2"/>
      <c r="Y57" s="2"/>
      <c r="Z57" s="2"/>
    </row>
    <row r="58">
      <c r="A58" s="2"/>
      <c r="B58" s="7"/>
      <c r="C58" s="7"/>
      <c r="D58" s="7"/>
      <c r="E58" s="7"/>
      <c r="F58" s="7"/>
      <c r="G58" s="7"/>
      <c r="H58" s="7"/>
      <c r="I58" s="7"/>
      <c r="J58" s="7"/>
      <c r="K58" s="7"/>
      <c r="L58" s="7"/>
      <c r="M58" s="7"/>
      <c r="N58" s="7"/>
      <c r="O58" s="2"/>
      <c r="P58" s="2"/>
      <c r="Q58" s="2"/>
      <c r="R58" s="2"/>
      <c r="S58" s="2"/>
      <c r="T58" s="2"/>
      <c r="U58" s="2"/>
      <c r="V58" s="2"/>
      <c r="W58" s="2"/>
      <c r="X58" s="2"/>
      <c r="Y58" s="2"/>
      <c r="Z58" s="2"/>
    </row>
    <row r="59">
      <c r="A59" s="2"/>
      <c r="B59" s="7"/>
      <c r="C59" s="7"/>
      <c r="D59" s="7"/>
      <c r="E59" s="7"/>
      <c r="F59" s="7"/>
      <c r="G59" s="7"/>
      <c r="H59" s="7"/>
      <c r="I59" s="7"/>
      <c r="J59" s="7"/>
      <c r="K59" s="7"/>
      <c r="L59" s="7"/>
      <c r="M59" s="7"/>
      <c r="N59" s="7"/>
      <c r="O59" s="2"/>
      <c r="P59" s="2"/>
      <c r="Q59" s="2"/>
      <c r="R59" s="2"/>
      <c r="S59" s="2"/>
      <c r="T59" s="2"/>
      <c r="U59" s="2"/>
      <c r="V59" s="2"/>
      <c r="W59" s="2"/>
      <c r="X59" s="2"/>
      <c r="Y59" s="2"/>
      <c r="Z59" s="2"/>
    </row>
    <row r="60">
      <c r="A60" s="2"/>
      <c r="B60" s="7"/>
      <c r="C60" s="7"/>
      <c r="D60" s="7"/>
      <c r="E60" s="7"/>
      <c r="F60" s="7"/>
      <c r="G60" s="7"/>
      <c r="H60" s="7"/>
      <c r="I60" s="7"/>
      <c r="J60" s="7"/>
      <c r="K60" s="7"/>
      <c r="L60" s="7"/>
      <c r="M60" s="7"/>
      <c r="N60" s="7"/>
      <c r="O60" s="2"/>
      <c r="P60" s="2"/>
      <c r="Q60" s="2"/>
      <c r="R60" s="2"/>
      <c r="S60" s="2"/>
      <c r="T60" s="2"/>
      <c r="U60" s="2"/>
      <c r="V60" s="2"/>
      <c r="W60" s="2"/>
      <c r="X60" s="2"/>
      <c r="Y60" s="2"/>
      <c r="Z60" s="2"/>
    </row>
    <row r="61">
      <c r="A61" s="2"/>
      <c r="B61" s="7"/>
      <c r="C61" s="7"/>
      <c r="D61" s="7"/>
      <c r="E61" s="7"/>
      <c r="F61" s="7"/>
      <c r="G61" s="7"/>
      <c r="H61" s="7"/>
      <c r="I61" s="7"/>
      <c r="J61" s="7"/>
      <c r="K61" s="7"/>
      <c r="L61" s="7"/>
      <c r="M61" s="7"/>
      <c r="N61" s="7"/>
      <c r="O61" s="2"/>
      <c r="P61" s="2"/>
      <c r="Q61" s="2"/>
      <c r="R61" s="2"/>
      <c r="S61" s="2"/>
      <c r="T61" s="2"/>
      <c r="U61" s="2"/>
      <c r="V61" s="2"/>
      <c r="W61" s="2"/>
      <c r="X61" s="2"/>
      <c r="Y61" s="2"/>
      <c r="Z61" s="2"/>
    </row>
    <row r="62">
      <c r="A62" s="2"/>
      <c r="B62" s="7"/>
      <c r="C62" s="7"/>
      <c r="D62" s="7"/>
      <c r="E62" s="7"/>
      <c r="F62" s="7"/>
      <c r="G62" s="7"/>
      <c r="H62" s="7"/>
      <c r="I62" s="7"/>
      <c r="J62" s="7"/>
      <c r="K62" s="7"/>
      <c r="L62" s="7"/>
      <c r="M62" s="7"/>
      <c r="N62" s="7"/>
      <c r="O62" s="2"/>
      <c r="P62" s="2"/>
      <c r="Q62" s="2"/>
      <c r="R62" s="2"/>
      <c r="S62" s="2"/>
      <c r="T62" s="2"/>
      <c r="U62" s="2"/>
      <c r="V62" s="2"/>
      <c r="W62" s="2"/>
      <c r="X62" s="2"/>
      <c r="Y62" s="2"/>
      <c r="Z62" s="2"/>
    </row>
    <row r="63">
      <c r="A63" s="2"/>
      <c r="B63" s="7"/>
      <c r="C63" s="7"/>
      <c r="D63" s="7"/>
      <c r="E63" s="7"/>
      <c r="F63" s="7"/>
      <c r="G63" s="7"/>
      <c r="H63" s="7"/>
      <c r="I63" s="7"/>
      <c r="J63" s="7"/>
      <c r="K63" s="7"/>
      <c r="L63" s="7"/>
      <c r="M63" s="7"/>
      <c r="N63" s="7"/>
      <c r="O63" s="2"/>
      <c r="P63" s="2"/>
      <c r="Q63" s="2"/>
      <c r="R63" s="2"/>
      <c r="S63" s="2"/>
      <c r="T63" s="2"/>
      <c r="U63" s="2"/>
      <c r="V63" s="2"/>
      <c r="W63" s="2"/>
      <c r="X63" s="2"/>
      <c r="Y63" s="2"/>
      <c r="Z63" s="2"/>
    </row>
    <row r="64">
      <c r="A64" s="2"/>
      <c r="B64" s="7"/>
      <c r="C64" s="7"/>
      <c r="D64" s="7"/>
      <c r="E64" s="7"/>
      <c r="F64" s="7"/>
      <c r="G64" s="7"/>
      <c r="H64" s="7"/>
      <c r="I64" s="7"/>
      <c r="J64" s="7"/>
      <c r="K64" s="7"/>
      <c r="L64" s="7"/>
      <c r="M64" s="7"/>
      <c r="N64" s="7"/>
      <c r="O64" s="2"/>
      <c r="P64" s="2"/>
      <c r="Q64" s="2"/>
      <c r="R64" s="2"/>
      <c r="S64" s="2"/>
      <c r="T64" s="2"/>
      <c r="U64" s="2"/>
      <c r="V64" s="2"/>
      <c r="W64" s="2"/>
      <c r="X64" s="2"/>
      <c r="Y64" s="2"/>
      <c r="Z64" s="2"/>
    </row>
    <row r="65">
      <c r="A65" s="2"/>
      <c r="B65" s="7"/>
      <c r="C65" s="7"/>
      <c r="D65" s="7"/>
      <c r="E65" s="7"/>
      <c r="F65" s="7"/>
      <c r="G65" s="7"/>
      <c r="H65" s="7"/>
      <c r="I65" s="7"/>
      <c r="J65" s="7"/>
      <c r="K65" s="7"/>
      <c r="L65" s="7"/>
      <c r="M65" s="7"/>
      <c r="N65" s="7"/>
      <c r="O65" s="2"/>
      <c r="P65" s="2"/>
      <c r="Q65" s="2"/>
      <c r="R65" s="2"/>
      <c r="S65" s="2"/>
      <c r="T65" s="2"/>
      <c r="U65" s="2"/>
      <c r="V65" s="2"/>
      <c r="W65" s="2"/>
      <c r="X65" s="2"/>
      <c r="Y65" s="2"/>
      <c r="Z65" s="2"/>
    </row>
    <row r="66">
      <c r="A66" s="2"/>
      <c r="B66" s="7"/>
      <c r="C66" s="7"/>
      <c r="D66" s="7"/>
      <c r="E66" s="7"/>
      <c r="F66" s="7"/>
      <c r="G66" s="7"/>
      <c r="H66" s="7"/>
      <c r="I66" s="7"/>
      <c r="J66" s="7"/>
      <c r="K66" s="7"/>
      <c r="L66" s="7"/>
      <c r="M66" s="7"/>
      <c r="N66" s="7"/>
      <c r="O66" s="2"/>
      <c r="P66" s="2"/>
      <c r="Q66" s="2"/>
      <c r="R66" s="2"/>
      <c r="S66" s="2"/>
      <c r="T66" s="2"/>
      <c r="U66" s="2"/>
      <c r="V66" s="2"/>
      <c r="W66" s="2"/>
      <c r="X66" s="2"/>
      <c r="Y66" s="2"/>
      <c r="Z66" s="2"/>
    </row>
    <row r="67">
      <c r="A67" s="2"/>
      <c r="B67" s="7"/>
      <c r="C67" s="7"/>
      <c r="D67" s="7"/>
      <c r="E67" s="7"/>
      <c r="F67" s="7"/>
      <c r="G67" s="7"/>
      <c r="H67" s="7"/>
      <c r="I67" s="7"/>
      <c r="J67" s="7"/>
      <c r="K67" s="7"/>
      <c r="L67" s="7"/>
      <c r="M67" s="7"/>
      <c r="N67" s="7"/>
      <c r="O67" s="2"/>
      <c r="P67" s="2"/>
      <c r="Q67" s="2"/>
      <c r="R67" s="2"/>
      <c r="S67" s="2"/>
      <c r="T67" s="2"/>
      <c r="U67" s="2"/>
      <c r="V67" s="2"/>
      <c r="W67" s="2"/>
      <c r="X67" s="2"/>
      <c r="Y67" s="2"/>
      <c r="Z67" s="2"/>
    </row>
    <row r="68">
      <c r="A68" s="2"/>
      <c r="B68" s="7"/>
      <c r="C68" s="7"/>
      <c r="D68" s="7"/>
      <c r="E68" s="7"/>
      <c r="F68" s="7"/>
      <c r="G68" s="7"/>
      <c r="H68" s="7"/>
      <c r="I68" s="7"/>
      <c r="J68" s="7"/>
      <c r="K68" s="7"/>
      <c r="L68" s="7"/>
      <c r="M68" s="7"/>
      <c r="N68" s="7"/>
      <c r="O68" s="2"/>
      <c r="P68" s="2"/>
      <c r="Q68" s="2"/>
      <c r="R68" s="2"/>
      <c r="S68" s="2"/>
      <c r="T68" s="2"/>
      <c r="U68" s="2"/>
      <c r="V68" s="2"/>
      <c r="W68" s="2"/>
      <c r="X68" s="2"/>
      <c r="Y68" s="2"/>
      <c r="Z68" s="2"/>
    </row>
    <row r="69">
      <c r="A69" s="2"/>
      <c r="B69" s="7"/>
      <c r="C69" s="7"/>
      <c r="D69" s="7"/>
      <c r="E69" s="7"/>
      <c r="F69" s="7"/>
      <c r="G69" s="7"/>
      <c r="H69" s="7"/>
      <c r="I69" s="7"/>
      <c r="J69" s="7"/>
      <c r="K69" s="7"/>
      <c r="L69" s="7"/>
      <c r="M69" s="7"/>
      <c r="N69" s="7"/>
      <c r="O69" s="2"/>
      <c r="P69" s="2"/>
      <c r="Q69" s="2"/>
      <c r="R69" s="2"/>
      <c r="S69" s="2"/>
      <c r="T69" s="2"/>
      <c r="U69" s="2"/>
      <c r="V69" s="2"/>
      <c r="W69" s="2"/>
      <c r="X69" s="2"/>
      <c r="Y69" s="2"/>
      <c r="Z69" s="2"/>
    </row>
    <row r="70">
      <c r="A70" s="2"/>
      <c r="B70" s="7"/>
      <c r="C70" s="7"/>
      <c r="D70" s="7"/>
      <c r="E70" s="7"/>
      <c r="F70" s="7"/>
      <c r="G70" s="7"/>
      <c r="H70" s="7"/>
      <c r="I70" s="7"/>
      <c r="J70" s="7"/>
      <c r="K70" s="7"/>
      <c r="L70" s="7"/>
      <c r="M70" s="7"/>
      <c r="N70" s="7"/>
      <c r="O70" s="2"/>
      <c r="P70" s="2"/>
      <c r="Q70" s="2"/>
      <c r="R70" s="2"/>
      <c r="S70" s="2"/>
      <c r="T70" s="2"/>
      <c r="U70" s="2"/>
      <c r="V70" s="2"/>
      <c r="W70" s="2"/>
      <c r="X70" s="2"/>
      <c r="Y70" s="2"/>
      <c r="Z70" s="2"/>
    </row>
    <row r="71">
      <c r="A71" s="2"/>
      <c r="B71" s="7"/>
      <c r="C71" s="7"/>
      <c r="D71" s="7"/>
      <c r="E71" s="7"/>
      <c r="F71" s="7"/>
      <c r="G71" s="7"/>
      <c r="H71" s="7"/>
      <c r="I71" s="7"/>
      <c r="J71" s="7"/>
      <c r="K71" s="7"/>
      <c r="L71" s="7"/>
      <c r="M71" s="7"/>
      <c r="N71" s="7"/>
      <c r="O71" s="2"/>
      <c r="P71" s="2"/>
      <c r="Q71" s="2"/>
      <c r="R71" s="2"/>
      <c r="S71" s="2"/>
      <c r="T71" s="2"/>
      <c r="U71" s="2"/>
      <c r="V71" s="2"/>
      <c r="W71" s="2"/>
      <c r="X71" s="2"/>
      <c r="Y71" s="2"/>
      <c r="Z71" s="2"/>
    </row>
    <row r="72">
      <c r="A72" s="2"/>
      <c r="B72" s="7"/>
      <c r="C72" s="7"/>
      <c r="D72" s="7"/>
      <c r="E72" s="7"/>
      <c r="F72" s="7"/>
      <c r="G72" s="7"/>
      <c r="H72" s="7"/>
      <c r="I72" s="7"/>
      <c r="J72" s="7"/>
      <c r="K72" s="7"/>
      <c r="L72" s="7"/>
      <c r="M72" s="7"/>
      <c r="N72" s="7"/>
      <c r="O72" s="2"/>
      <c r="P72" s="2"/>
      <c r="Q72" s="2"/>
      <c r="R72" s="2"/>
      <c r="S72" s="2"/>
      <c r="T72" s="2"/>
      <c r="U72" s="2"/>
      <c r="V72" s="2"/>
      <c r="W72" s="2"/>
      <c r="X72" s="2"/>
      <c r="Y72" s="2"/>
      <c r="Z72" s="2"/>
    </row>
    <row r="73">
      <c r="A73" s="2"/>
      <c r="B73" s="7"/>
      <c r="C73" s="7"/>
      <c r="D73" s="7"/>
      <c r="E73" s="7"/>
      <c r="F73" s="7"/>
      <c r="G73" s="7"/>
      <c r="H73" s="7"/>
      <c r="I73" s="7"/>
      <c r="J73" s="7"/>
      <c r="K73" s="7"/>
      <c r="L73" s="7"/>
      <c r="M73" s="7"/>
      <c r="N73" s="7"/>
      <c r="O73" s="2"/>
      <c r="P73" s="2"/>
      <c r="Q73" s="2"/>
      <c r="R73" s="2"/>
      <c r="S73" s="2"/>
      <c r="T73" s="2"/>
      <c r="U73" s="2"/>
      <c r="V73" s="2"/>
      <c r="W73" s="2"/>
      <c r="X73" s="2"/>
      <c r="Y73" s="2"/>
      <c r="Z73" s="2"/>
    </row>
    <row r="74">
      <c r="A74" s="2"/>
      <c r="B74" s="7"/>
      <c r="C74" s="7"/>
      <c r="D74" s="7"/>
      <c r="E74" s="7"/>
      <c r="F74" s="7"/>
      <c r="G74" s="7"/>
      <c r="H74" s="7"/>
      <c r="I74" s="7"/>
      <c r="J74" s="7"/>
      <c r="K74" s="7"/>
      <c r="L74" s="7"/>
      <c r="M74" s="7"/>
      <c r="N74" s="7"/>
      <c r="O74" s="2"/>
      <c r="P74" s="2"/>
      <c r="Q74" s="2"/>
      <c r="R74" s="2"/>
      <c r="S74" s="2"/>
      <c r="T74" s="2"/>
      <c r="U74" s="2"/>
      <c r="V74" s="2"/>
      <c r="W74" s="2"/>
      <c r="X74" s="2"/>
      <c r="Y74" s="2"/>
      <c r="Z74" s="2"/>
    </row>
    <row r="75">
      <c r="A75" s="2"/>
      <c r="B75" s="7"/>
      <c r="C75" s="7"/>
      <c r="D75" s="7"/>
      <c r="E75" s="7"/>
      <c r="F75" s="7"/>
      <c r="G75" s="7"/>
      <c r="H75" s="7"/>
      <c r="I75" s="7"/>
      <c r="J75" s="7"/>
      <c r="K75" s="7"/>
      <c r="L75" s="7"/>
      <c r="M75" s="7"/>
      <c r="N75" s="7"/>
      <c r="O75" s="2"/>
      <c r="P75" s="2"/>
      <c r="Q75" s="2"/>
      <c r="R75" s="2"/>
      <c r="S75" s="2"/>
      <c r="T75" s="2"/>
      <c r="U75" s="2"/>
      <c r="V75" s="2"/>
      <c r="W75" s="2"/>
      <c r="X75" s="2"/>
      <c r="Y75" s="2"/>
      <c r="Z75" s="2"/>
    </row>
    <row r="76">
      <c r="A76" s="2"/>
      <c r="B76" s="7"/>
      <c r="C76" s="7"/>
      <c r="D76" s="7"/>
      <c r="E76" s="7"/>
      <c r="F76" s="7"/>
      <c r="G76" s="7"/>
      <c r="H76" s="7"/>
      <c r="I76" s="7"/>
      <c r="J76" s="7"/>
      <c r="K76" s="7"/>
      <c r="L76" s="7"/>
      <c r="M76" s="7"/>
      <c r="N76" s="7"/>
      <c r="O76" s="2"/>
      <c r="P76" s="2"/>
      <c r="Q76" s="2"/>
      <c r="R76" s="2"/>
      <c r="S76" s="2"/>
      <c r="T76" s="2"/>
      <c r="U76" s="2"/>
      <c r="V76" s="2"/>
      <c r="W76" s="2"/>
      <c r="X76" s="2"/>
      <c r="Y76" s="2"/>
      <c r="Z76" s="2"/>
    </row>
    <row r="77">
      <c r="A77" s="2"/>
      <c r="B77" s="7"/>
      <c r="C77" s="7"/>
      <c r="D77" s="7"/>
      <c r="E77" s="7"/>
      <c r="F77" s="7"/>
      <c r="G77" s="7"/>
      <c r="H77" s="7"/>
      <c r="I77" s="7"/>
      <c r="J77" s="7"/>
      <c r="K77" s="7"/>
      <c r="L77" s="7"/>
      <c r="M77" s="7"/>
      <c r="N77" s="7"/>
      <c r="O77" s="2"/>
      <c r="P77" s="2"/>
      <c r="Q77" s="2"/>
      <c r="R77" s="2"/>
      <c r="S77" s="2"/>
      <c r="T77" s="2"/>
      <c r="U77" s="2"/>
      <c r="V77" s="2"/>
      <c r="W77" s="2"/>
      <c r="X77" s="2"/>
      <c r="Y77" s="2"/>
      <c r="Z77" s="2"/>
    </row>
    <row r="78">
      <c r="A78" s="2"/>
      <c r="B78" s="7"/>
      <c r="C78" s="7"/>
      <c r="D78" s="7"/>
      <c r="E78" s="7"/>
      <c r="F78" s="7"/>
      <c r="G78" s="7"/>
      <c r="H78" s="7"/>
      <c r="I78" s="7"/>
      <c r="J78" s="7"/>
      <c r="K78" s="7"/>
      <c r="L78" s="7"/>
      <c r="M78" s="7"/>
      <c r="N78" s="7"/>
      <c r="O78" s="2"/>
      <c r="P78" s="2"/>
      <c r="Q78" s="2"/>
      <c r="R78" s="2"/>
      <c r="S78" s="2"/>
      <c r="T78" s="2"/>
      <c r="U78" s="2"/>
      <c r="V78" s="2"/>
      <c r="W78" s="2"/>
      <c r="X78" s="2"/>
      <c r="Y78" s="2"/>
      <c r="Z78" s="2"/>
    </row>
    <row r="79">
      <c r="A79" s="2"/>
      <c r="B79" s="7"/>
      <c r="C79" s="7"/>
      <c r="D79" s="7"/>
      <c r="E79" s="7"/>
      <c r="F79" s="7"/>
      <c r="G79" s="7"/>
      <c r="H79" s="7"/>
      <c r="I79" s="7"/>
      <c r="J79" s="7"/>
      <c r="K79" s="7"/>
      <c r="L79" s="7"/>
      <c r="M79" s="7"/>
      <c r="N79" s="7"/>
      <c r="O79" s="2"/>
      <c r="P79" s="2"/>
      <c r="Q79" s="2"/>
      <c r="R79" s="2"/>
      <c r="S79" s="2"/>
      <c r="T79" s="2"/>
      <c r="U79" s="2"/>
      <c r="V79" s="2"/>
      <c r="W79" s="2"/>
      <c r="X79" s="2"/>
      <c r="Y79" s="2"/>
      <c r="Z79" s="2"/>
    </row>
    <row r="80">
      <c r="A80" s="2"/>
      <c r="B80" s="7"/>
      <c r="C80" s="7"/>
      <c r="D80" s="7"/>
      <c r="E80" s="7"/>
      <c r="F80" s="7"/>
      <c r="G80" s="7"/>
      <c r="H80" s="7"/>
      <c r="I80" s="7"/>
      <c r="J80" s="7"/>
      <c r="K80" s="7"/>
      <c r="L80" s="7"/>
      <c r="M80" s="7"/>
      <c r="N80" s="7"/>
      <c r="O80" s="2"/>
      <c r="P80" s="2"/>
      <c r="Q80" s="2"/>
      <c r="R80" s="2"/>
      <c r="S80" s="2"/>
      <c r="T80" s="2"/>
      <c r="U80" s="2"/>
      <c r="V80" s="2"/>
      <c r="W80" s="2"/>
      <c r="X80" s="2"/>
      <c r="Y80" s="2"/>
      <c r="Z80" s="2"/>
    </row>
    <row r="81">
      <c r="A81" s="2"/>
      <c r="B81" s="7"/>
      <c r="C81" s="7"/>
      <c r="D81" s="7"/>
      <c r="E81" s="7"/>
      <c r="F81" s="7"/>
      <c r="G81" s="7"/>
      <c r="H81" s="7"/>
      <c r="I81" s="7"/>
      <c r="J81" s="7"/>
      <c r="K81" s="7"/>
      <c r="L81" s="7"/>
      <c r="M81" s="7"/>
      <c r="N81" s="7"/>
      <c r="O81" s="2"/>
      <c r="P81" s="2"/>
      <c r="Q81" s="2"/>
      <c r="R81" s="2"/>
      <c r="S81" s="2"/>
      <c r="T81" s="2"/>
      <c r="U81" s="2"/>
      <c r="V81" s="2"/>
      <c r="W81" s="2"/>
      <c r="X81" s="2"/>
      <c r="Y81" s="2"/>
      <c r="Z81" s="2"/>
    </row>
    <row r="82">
      <c r="A82" s="2"/>
      <c r="B82" s="7"/>
      <c r="C82" s="7"/>
      <c r="D82" s="7"/>
      <c r="E82" s="7"/>
      <c r="F82" s="7"/>
      <c r="G82" s="7"/>
      <c r="H82" s="7"/>
      <c r="I82" s="7"/>
      <c r="J82" s="7"/>
      <c r="K82" s="7"/>
      <c r="L82" s="7"/>
      <c r="M82" s="7"/>
      <c r="N82" s="7"/>
      <c r="O82" s="2"/>
      <c r="P82" s="2"/>
      <c r="Q82" s="2"/>
      <c r="R82" s="2"/>
      <c r="S82" s="2"/>
      <c r="T82" s="2"/>
      <c r="U82" s="2"/>
      <c r="V82" s="2"/>
      <c r="W82" s="2"/>
      <c r="X82" s="2"/>
      <c r="Y82" s="2"/>
      <c r="Z82" s="2"/>
    </row>
    <row r="83">
      <c r="A83" s="2"/>
      <c r="B83" s="7"/>
      <c r="C83" s="7"/>
      <c r="D83" s="7"/>
      <c r="E83" s="7"/>
      <c r="F83" s="7"/>
      <c r="G83" s="7"/>
      <c r="H83" s="7"/>
      <c r="I83" s="7"/>
      <c r="J83" s="7"/>
      <c r="K83" s="7"/>
      <c r="L83" s="7"/>
      <c r="M83" s="7"/>
      <c r="N83" s="7"/>
      <c r="O83" s="2"/>
      <c r="P83" s="2"/>
      <c r="Q83" s="2"/>
      <c r="R83" s="2"/>
      <c r="S83" s="2"/>
      <c r="T83" s="2"/>
      <c r="U83" s="2"/>
      <c r="V83" s="2"/>
      <c r="W83" s="2"/>
      <c r="X83" s="2"/>
      <c r="Y83" s="2"/>
      <c r="Z83" s="2"/>
    </row>
    <row r="84">
      <c r="A84" s="2"/>
      <c r="B84" s="7"/>
      <c r="C84" s="7"/>
      <c r="D84" s="7"/>
      <c r="E84" s="7"/>
      <c r="F84" s="7"/>
      <c r="G84" s="7"/>
      <c r="H84" s="7"/>
      <c r="I84" s="7"/>
      <c r="J84" s="7"/>
      <c r="K84" s="7"/>
      <c r="L84" s="7"/>
      <c r="M84" s="7"/>
      <c r="N84" s="7"/>
      <c r="O84" s="2"/>
      <c r="P84" s="2"/>
      <c r="Q84" s="2"/>
      <c r="R84" s="2"/>
      <c r="S84" s="2"/>
      <c r="T84" s="2"/>
      <c r="U84" s="2"/>
      <c r="V84" s="2"/>
      <c r="W84" s="2"/>
      <c r="X84" s="2"/>
      <c r="Y84" s="2"/>
      <c r="Z84" s="2"/>
    </row>
    <row r="85">
      <c r="A85" s="2"/>
      <c r="B85" s="7"/>
      <c r="C85" s="7"/>
      <c r="D85" s="7"/>
      <c r="E85" s="7"/>
      <c r="F85" s="7"/>
      <c r="G85" s="7"/>
      <c r="H85" s="7"/>
      <c r="I85" s="7"/>
      <c r="J85" s="7"/>
      <c r="K85" s="7"/>
      <c r="L85" s="7"/>
      <c r="M85" s="7"/>
      <c r="N85" s="7"/>
      <c r="O85" s="2"/>
      <c r="P85" s="2"/>
      <c r="Q85" s="2"/>
      <c r="R85" s="2"/>
      <c r="S85" s="2"/>
      <c r="T85" s="2"/>
      <c r="U85" s="2"/>
      <c r="V85" s="2"/>
      <c r="W85" s="2"/>
      <c r="X85" s="2"/>
      <c r="Y85" s="2"/>
      <c r="Z85" s="2"/>
    </row>
    <row r="86">
      <c r="A86" s="2"/>
      <c r="B86" s="7"/>
      <c r="C86" s="7"/>
      <c r="D86" s="7"/>
      <c r="E86" s="7"/>
      <c r="F86" s="7"/>
      <c r="G86" s="7"/>
      <c r="H86" s="7"/>
      <c r="I86" s="7"/>
      <c r="J86" s="7"/>
      <c r="K86" s="7"/>
      <c r="L86" s="7"/>
      <c r="M86" s="7"/>
      <c r="N86" s="7"/>
      <c r="O86" s="2"/>
      <c r="P86" s="2"/>
      <c r="Q86" s="2"/>
      <c r="R86" s="2"/>
      <c r="S86" s="2"/>
      <c r="T86" s="2"/>
      <c r="U86" s="2"/>
      <c r="V86" s="2"/>
      <c r="W86" s="2"/>
      <c r="X86" s="2"/>
      <c r="Y86" s="2"/>
      <c r="Z86" s="2"/>
    </row>
    <row r="87">
      <c r="A87" s="2"/>
      <c r="B87" s="7"/>
      <c r="C87" s="7"/>
      <c r="D87" s="7"/>
      <c r="E87" s="7"/>
      <c r="F87" s="7"/>
      <c r="G87" s="7"/>
      <c r="H87" s="7"/>
      <c r="I87" s="7"/>
      <c r="J87" s="7"/>
      <c r="K87" s="7"/>
      <c r="L87" s="7"/>
      <c r="M87" s="7"/>
      <c r="N87" s="7"/>
      <c r="O87" s="2"/>
      <c r="P87" s="2"/>
      <c r="Q87" s="2"/>
      <c r="R87" s="2"/>
      <c r="S87" s="2"/>
      <c r="T87" s="2"/>
      <c r="U87" s="2"/>
      <c r="V87" s="2"/>
      <c r="W87" s="2"/>
      <c r="X87" s="2"/>
      <c r="Y87" s="2"/>
      <c r="Z87" s="2"/>
    </row>
    <row r="88">
      <c r="A88" s="2"/>
      <c r="B88" s="7"/>
      <c r="C88" s="7"/>
      <c r="D88" s="7"/>
      <c r="E88" s="7"/>
      <c r="F88" s="7"/>
      <c r="G88" s="7"/>
      <c r="H88" s="7"/>
      <c r="I88" s="7"/>
      <c r="J88" s="7"/>
      <c r="K88" s="7"/>
      <c r="L88" s="7"/>
      <c r="M88" s="7"/>
      <c r="N88" s="7"/>
      <c r="O88" s="2"/>
      <c r="P88" s="2"/>
      <c r="Q88" s="2"/>
      <c r="R88" s="2"/>
      <c r="S88" s="2"/>
      <c r="T88" s="2"/>
      <c r="U88" s="2"/>
      <c r="V88" s="2"/>
      <c r="W88" s="2"/>
      <c r="X88" s="2"/>
      <c r="Y88" s="2"/>
      <c r="Z88" s="2"/>
    </row>
    <row r="89">
      <c r="A89" s="2"/>
      <c r="B89" s="7"/>
      <c r="C89" s="7"/>
      <c r="D89" s="7"/>
      <c r="E89" s="7"/>
      <c r="F89" s="7"/>
      <c r="G89" s="7"/>
      <c r="H89" s="7"/>
      <c r="I89" s="7"/>
      <c r="J89" s="7"/>
      <c r="K89" s="7"/>
      <c r="L89" s="7"/>
      <c r="M89" s="7"/>
      <c r="N89" s="7"/>
      <c r="O89" s="2"/>
      <c r="P89" s="2"/>
      <c r="Q89" s="2"/>
      <c r="R89" s="2"/>
      <c r="S89" s="2"/>
      <c r="T89" s="2"/>
      <c r="U89" s="2"/>
      <c r="V89" s="2"/>
      <c r="W89" s="2"/>
      <c r="X89" s="2"/>
      <c r="Y89" s="2"/>
      <c r="Z89" s="2"/>
    </row>
    <row r="90">
      <c r="A90" s="2"/>
      <c r="B90" s="7"/>
      <c r="C90" s="7"/>
      <c r="D90" s="7"/>
      <c r="E90" s="7"/>
      <c r="F90" s="7"/>
      <c r="G90" s="7"/>
      <c r="H90" s="7"/>
      <c r="I90" s="7"/>
      <c r="J90" s="7"/>
      <c r="K90" s="7"/>
      <c r="L90" s="7"/>
      <c r="M90" s="7"/>
      <c r="N90" s="7"/>
      <c r="O90" s="2"/>
      <c r="P90" s="2"/>
      <c r="Q90" s="2"/>
      <c r="R90" s="2"/>
      <c r="S90" s="2"/>
      <c r="T90" s="2"/>
      <c r="U90" s="2"/>
      <c r="V90" s="2"/>
      <c r="W90" s="2"/>
      <c r="X90" s="2"/>
      <c r="Y90" s="2"/>
      <c r="Z90" s="2"/>
    </row>
    <row r="91">
      <c r="A91" s="2"/>
      <c r="B91" s="7"/>
      <c r="C91" s="7"/>
      <c r="D91" s="7"/>
      <c r="E91" s="7"/>
      <c r="F91" s="7"/>
      <c r="G91" s="7"/>
      <c r="H91" s="7"/>
      <c r="I91" s="7"/>
      <c r="J91" s="7"/>
      <c r="K91" s="7"/>
      <c r="L91" s="7"/>
      <c r="M91" s="7"/>
      <c r="N91" s="7"/>
      <c r="O91" s="2"/>
      <c r="P91" s="2"/>
      <c r="Q91" s="2"/>
      <c r="R91" s="2"/>
      <c r="S91" s="2"/>
      <c r="T91" s="2"/>
      <c r="U91" s="2"/>
      <c r="V91" s="2"/>
      <c r="W91" s="2"/>
      <c r="X91" s="2"/>
      <c r="Y91" s="2"/>
      <c r="Z91" s="2"/>
    </row>
    <row r="92">
      <c r="A92" s="2"/>
      <c r="B92" s="7"/>
      <c r="C92" s="7"/>
      <c r="D92" s="7"/>
      <c r="E92" s="7"/>
      <c r="F92" s="7"/>
      <c r="G92" s="7"/>
      <c r="H92" s="7"/>
      <c r="I92" s="7"/>
      <c r="J92" s="7"/>
      <c r="K92" s="7"/>
      <c r="L92" s="7"/>
      <c r="M92" s="7"/>
      <c r="N92" s="7"/>
      <c r="O92" s="2"/>
      <c r="P92" s="2"/>
      <c r="Q92" s="2"/>
      <c r="R92" s="2"/>
      <c r="S92" s="2"/>
      <c r="T92" s="2"/>
      <c r="U92" s="2"/>
      <c r="V92" s="2"/>
      <c r="W92" s="2"/>
      <c r="X92" s="2"/>
      <c r="Y92" s="2"/>
      <c r="Z92" s="2"/>
    </row>
    <row r="93">
      <c r="A93" s="2"/>
      <c r="B93" s="7"/>
      <c r="C93" s="7"/>
      <c r="D93" s="7"/>
      <c r="E93" s="7"/>
      <c r="F93" s="7"/>
      <c r="G93" s="7"/>
      <c r="H93" s="7"/>
      <c r="I93" s="7"/>
      <c r="J93" s="7"/>
      <c r="K93" s="7"/>
      <c r="L93" s="7"/>
      <c r="M93" s="7"/>
      <c r="N93" s="7"/>
      <c r="O93" s="2"/>
      <c r="P93" s="2"/>
      <c r="Q93" s="2"/>
      <c r="R93" s="2"/>
      <c r="S93" s="2"/>
      <c r="T93" s="2"/>
      <c r="U93" s="2"/>
      <c r="V93" s="2"/>
      <c r="W93" s="2"/>
      <c r="X93" s="2"/>
      <c r="Y93" s="2"/>
      <c r="Z93" s="2"/>
    </row>
    <row r="94">
      <c r="A94" s="2"/>
      <c r="B94" s="7"/>
      <c r="C94" s="7"/>
      <c r="D94" s="7"/>
      <c r="E94" s="7"/>
      <c r="F94" s="7"/>
      <c r="G94" s="7"/>
      <c r="H94" s="7"/>
      <c r="I94" s="7"/>
      <c r="J94" s="7"/>
      <c r="K94" s="7"/>
      <c r="L94" s="7"/>
      <c r="M94" s="7"/>
      <c r="N94" s="7"/>
      <c r="O94" s="2"/>
      <c r="P94" s="2"/>
      <c r="Q94" s="2"/>
      <c r="R94" s="2"/>
      <c r="S94" s="2"/>
      <c r="T94" s="2"/>
      <c r="U94" s="2"/>
      <c r="V94" s="2"/>
      <c r="W94" s="2"/>
      <c r="X94" s="2"/>
      <c r="Y94" s="2"/>
      <c r="Z94" s="2"/>
    </row>
    <row r="95">
      <c r="A95" s="2"/>
      <c r="B95" s="7"/>
      <c r="C95" s="7"/>
      <c r="D95" s="7"/>
      <c r="E95" s="7"/>
      <c r="F95" s="7"/>
      <c r="G95" s="7"/>
      <c r="H95" s="7"/>
      <c r="I95" s="7"/>
      <c r="J95" s="7"/>
      <c r="K95" s="7"/>
      <c r="L95" s="7"/>
      <c r="M95" s="7"/>
      <c r="N95" s="7"/>
      <c r="O95" s="2"/>
      <c r="P95" s="2"/>
      <c r="Q95" s="2"/>
      <c r="R95" s="2"/>
      <c r="S95" s="2"/>
      <c r="T95" s="2"/>
      <c r="U95" s="2"/>
      <c r="V95" s="2"/>
      <c r="W95" s="2"/>
      <c r="X95" s="2"/>
      <c r="Y95" s="2"/>
      <c r="Z95" s="2"/>
    </row>
    <row r="96">
      <c r="A96" s="2"/>
      <c r="B96" s="7"/>
      <c r="C96" s="7"/>
      <c r="D96" s="7"/>
      <c r="E96" s="7"/>
      <c r="F96" s="7"/>
      <c r="G96" s="7"/>
      <c r="H96" s="7"/>
      <c r="I96" s="7"/>
      <c r="J96" s="7"/>
      <c r="K96" s="7"/>
      <c r="L96" s="7"/>
      <c r="M96" s="7"/>
      <c r="N96" s="7"/>
      <c r="O96" s="2"/>
      <c r="P96" s="2"/>
      <c r="Q96" s="2"/>
      <c r="R96" s="2"/>
      <c r="S96" s="2"/>
      <c r="T96" s="2"/>
      <c r="U96" s="2"/>
      <c r="V96" s="2"/>
      <c r="W96" s="2"/>
      <c r="X96" s="2"/>
      <c r="Y96" s="2"/>
      <c r="Z96" s="2"/>
    </row>
    <row r="97">
      <c r="A97" s="2"/>
      <c r="B97" s="7"/>
      <c r="C97" s="7"/>
      <c r="D97" s="7"/>
      <c r="E97" s="7"/>
      <c r="F97" s="7"/>
      <c r="G97" s="7"/>
      <c r="H97" s="7"/>
      <c r="I97" s="7"/>
      <c r="J97" s="7"/>
      <c r="K97" s="7"/>
      <c r="L97" s="7"/>
      <c r="M97" s="7"/>
      <c r="N97" s="7"/>
      <c r="O97" s="2"/>
      <c r="P97" s="2"/>
      <c r="Q97" s="2"/>
      <c r="R97" s="2"/>
      <c r="S97" s="2"/>
      <c r="T97" s="2"/>
      <c r="U97" s="2"/>
      <c r="V97" s="2"/>
      <c r="W97" s="2"/>
      <c r="X97" s="2"/>
      <c r="Y97" s="2"/>
      <c r="Z97" s="2"/>
    </row>
    <row r="98">
      <c r="A98" s="2"/>
      <c r="B98" s="7"/>
      <c r="C98" s="7"/>
      <c r="D98" s="7"/>
      <c r="E98" s="7"/>
      <c r="F98" s="7"/>
      <c r="G98" s="7"/>
      <c r="H98" s="7"/>
      <c r="I98" s="7"/>
      <c r="J98" s="7"/>
      <c r="K98" s="7"/>
      <c r="L98" s="7"/>
      <c r="M98" s="7"/>
      <c r="N98" s="7"/>
      <c r="O98" s="2"/>
      <c r="P98" s="2"/>
      <c r="Q98" s="2"/>
      <c r="R98" s="2"/>
      <c r="S98" s="2"/>
      <c r="T98" s="2"/>
      <c r="U98" s="2"/>
      <c r="V98" s="2"/>
      <c r="W98" s="2"/>
      <c r="X98" s="2"/>
      <c r="Y98" s="2"/>
      <c r="Z98" s="2"/>
    </row>
    <row r="99">
      <c r="A99" s="2"/>
      <c r="B99" s="7"/>
      <c r="C99" s="7"/>
      <c r="D99" s="7"/>
      <c r="E99" s="7"/>
      <c r="F99" s="7"/>
      <c r="G99" s="7"/>
      <c r="H99" s="7"/>
      <c r="I99" s="7"/>
      <c r="J99" s="7"/>
      <c r="K99" s="7"/>
      <c r="L99" s="7"/>
      <c r="M99" s="7"/>
      <c r="N99" s="7"/>
      <c r="O99" s="2"/>
      <c r="P99" s="2"/>
      <c r="Q99" s="2"/>
      <c r="R99" s="2"/>
      <c r="S99" s="2"/>
      <c r="T99" s="2"/>
      <c r="U99" s="2"/>
      <c r="V99" s="2"/>
      <c r="W99" s="2"/>
      <c r="X99" s="2"/>
      <c r="Y99" s="2"/>
      <c r="Z99" s="2"/>
    </row>
    <row r="100">
      <c r="A100" s="2"/>
      <c r="B100" s="7"/>
      <c r="C100" s="7"/>
      <c r="D100" s="7"/>
      <c r="E100" s="7"/>
      <c r="F100" s="7"/>
      <c r="G100" s="7"/>
      <c r="H100" s="7"/>
      <c r="I100" s="7"/>
      <c r="J100" s="7"/>
      <c r="K100" s="7"/>
      <c r="L100" s="7"/>
      <c r="M100" s="7"/>
      <c r="N100" s="7"/>
      <c r="O100" s="2"/>
      <c r="P100" s="2"/>
      <c r="Q100" s="2"/>
      <c r="R100" s="2"/>
      <c r="S100" s="2"/>
      <c r="T100" s="2"/>
      <c r="U100" s="2"/>
      <c r="V100" s="2"/>
      <c r="W100" s="2"/>
      <c r="X100" s="2"/>
      <c r="Y100" s="2"/>
      <c r="Z100" s="2"/>
    </row>
    <row r="101">
      <c r="A101" s="2"/>
      <c r="B101" s="7"/>
      <c r="C101" s="7"/>
      <c r="D101" s="7"/>
      <c r="E101" s="7"/>
      <c r="F101" s="7"/>
      <c r="G101" s="7"/>
      <c r="H101" s="7"/>
      <c r="I101" s="7"/>
      <c r="J101" s="7"/>
      <c r="K101" s="7"/>
      <c r="L101" s="7"/>
      <c r="M101" s="7"/>
      <c r="N101" s="7"/>
      <c r="O101" s="2"/>
      <c r="P101" s="2"/>
      <c r="Q101" s="2"/>
      <c r="R101" s="2"/>
      <c r="S101" s="2"/>
      <c r="T101" s="2"/>
      <c r="U101" s="2"/>
      <c r="V101" s="2"/>
      <c r="W101" s="2"/>
      <c r="X101" s="2"/>
      <c r="Y101" s="2"/>
      <c r="Z101" s="2"/>
    </row>
    <row r="102">
      <c r="A102" s="2"/>
      <c r="B102" s="7"/>
      <c r="C102" s="7"/>
      <c r="D102" s="7"/>
      <c r="E102" s="7"/>
      <c r="F102" s="7"/>
      <c r="G102" s="7"/>
      <c r="H102" s="7"/>
      <c r="I102" s="7"/>
      <c r="J102" s="7"/>
      <c r="K102" s="7"/>
      <c r="L102" s="7"/>
      <c r="M102" s="7"/>
      <c r="N102" s="7"/>
      <c r="O102" s="2"/>
      <c r="P102" s="2"/>
      <c r="Q102" s="2"/>
      <c r="R102" s="2"/>
      <c r="S102" s="2"/>
      <c r="T102" s="2"/>
      <c r="U102" s="2"/>
      <c r="V102" s="2"/>
      <c r="W102" s="2"/>
      <c r="X102" s="2"/>
      <c r="Y102" s="2"/>
      <c r="Z102" s="2"/>
    </row>
    <row r="103">
      <c r="A103" s="2"/>
      <c r="B103" s="7"/>
      <c r="C103" s="7"/>
      <c r="D103" s="7"/>
      <c r="E103" s="7"/>
      <c r="F103" s="7"/>
      <c r="G103" s="7"/>
      <c r="H103" s="7"/>
      <c r="I103" s="7"/>
      <c r="J103" s="7"/>
      <c r="K103" s="7"/>
      <c r="L103" s="7"/>
      <c r="M103" s="7"/>
      <c r="N103" s="7"/>
      <c r="O103" s="2"/>
      <c r="P103" s="2"/>
      <c r="Q103" s="2"/>
      <c r="R103" s="2"/>
      <c r="S103" s="2"/>
      <c r="T103" s="2"/>
      <c r="U103" s="2"/>
      <c r="V103" s="2"/>
      <c r="W103" s="2"/>
      <c r="X103" s="2"/>
      <c r="Y103" s="2"/>
      <c r="Z103" s="2"/>
    </row>
    <row r="104">
      <c r="A104" s="2"/>
      <c r="B104" s="7"/>
      <c r="C104" s="7"/>
      <c r="D104" s="7"/>
      <c r="E104" s="7"/>
      <c r="F104" s="7"/>
      <c r="G104" s="7"/>
      <c r="H104" s="7"/>
      <c r="I104" s="7"/>
      <c r="J104" s="7"/>
      <c r="K104" s="7"/>
      <c r="L104" s="7"/>
      <c r="M104" s="7"/>
      <c r="N104" s="7"/>
      <c r="O104" s="2"/>
      <c r="P104" s="2"/>
      <c r="Q104" s="2"/>
      <c r="R104" s="2"/>
      <c r="S104" s="2"/>
      <c r="T104" s="2"/>
      <c r="U104" s="2"/>
      <c r="V104" s="2"/>
      <c r="W104" s="2"/>
      <c r="X104" s="2"/>
      <c r="Y104" s="2"/>
      <c r="Z104" s="2"/>
    </row>
    <row r="105">
      <c r="A105" s="2"/>
      <c r="B105" s="7"/>
      <c r="C105" s="7"/>
      <c r="D105" s="7"/>
      <c r="E105" s="7"/>
      <c r="F105" s="7"/>
      <c r="G105" s="7"/>
      <c r="H105" s="7"/>
      <c r="I105" s="7"/>
      <c r="J105" s="7"/>
      <c r="K105" s="7"/>
      <c r="L105" s="7"/>
      <c r="M105" s="7"/>
      <c r="N105" s="7"/>
      <c r="O105" s="2"/>
      <c r="P105" s="2"/>
      <c r="Q105" s="2"/>
      <c r="R105" s="2"/>
      <c r="S105" s="2"/>
      <c r="T105" s="2"/>
      <c r="U105" s="2"/>
      <c r="V105" s="2"/>
      <c r="W105" s="2"/>
      <c r="X105" s="2"/>
      <c r="Y105" s="2"/>
      <c r="Z105" s="2"/>
    </row>
    <row r="106">
      <c r="A106" s="2"/>
      <c r="B106" s="7"/>
      <c r="C106" s="7"/>
      <c r="D106" s="7"/>
      <c r="E106" s="7"/>
      <c r="F106" s="7"/>
      <c r="G106" s="7"/>
      <c r="H106" s="7"/>
      <c r="I106" s="7"/>
      <c r="J106" s="7"/>
      <c r="K106" s="7"/>
      <c r="L106" s="7"/>
      <c r="M106" s="7"/>
      <c r="N106" s="7"/>
      <c r="O106" s="2"/>
      <c r="P106" s="2"/>
      <c r="Q106" s="2"/>
      <c r="R106" s="2"/>
      <c r="S106" s="2"/>
      <c r="T106" s="2"/>
      <c r="U106" s="2"/>
      <c r="V106" s="2"/>
      <c r="W106" s="2"/>
      <c r="X106" s="2"/>
      <c r="Y106" s="2"/>
      <c r="Z106" s="2"/>
    </row>
    <row r="107">
      <c r="A107" s="2"/>
      <c r="B107" s="7"/>
      <c r="C107" s="7"/>
      <c r="D107" s="7"/>
      <c r="E107" s="7"/>
      <c r="F107" s="7"/>
      <c r="G107" s="7"/>
      <c r="H107" s="7"/>
      <c r="I107" s="7"/>
      <c r="J107" s="7"/>
      <c r="K107" s="7"/>
      <c r="L107" s="7"/>
      <c r="M107" s="7"/>
      <c r="N107" s="7"/>
      <c r="O107" s="2"/>
      <c r="P107" s="2"/>
      <c r="Q107" s="2"/>
      <c r="R107" s="2"/>
      <c r="S107" s="2"/>
      <c r="T107" s="2"/>
      <c r="U107" s="2"/>
      <c r="V107" s="2"/>
      <c r="W107" s="2"/>
      <c r="X107" s="2"/>
      <c r="Y107" s="2"/>
      <c r="Z107" s="2"/>
    </row>
    <row r="108">
      <c r="A108" s="2"/>
      <c r="B108" s="7"/>
      <c r="C108" s="7"/>
      <c r="D108" s="7"/>
      <c r="E108" s="7"/>
      <c r="F108" s="7"/>
      <c r="G108" s="7"/>
      <c r="H108" s="7"/>
      <c r="I108" s="7"/>
      <c r="J108" s="7"/>
      <c r="K108" s="7"/>
      <c r="L108" s="7"/>
      <c r="M108" s="7"/>
      <c r="N108" s="7"/>
      <c r="O108" s="2"/>
      <c r="P108" s="2"/>
      <c r="Q108" s="2"/>
      <c r="R108" s="2"/>
      <c r="S108" s="2"/>
      <c r="T108" s="2"/>
      <c r="U108" s="2"/>
      <c r="V108" s="2"/>
      <c r="W108" s="2"/>
      <c r="X108" s="2"/>
      <c r="Y108" s="2"/>
      <c r="Z108" s="2"/>
    </row>
    <row r="109">
      <c r="A109" s="2"/>
      <c r="B109" s="7"/>
      <c r="C109" s="7"/>
      <c r="D109" s="7"/>
      <c r="E109" s="7"/>
      <c r="F109" s="7"/>
      <c r="G109" s="7"/>
      <c r="H109" s="7"/>
      <c r="I109" s="7"/>
      <c r="J109" s="7"/>
      <c r="K109" s="7"/>
      <c r="L109" s="7"/>
      <c r="M109" s="7"/>
      <c r="N109" s="7"/>
      <c r="O109" s="2"/>
      <c r="P109" s="2"/>
      <c r="Q109" s="2"/>
      <c r="R109" s="2"/>
      <c r="S109" s="2"/>
      <c r="T109" s="2"/>
      <c r="U109" s="2"/>
      <c r="V109" s="2"/>
      <c r="W109" s="2"/>
      <c r="X109" s="2"/>
      <c r="Y109" s="2"/>
      <c r="Z109" s="2"/>
    </row>
    <row r="110">
      <c r="A110" s="2"/>
      <c r="B110" s="7"/>
      <c r="C110" s="7"/>
      <c r="D110" s="7"/>
      <c r="E110" s="7"/>
      <c r="F110" s="7"/>
      <c r="G110" s="7"/>
      <c r="H110" s="7"/>
      <c r="I110" s="7"/>
      <c r="J110" s="7"/>
      <c r="K110" s="7"/>
      <c r="L110" s="7"/>
      <c r="M110" s="7"/>
      <c r="N110" s="7"/>
      <c r="O110" s="2"/>
      <c r="P110" s="2"/>
      <c r="Q110" s="2"/>
      <c r="R110" s="2"/>
      <c r="S110" s="2"/>
      <c r="T110" s="2"/>
      <c r="U110" s="2"/>
      <c r="V110" s="2"/>
      <c r="W110" s="2"/>
      <c r="X110" s="2"/>
      <c r="Y110" s="2"/>
      <c r="Z110" s="2"/>
    </row>
    <row r="111">
      <c r="A111" s="2"/>
      <c r="B111" s="7"/>
      <c r="C111" s="7"/>
      <c r="D111" s="7"/>
      <c r="E111" s="7"/>
      <c r="F111" s="7"/>
      <c r="G111" s="7"/>
      <c r="H111" s="7"/>
      <c r="I111" s="7"/>
      <c r="J111" s="7"/>
      <c r="K111" s="7"/>
      <c r="L111" s="7"/>
      <c r="M111" s="7"/>
      <c r="N111" s="7"/>
      <c r="O111" s="2"/>
      <c r="P111" s="2"/>
      <c r="Q111" s="2"/>
      <c r="R111" s="2"/>
      <c r="S111" s="2"/>
      <c r="T111" s="2"/>
      <c r="U111" s="2"/>
      <c r="V111" s="2"/>
      <c r="W111" s="2"/>
      <c r="X111" s="2"/>
      <c r="Y111" s="2"/>
      <c r="Z111" s="2"/>
    </row>
    <row r="112">
      <c r="A112" s="2"/>
      <c r="B112" s="7"/>
      <c r="C112" s="7"/>
      <c r="D112" s="7"/>
      <c r="E112" s="7"/>
      <c r="F112" s="7"/>
      <c r="G112" s="7"/>
      <c r="H112" s="7"/>
      <c r="I112" s="7"/>
      <c r="J112" s="7"/>
      <c r="K112" s="7"/>
      <c r="L112" s="7"/>
      <c r="M112" s="7"/>
      <c r="N112" s="7"/>
      <c r="O112" s="2"/>
      <c r="P112" s="2"/>
      <c r="Q112" s="2"/>
      <c r="R112" s="2"/>
      <c r="S112" s="2"/>
      <c r="T112" s="2"/>
      <c r="U112" s="2"/>
      <c r="V112" s="2"/>
      <c r="W112" s="2"/>
      <c r="X112" s="2"/>
      <c r="Y112" s="2"/>
      <c r="Z112" s="2"/>
    </row>
    <row r="113">
      <c r="A113" s="2"/>
      <c r="B113" s="7"/>
      <c r="C113" s="7"/>
      <c r="D113" s="7"/>
      <c r="E113" s="7"/>
      <c r="F113" s="7"/>
      <c r="G113" s="7"/>
      <c r="H113" s="7"/>
      <c r="I113" s="7"/>
      <c r="J113" s="7"/>
      <c r="K113" s="7"/>
      <c r="L113" s="7"/>
      <c r="M113" s="7"/>
      <c r="N113" s="7"/>
      <c r="O113" s="2"/>
      <c r="P113" s="2"/>
      <c r="Q113" s="2"/>
      <c r="R113" s="2"/>
      <c r="S113" s="2"/>
      <c r="T113" s="2"/>
      <c r="U113" s="2"/>
      <c r="V113" s="2"/>
      <c r="W113" s="2"/>
      <c r="X113" s="2"/>
      <c r="Y113" s="2"/>
      <c r="Z113" s="2"/>
    </row>
    <row r="114">
      <c r="A114" s="2"/>
      <c r="B114" s="7"/>
      <c r="C114" s="7"/>
      <c r="D114" s="7"/>
      <c r="E114" s="7"/>
      <c r="F114" s="7"/>
      <c r="G114" s="7"/>
      <c r="H114" s="7"/>
      <c r="I114" s="7"/>
      <c r="J114" s="7"/>
      <c r="K114" s="7"/>
      <c r="L114" s="7"/>
      <c r="M114" s="7"/>
      <c r="N114" s="7"/>
      <c r="O114" s="2"/>
      <c r="P114" s="2"/>
      <c r="Q114" s="2"/>
      <c r="R114" s="2"/>
      <c r="S114" s="2"/>
      <c r="T114" s="2"/>
      <c r="U114" s="2"/>
      <c r="V114" s="2"/>
      <c r="W114" s="2"/>
      <c r="X114" s="2"/>
      <c r="Y114" s="2"/>
      <c r="Z114" s="2"/>
    </row>
    <row r="115">
      <c r="A115" s="2"/>
      <c r="B115" s="7"/>
      <c r="C115" s="7"/>
      <c r="D115" s="7"/>
      <c r="E115" s="7"/>
      <c r="F115" s="7"/>
      <c r="G115" s="7"/>
      <c r="H115" s="7"/>
      <c r="I115" s="7"/>
      <c r="J115" s="7"/>
      <c r="K115" s="7"/>
      <c r="L115" s="7"/>
      <c r="M115" s="7"/>
      <c r="N115" s="7"/>
      <c r="O115" s="2"/>
      <c r="P115" s="2"/>
      <c r="Q115" s="2"/>
      <c r="R115" s="2"/>
      <c r="S115" s="2"/>
      <c r="T115" s="2"/>
      <c r="U115" s="2"/>
      <c r="V115" s="2"/>
      <c r="W115" s="2"/>
      <c r="X115" s="2"/>
      <c r="Y115" s="2"/>
      <c r="Z115" s="2"/>
    </row>
    <row r="116">
      <c r="A116" s="2"/>
      <c r="B116" s="7"/>
      <c r="C116" s="7"/>
      <c r="D116" s="7"/>
      <c r="E116" s="7"/>
      <c r="F116" s="7"/>
      <c r="G116" s="7"/>
      <c r="H116" s="7"/>
      <c r="I116" s="7"/>
      <c r="J116" s="7"/>
      <c r="K116" s="7"/>
      <c r="L116" s="7"/>
      <c r="M116" s="7"/>
      <c r="N116" s="7"/>
      <c r="O116" s="2"/>
      <c r="P116" s="2"/>
      <c r="Q116" s="2"/>
      <c r="R116" s="2"/>
      <c r="S116" s="2"/>
      <c r="T116" s="2"/>
      <c r="U116" s="2"/>
      <c r="V116" s="2"/>
      <c r="W116" s="2"/>
      <c r="X116" s="2"/>
      <c r="Y116" s="2"/>
      <c r="Z116" s="2"/>
    </row>
    <row r="117">
      <c r="A117" s="2"/>
      <c r="B117" s="7"/>
      <c r="C117" s="7"/>
      <c r="D117" s="7"/>
      <c r="E117" s="7"/>
      <c r="F117" s="7"/>
      <c r="G117" s="7"/>
      <c r="H117" s="7"/>
      <c r="I117" s="7"/>
      <c r="J117" s="7"/>
      <c r="K117" s="7"/>
      <c r="L117" s="7"/>
      <c r="M117" s="7"/>
      <c r="N117" s="7"/>
      <c r="O117" s="2"/>
      <c r="P117" s="2"/>
      <c r="Q117" s="2"/>
      <c r="R117" s="2"/>
      <c r="S117" s="2"/>
      <c r="T117" s="2"/>
      <c r="U117" s="2"/>
      <c r="V117" s="2"/>
      <c r="W117" s="2"/>
      <c r="X117" s="2"/>
      <c r="Y117" s="2"/>
      <c r="Z117" s="2"/>
    </row>
    <row r="118">
      <c r="A118" s="2"/>
      <c r="B118" s="7"/>
      <c r="C118" s="7"/>
      <c r="D118" s="7"/>
      <c r="E118" s="7"/>
      <c r="F118" s="7"/>
      <c r="G118" s="7"/>
      <c r="H118" s="7"/>
      <c r="I118" s="7"/>
      <c r="J118" s="7"/>
      <c r="K118" s="7"/>
      <c r="L118" s="7"/>
      <c r="M118" s="7"/>
      <c r="N118" s="7"/>
      <c r="O118" s="2"/>
      <c r="P118" s="2"/>
      <c r="Q118" s="2"/>
      <c r="R118" s="2"/>
      <c r="S118" s="2"/>
      <c r="T118" s="2"/>
      <c r="U118" s="2"/>
      <c r="V118" s="2"/>
      <c r="W118" s="2"/>
      <c r="X118" s="2"/>
      <c r="Y118" s="2"/>
      <c r="Z118" s="2"/>
    </row>
    <row r="119">
      <c r="A119" s="2"/>
      <c r="B119" s="7"/>
      <c r="C119" s="7"/>
      <c r="D119" s="7"/>
      <c r="E119" s="7"/>
      <c r="F119" s="7"/>
      <c r="G119" s="7"/>
      <c r="H119" s="7"/>
      <c r="I119" s="7"/>
      <c r="J119" s="7"/>
      <c r="K119" s="7"/>
      <c r="L119" s="7"/>
      <c r="M119" s="7"/>
      <c r="N119" s="7"/>
      <c r="O119" s="2"/>
      <c r="P119" s="2"/>
      <c r="Q119" s="2"/>
      <c r="R119" s="2"/>
      <c r="S119" s="2"/>
      <c r="T119" s="2"/>
      <c r="U119" s="2"/>
      <c r="V119" s="2"/>
      <c r="W119" s="2"/>
      <c r="X119" s="2"/>
      <c r="Y119" s="2"/>
      <c r="Z119" s="2"/>
    </row>
    <row r="120">
      <c r="A120" s="2"/>
      <c r="B120" s="7"/>
      <c r="C120" s="7"/>
      <c r="D120" s="7"/>
      <c r="E120" s="7"/>
      <c r="F120" s="7"/>
      <c r="G120" s="7"/>
      <c r="H120" s="7"/>
      <c r="I120" s="7"/>
      <c r="J120" s="7"/>
      <c r="K120" s="7"/>
      <c r="L120" s="7"/>
      <c r="M120" s="7"/>
      <c r="N120" s="7"/>
      <c r="O120" s="2"/>
      <c r="P120" s="2"/>
      <c r="Q120" s="2"/>
      <c r="R120" s="2"/>
      <c r="S120" s="2"/>
      <c r="T120" s="2"/>
      <c r="U120" s="2"/>
      <c r="V120" s="2"/>
      <c r="W120" s="2"/>
      <c r="X120" s="2"/>
      <c r="Y120" s="2"/>
      <c r="Z120" s="2"/>
    </row>
    <row r="121">
      <c r="A121" s="2"/>
      <c r="B121" s="7"/>
      <c r="C121" s="7"/>
      <c r="D121" s="7"/>
      <c r="E121" s="7"/>
      <c r="F121" s="7"/>
      <c r="G121" s="7"/>
      <c r="H121" s="7"/>
      <c r="I121" s="7"/>
      <c r="J121" s="7"/>
      <c r="K121" s="7"/>
      <c r="L121" s="7"/>
      <c r="M121" s="7"/>
      <c r="N121" s="7"/>
      <c r="O121" s="2"/>
      <c r="P121" s="2"/>
      <c r="Q121" s="2"/>
      <c r="R121" s="2"/>
      <c r="S121" s="2"/>
      <c r="T121" s="2"/>
      <c r="U121" s="2"/>
      <c r="V121" s="2"/>
      <c r="W121" s="2"/>
      <c r="X121" s="2"/>
      <c r="Y121" s="2"/>
      <c r="Z121" s="2"/>
    </row>
    <row r="122">
      <c r="A122" s="2"/>
      <c r="B122" s="7"/>
      <c r="C122" s="7"/>
      <c r="D122" s="7"/>
      <c r="E122" s="7"/>
      <c r="F122" s="7"/>
      <c r="G122" s="7"/>
      <c r="H122" s="7"/>
      <c r="I122" s="7"/>
      <c r="J122" s="7"/>
      <c r="K122" s="7"/>
      <c r="L122" s="7"/>
      <c r="M122" s="7"/>
      <c r="N122" s="7"/>
      <c r="O122" s="2"/>
      <c r="P122" s="2"/>
      <c r="Q122" s="2"/>
      <c r="R122" s="2"/>
      <c r="S122" s="2"/>
      <c r="T122" s="2"/>
      <c r="U122" s="2"/>
      <c r="V122" s="2"/>
      <c r="W122" s="2"/>
      <c r="X122" s="2"/>
      <c r="Y122" s="2"/>
      <c r="Z122" s="2"/>
    </row>
    <row r="123">
      <c r="A123" s="2"/>
      <c r="B123" s="7"/>
      <c r="C123" s="7"/>
      <c r="D123" s="7"/>
      <c r="E123" s="7"/>
      <c r="F123" s="7"/>
      <c r="G123" s="7"/>
      <c r="H123" s="7"/>
      <c r="I123" s="7"/>
      <c r="J123" s="7"/>
      <c r="K123" s="7"/>
      <c r="L123" s="7"/>
      <c r="M123" s="7"/>
      <c r="N123" s="7"/>
      <c r="O123" s="2"/>
      <c r="P123" s="2"/>
      <c r="Q123" s="2"/>
      <c r="R123" s="2"/>
      <c r="S123" s="2"/>
      <c r="T123" s="2"/>
      <c r="U123" s="2"/>
      <c r="V123" s="2"/>
      <c r="W123" s="2"/>
      <c r="X123" s="2"/>
      <c r="Y123" s="2"/>
      <c r="Z123" s="2"/>
    </row>
    <row r="124">
      <c r="A124" s="2"/>
      <c r="B124" s="7"/>
      <c r="C124" s="7"/>
      <c r="D124" s="7"/>
      <c r="E124" s="7"/>
      <c r="F124" s="7"/>
      <c r="G124" s="7"/>
      <c r="H124" s="7"/>
      <c r="I124" s="7"/>
      <c r="J124" s="7"/>
      <c r="K124" s="7"/>
      <c r="L124" s="7"/>
      <c r="M124" s="7"/>
      <c r="N124" s="7"/>
      <c r="O124" s="2"/>
      <c r="P124" s="2"/>
      <c r="Q124" s="2"/>
      <c r="R124" s="2"/>
      <c r="S124" s="2"/>
      <c r="T124" s="2"/>
      <c r="U124" s="2"/>
      <c r="V124" s="2"/>
      <c r="W124" s="2"/>
      <c r="X124" s="2"/>
      <c r="Y124" s="2"/>
      <c r="Z124" s="2"/>
    </row>
    <row r="125">
      <c r="A125" s="2"/>
      <c r="B125" s="7"/>
      <c r="C125" s="7"/>
      <c r="D125" s="7"/>
      <c r="E125" s="7"/>
      <c r="F125" s="7"/>
      <c r="G125" s="7"/>
      <c r="H125" s="7"/>
      <c r="I125" s="7"/>
      <c r="J125" s="7"/>
      <c r="K125" s="7"/>
      <c r="L125" s="7"/>
      <c r="M125" s="7"/>
      <c r="N125" s="7"/>
      <c r="O125" s="2"/>
      <c r="P125" s="2"/>
      <c r="Q125" s="2"/>
      <c r="R125" s="2"/>
      <c r="S125" s="2"/>
      <c r="T125" s="2"/>
      <c r="U125" s="2"/>
      <c r="V125" s="2"/>
      <c r="W125" s="2"/>
      <c r="X125" s="2"/>
      <c r="Y125" s="2"/>
      <c r="Z125" s="2"/>
    </row>
    <row r="126">
      <c r="A126" s="2"/>
      <c r="B126" s="7"/>
      <c r="C126" s="7"/>
      <c r="D126" s="7"/>
      <c r="E126" s="7"/>
      <c r="F126" s="7"/>
      <c r="G126" s="7"/>
      <c r="H126" s="7"/>
      <c r="I126" s="7"/>
      <c r="J126" s="7"/>
      <c r="K126" s="7"/>
      <c r="L126" s="7"/>
      <c r="M126" s="7"/>
      <c r="N126" s="7"/>
      <c r="O126" s="2"/>
      <c r="P126" s="2"/>
      <c r="Q126" s="2"/>
      <c r="R126" s="2"/>
      <c r="S126" s="2"/>
      <c r="T126" s="2"/>
      <c r="U126" s="2"/>
      <c r="V126" s="2"/>
      <c r="W126" s="2"/>
      <c r="X126" s="2"/>
      <c r="Y126" s="2"/>
      <c r="Z126" s="2"/>
    </row>
    <row r="127">
      <c r="A127" s="2"/>
      <c r="B127" s="7"/>
      <c r="C127" s="7"/>
      <c r="D127" s="7"/>
      <c r="E127" s="7"/>
      <c r="F127" s="7"/>
      <c r="G127" s="7"/>
      <c r="H127" s="7"/>
      <c r="I127" s="7"/>
      <c r="J127" s="7"/>
      <c r="K127" s="7"/>
      <c r="L127" s="7"/>
      <c r="M127" s="7"/>
      <c r="N127" s="7"/>
      <c r="O127" s="2"/>
      <c r="P127" s="2"/>
      <c r="Q127" s="2"/>
      <c r="R127" s="2"/>
      <c r="S127" s="2"/>
      <c r="T127" s="2"/>
      <c r="U127" s="2"/>
      <c r="V127" s="2"/>
      <c r="W127" s="2"/>
      <c r="X127" s="2"/>
      <c r="Y127" s="2"/>
      <c r="Z127" s="2"/>
    </row>
    <row r="128">
      <c r="A128" s="2"/>
      <c r="B128" s="7"/>
      <c r="C128" s="7"/>
      <c r="D128" s="7"/>
      <c r="E128" s="7"/>
      <c r="F128" s="7"/>
      <c r="G128" s="7"/>
      <c r="H128" s="7"/>
      <c r="I128" s="7"/>
      <c r="J128" s="7"/>
      <c r="K128" s="7"/>
      <c r="L128" s="7"/>
      <c r="M128" s="7"/>
      <c r="N128" s="7"/>
      <c r="O128" s="2"/>
      <c r="P128" s="2"/>
      <c r="Q128" s="2"/>
      <c r="R128" s="2"/>
      <c r="S128" s="2"/>
      <c r="T128" s="2"/>
      <c r="U128" s="2"/>
      <c r="V128" s="2"/>
      <c r="W128" s="2"/>
      <c r="X128" s="2"/>
      <c r="Y128" s="2"/>
      <c r="Z128" s="2"/>
    </row>
    <row r="129">
      <c r="A129" s="2"/>
      <c r="B129" s="7"/>
      <c r="C129" s="7"/>
      <c r="D129" s="7"/>
      <c r="E129" s="7"/>
      <c r="F129" s="7"/>
      <c r="G129" s="7"/>
      <c r="H129" s="7"/>
      <c r="I129" s="7"/>
      <c r="J129" s="7"/>
      <c r="K129" s="7"/>
      <c r="L129" s="7"/>
      <c r="M129" s="7"/>
      <c r="N129" s="7"/>
      <c r="O129" s="2"/>
      <c r="P129" s="2"/>
      <c r="Q129" s="2"/>
      <c r="R129" s="2"/>
      <c r="S129" s="2"/>
      <c r="T129" s="2"/>
      <c r="U129" s="2"/>
      <c r="V129" s="2"/>
      <c r="W129" s="2"/>
      <c r="X129" s="2"/>
      <c r="Y129" s="2"/>
      <c r="Z129" s="2"/>
    </row>
    <row r="130">
      <c r="A130" s="2"/>
      <c r="B130" s="7"/>
      <c r="C130" s="7"/>
      <c r="D130" s="7"/>
      <c r="E130" s="7"/>
      <c r="F130" s="7"/>
      <c r="G130" s="7"/>
      <c r="H130" s="7"/>
      <c r="I130" s="7"/>
      <c r="J130" s="7"/>
      <c r="K130" s="7"/>
      <c r="L130" s="7"/>
      <c r="M130" s="7"/>
      <c r="N130" s="7"/>
      <c r="O130" s="2"/>
      <c r="P130" s="2"/>
      <c r="Q130" s="2"/>
      <c r="R130" s="2"/>
      <c r="S130" s="2"/>
      <c r="T130" s="2"/>
      <c r="U130" s="2"/>
      <c r="V130" s="2"/>
      <c r="W130" s="2"/>
      <c r="X130" s="2"/>
      <c r="Y130" s="2"/>
      <c r="Z130" s="2"/>
    </row>
    <row r="131">
      <c r="A131" s="2"/>
      <c r="B131" s="7"/>
      <c r="C131" s="7"/>
      <c r="D131" s="7"/>
      <c r="E131" s="7"/>
      <c r="F131" s="7"/>
      <c r="G131" s="7"/>
      <c r="H131" s="7"/>
      <c r="I131" s="7"/>
      <c r="J131" s="7"/>
      <c r="K131" s="7"/>
      <c r="L131" s="7"/>
      <c r="M131" s="7"/>
      <c r="N131" s="7"/>
      <c r="O131" s="2"/>
      <c r="P131" s="2"/>
      <c r="Q131" s="2"/>
      <c r="R131" s="2"/>
      <c r="S131" s="2"/>
      <c r="T131" s="2"/>
      <c r="U131" s="2"/>
      <c r="V131" s="2"/>
      <c r="W131" s="2"/>
      <c r="X131" s="2"/>
      <c r="Y131" s="2"/>
      <c r="Z131" s="2"/>
    </row>
    <row r="132">
      <c r="A132" s="2"/>
      <c r="B132" s="7"/>
      <c r="C132" s="7"/>
      <c r="D132" s="7"/>
      <c r="E132" s="7"/>
      <c r="F132" s="7"/>
      <c r="G132" s="7"/>
      <c r="H132" s="7"/>
      <c r="I132" s="7"/>
      <c r="J132" s="7"/>
      <c r="K132" s="7"/>
      <c r="L132" s="7"/>
      <c r="M132" s="7"/>
      <c r="N132" s="7"/>
      <c r="O132" s="2"/>
      <c r="P132" s="2"/>
      <c r="Q132" s="2"/>
      <c r="R132" s="2"/>
      <c r="S132" s="2"/>
      <c r="T132" s="2"/>
      <c r="U132" s="2"/>
      <c r="V132" s="2"/>
      <c r="W132" s="2"/>
      <c r="X132" s="2"/>
      <c r="Y132" s="2"/>
      <c r="Z132" s="2"/>
    </row>
    <row r="133">
      <c r="A133" s="2"/>
      <c r="B133" s="7"/>
      <c r="C133" s="7"/>
      <c r="D133" s="7"/>
      <c r="E133" s="7"/>
      <c r="F133" s="7"/>
      <c r="G133" s="7"/>
      <c r="H133" s="7"/>
      <c r="I133" s="7"/>
      <c r="J133" s="7"/>
      <c r="K133" s="7"/>
      <c r="L133" s="7"/>
      <c r="M133" s="7"/>
      <c r="N133" s="7"/>
      <c r="O133" s="2"/>
      <c r="P133" s="2"/>
      <c r="Q133" s="2"/>
      <c r="R133" s="2"/>
      <c r="S133" s="2"/>
      <c r="T133" s="2"/>
      <c r="U133" s="2"/>
      <c r="V133" s="2"/>
      <c r="W133" s="2"/>
      <c r="X133" s="2"/>
      <c r="Y133" s="2"/>
      <c r="Z133" s="2"/>
    </row>
    <row r="134">
      <c r="A134" s="2"/>
      <c r="B134" s="7"/>
      <c r="C134" s="7"/>
      <c r="D134" s="7"/>
      <c r="E134" s="7"/>
      <c r="F134" s="7"/>
      <c r="G134" s="7"/>
      <c r="H134" s="7"/>
      <c r="I134" s="7"/>
      <c r="J134" s="7"/>
      <c r="K134" s="7"/>
      <c r="L134" s="7"/>
      <c r="M134" s="7"/>
      <c r="N134" s="7"/>
      <c r="O134" s="2"/>
      <c r="P134" s="2"/>
      <c r="Q134" s="2"/>
      <c r="R134" s="2"/>
      <c r="S134" s="2"/>
      <c r="T134" s="2"/>
      <c r="U134" s="2"/>
      <c r="V134" s="2"/>
      <c r="W134" s="2"/>
      <c r="X134" s="2"/>
      <c r="Y134" s="2"/>
      <c r="Z134" s="2"/>
    </row>
    <row r="135">
      <c r="A135" s="2"/>
      <c r="B135" s="7"/>
      <c r="C135" s="7"/>
      <c r="D135" s="7"/>
      <c r="E135" s="7"/>
      <c r="F135" s="7"/>
      <c r="G135" s="7"/>
      <c r="H135" s="7"/>
      <c r="I135" s="7"/>
      <c r="J135" s="7"/>
      <c r="K135" s="7"/>
      <c r="L135" s="7"/>
      <c r="M135" s="7"/>
      <c r="N135" s="7"/>
      <c r="O135" s="2"/>
      <c r="P135" s="2"/>
      <c r="Q135" s="2"/>
      <c r="R135" s="2"/>
      <c r="S135" s="2"/>
      <c r="T135" s="2"/>
      <c r="U135" s="2"/>
      <c r="V135" s="2"/>
      <c r="W135" s="2"/>
      <c r="X135" s="2"/>
      <c r="Y135" s="2"/>
      <c r="Z135" s="2"/>
    </row>
    <row r="136">
      <c r="A136" s="2"/>
      <c r="B136" s="7"/>
      <c r="C136" s="7"/>
      <c r="D136" s="7"/>
      <c r="E136" s="7"/>
      <c r="F136" s="7"/>
      <c r="G136" s="7"/>
      <c r="H136" s="7"/>
      <c r="I136" s="7"/>
      <c r="J136" s="7"/>
      <c r="K136" s="7"/>
      <c r="L136" s="7"/>
      <c r="M136" s="7"/>
      <c r="N136" s="7"/>
      <c r="O136" s="2"/>
      <c r="P136" s="2"/>
      <c r="Q136" s="2"/>
      <c r="R136" s="2"/>
      <c r="S136" s="2"/>
      <c r="T136" s="2"/>
      <c r="U136" s="2"/>
      <c r="V136" s="2"/>
      <c r="W136" s="2"/>
      <c r="X136" s="2"/>
      <c r="Y136" s="2"/>
      <c r="Z136" s="2"/>
    </row>
    <row r="137">
      <c r="A137" s="2"/>
      <c r="B137" s="7"/>
      <c r="C137" s="7"/>
      <c r="D137" s="7"/>
      <c r="E137" s="7"/>
      <c r="F137" s="7"/>
      <c r="G137" s="7"/>
      <c r="H137" s="7"/>
      <c r="I137" s="7"/>
      <c r="J137" s="7"/>
      <c r="K137" s="7"/>
      <c r="L137" s="7"/>
      <c r="M137" s="7"/>
      <c r="N137" s="7"/>
      <c r="O137" s="2"/>
      <c r="P137" s="2"/>
      <c r="Q137" s="2"/>
      <c r="R137" s="2"/>
      <c r="S137" s="2"/>
      <c r="T137" s="2"/>
      <c r="U137" s="2"/>
      <c r="V137" s="2"/>
      <c r="W137" s="2"/>
      <c r="X137" s="2"/>
      <c r="Y137" s="2"/>
      <c r="Z137" s="2"/>
    </row>
    <row r="138">
      <c r="A138" s="2"/>
      <c r="B138" s="7"/>
      <c r="C138" s="7"/>
      <c r="D138" s="7"/>
      <c r="E138" s="7"/>
      <c r="F138" s="7"/>
      <c r="G138" s="7"/>
      <c r="H138" s="7"/>
      <c r="I138" s="7"/>
      <c r="J138" s="7"/>
      <c r="K138" s="7"/>
      <c r="L138" s="7"/>
      <c r="M138" s="7"/>
      <c r="N138" s="7"/>
      <c r="O138" s="2"/>
      <c r="P138" s="2"/>
      <c r="Q138" s="2"/>
      <c r="R138" s="2"/>
      <c r="S138" s="2"/>
      <c r="T138" s="2"/>
      <c r="U138" s="2"/>
      <c r="V138" s="2"/>
      <c r="W138" s="2"/>
      <c r="X138" s="2"/>
      <c r="Y138" s="2"/>
      <c r="Z138" s="2"/>
    </row>
    <row r="139">
      <c r="A139" s="2"/>
      <c r="B139" s="7"/>
      <c r="C139" s="7"/>
      <c r="D139" s="7"/>
      <c r="E139" s="7"/>
      <c r="F139" s="7"/>
      <c r="G139" s="7"/>
      <c r="H139" s="7"/>
      <c r="I139" s="7"/>
      <c r="J139" s="7"/>
      <c r="K139" s="7"/>
      <c r="L139" s="7"/>
      <c r="M139" s="7"/>
      <c r="N139" s="7"/>
      <c r="O139" s="2"/>
      <c r="P139" s="2"/>
      <c r="Q139" s="2"/>
      <c r="R139" s="2"/>
      <c r="S139" s="2"/>
      <c r="T139" s="2"/>
      <c r="U139" s="2"/>
      <c r="V139" s="2"/>
      <c r="W139" s="2"/>
      <c r="X139" s="2"/>
      <c r="Y139" s="2"/>
      <c r="Z139" s="2"/>
    </row>
    <row r="140">
      <c r="A140" s="2"/>
      <c r="B140" s="7"/>
      <c r="C140" s="7"/>
      <c r="D140" s="7"/>
      <c r="E140" s="7"/>
      <c r="F140" s="7"/>
      <c r="G140" s="7"/>
      <c r="H140" s="7"/>
      <c r="I140" s="7"/>
      <c r="J140" s="7"/>
      <c r="K140" s="7"/>
      <c r="L140" s="7"/>
      <c r="M140" s="7"/>
      <c r="N140" s="7"/>
      <c r="O140" s="2"/>
      <c r="P140" s="2"/>
      <c r="Q140" s="2"/>
      <c r="R140" s="2"/>
      <c r="S140" s="2"/>
      <c r="T140" s="2"/>
      <c r="U140" s="2"/>
      <c r="V140" s="2"/>
      <c r="W140" s="2"/>
      <c r="X140" s="2"/>
      <c r="Y140" s="2"/>
      <c r="Z140" s="2"/>
    </row>
    <row r="141">
      <c r="A141" s="2"/>
      <c r="B141" s="7"/>
      <c r="C141" s="7"/>
      <c r="D141" s="7"/>
      <c r="E141" s="7"/>
      <c r="F141" s="7"/>
      <c r="G141" s="7"/>
      <c r="H141" s="7"/>
      <c r="I141" s="7"/>
      <c r="J141" s="7"/>
      <c r="K141" s="7"/>
      <c r="L141" s="7"/>
      <c r="M141" s="7"/>
      <c r="N141" s="7"/>
      <c r="O141" s="2"/>
      <c r="P141" s="2"/>
      <c r="Q141" s="2"/>
      <c r="R141" s="2"/>
      <c r="S141" s="2"/>
      <c r="T141" s="2"/>
      <c r="U141" s="2"/>
      <c r="V141" s="2"/>
      <c r="W141" s="2"/>
      <c r="X141" s="2"/>
      <c r="Y141" s="2"/>
      <c r="Z141" s="2"/>
    </row>
    <row r="142">
      <c r="A142" s="2"/>
      <c r="B142" s="7"/>
      <c r="C142" s="7"/>
      <c r="D142" s="7"/>
      <c r="E142" s="7"/>
      <c r="F142" s="7"/>
      <c r="G142" s="7"/>
      <c r="H142" s="7"/>
      <c r="I142" s="7"/>
      <c r="J142" s="7"/>
      <c r="K142" s="7"/>
      <c r="L142" s="7"/>
      <c r="M142" s="7"/>
      <c r="N142" s="7"/>
      <c r="O142" s="2"/>
      <c r="P142" s="2"/>
      <c r="Q142" s="2"/>
      <c r="R142" s="2"/>
      <c r="S142" s="2"/>
      <c r="T142" s="2"/>
      <c r="U142" s="2"/>
      <c r="V142" s="2"/>
      <c r="W142" s="2"/>
      <c r="X142" s="2"/>
      <c r="Y142" s="2"/>
      <c r="Z142" s="2"/>
    </row>
    <row r="143">
      <c r="A143" s="2"/>
      <c r="B143" s="7"/>
      <c r="C143" s="7"/>
      <c r="D143" s="7"/>
      <c r="E143" s="7"/>
      <c r="F143" s="7"/>
      <c r="G143" s="7"/>
      <c r="H143" s="7"/>
      <c r="I143" s="7"/>
      <c r="J143" s="7"/>
      <c r="K143" s="7"/>
      <c r="L143" s="7"/>
      <c r="M143" s="7"/>
      <c r="N143" s="7"/>
      <c r="O143" s="2"/>
      <c r="P143" s="2"/>
      <c r="Q143" s="2"/>
      <c r="R143" s="2"/>
      <c r="S143" s="2"/>
      <c r="T143" s="2"/>
      <c r="U143" s="2"/>
      <c r="V143" s="2"/>
      <c r="W143" s="2"/>
      <c r="X143" s="2"/>
      <c r="Y143" s="2"/>
      <c r="Z143" s="2"/>
    </row>
    <row r="144">
      <c r="A144" s="2"/>
      <c r="B144" s="7"/>
      <c r="C144" s="7"/>
      <c r="D144" s="7"/>
      <c r="E144" s="7"/>
      <c r="F144" s="7"/>
      <c r="G144" s="7"/>
      <c r="H144" s="7"/>
      <c r="I144" s="7"/>
      <c r="J144" s="7"/>
      <c r="K144" s="7"/>
      <c r="L144" s="7"/>
      <c r="M144" s="7"/>
      <c r="N144" s="7"/>
      <c r="O144" s="2"/>
      <c r="P144" s="2"/>
      <c r="Q144" s="2"/>
      <c r="R144" s="2"/>
      <c r="S144" s="2"/>
      <c r="T144" s="2"/>
      <c r="U144" s="2"/>
      <c r="V144" s="2"/>
      <c r="W144" s="2"/>
      <c r="X144" s="2"/>
      <c r="Y144" s="2"/>
      <c r="Z144" s="2"/>
    </row>
    <row r="145">
      <c r="A145" s="2"/>
      <c r="B145" s="7"/>
      <c r="C145" s="7"/>
      <c r="D145" s="7"/>
      <c r="E145" s="7"/>
      <c r="F145" s="7"/>
      <c r="G145" s="7"/>
      <c r="H145" s="7"/>
      <c r="I145" s="7"/>
      <c r="J145" s="7"/>
      <c r="K145" s="7"/>
      <c r="L145" s="7"/>
      <c r="M145" s="7"/>
      <c r="N145" s="7"/>
      <c r="O145" s="2"/>
      <c r="P145" s="2"/>
      <c r="Q145" s="2"/>
      <c r="R145" s="2"/>
      <c r="S145" s="2"/>
      <c r="T145" s="2"/>
      <c r="U145" s="2"/>
      <c r="V145" s="2"/>
      <c r="W145" s="2"/>
      <c r="X145" s="2"/>
      <c r="Y145" s="2"/>
      <c r="Z145" s="2"/>
    </row>
    <row r="146">
      <c r="A146" s="2"/>
      <c r="B146" s="7"/>
      <c r="C146" s="7"/>
      <c r="D146" s="7"/>
      <c r="E146" s="7"/>
      <c r="F146" s="7"/>
      <c r="G146" s="7"/>
      <c r="H146" s="7"/>
      <c r="I146" s="7"/>
      <c r="J146" s="7"/>
      <c r="K146" s="7"/>
      <c r="L146" s="7"/>
      <c r="M146" s="7"/>
      <c r="N146" s="7"/>
      <c r="O146" s="2"/>
      <c r="P146" s="2"/>
      <c r="Q146" s="2"/>
      <c r="R146" s="2"/>
      <c r="S146" s="2"/>
      <c r="T146" s="2"/>
      <c r="U146" s="2"/>
      <c r="V146" s="2"/>
      <c r="W146" s="2"/>
      <c r="X146" s="2"/>
      <c r="Y146" s="2"/>
      <c r="Z146" s="2"/>
    </row>
    <row r="147">
      <c r="A147" s="2"/>
      <c r="B147" s="7"/>
      <c r="C147" s="7"/>
      <c r="D147" s="7"/>
      <c r="E147" s="7"/>
      <c r="F147" s="7"/>
      <c r="G147" s="7"/>
      <c r="H147" s="7"/>
      <c r="I147" s="7"/>
      <c r="J147" s="7"/>
      <c r="K147" s="7"/>
      <c r="L147" s="7"/>
      <c r="M147" s="7"/>
      <c r="N147" s="7"/>
      <c r="O147" s="2"/>
      <c r="P147" s="2"/>
      <c r="Q147" s="2"/>
      <c r="R147" s="2"/>
      <c r="S147" s="2"/>
      <c r="T147" s="2"/>
      <c r="U147" s="2"/>
      <c r="V147" s="2"/>
      <c r="W147" s="2"/>
      <c r="X147" s="2"/>
      <c r="Y147" s="2"/>
      <c r="Z147" s="2"/>
    </row>
    <row r="148">
      <c r="A148" s="2"/>
      <c r="B148" s="7"/>
      <c r="C148" s="7"/>
      <c r="D148" s="7"/>
      <c r="E148" s="7"/>
      <c r="F148" s="7"/>
      <c r="G148" s="7"/>
      <c r="H148" s="7"/>
      <c r="I148" s="7"/>
      <c r="J148" s="7"/>
      <c r="K148" s="7"/>
      <c r="L148" s="7"/>
      <c r="M148" s="7"/>
      <c r="N148" s="7"/>
      <c r="O148" s="2"/>
      <c r="P148" s="2"/>
      <c r="Q148" s="2"/>
      <c r="R148" s="2"/>
      <c r="S148" s="2"/>
      <c r="T148" s="2"/>
      <c r="U148" s="2"/>
      <c r="V148" s="2"/>
      <c r="W148" s="2"/>
      <c r="X148" s="2"/>
      <c r="Y148" s="2"/>
      <c r="Z148" s="2"/>
    </row>
    <row r="149">
      <c r="A149" s="2"/>
      <c r="B149" s="7"/>
      <c r="C149" s="7"/>
      <c r="D149" s="7"/>
      <c r="E149" s="7"/>
      <c r="F149" s="7"/>
      <c r="G149" s="7"/>
      <c r="H149" s="7"/>
      <c r="I149" s="7"/>
      <c r="J149" s="7"/>
      <c r="K149" s="7"/>
      <c r="L149" s="7"/>
      <c r="M149" s="7"/>
      <c r="N149" s="7"/>
      <c r="O149" s="2"/>
      <c r="P149" s="2"/>
      <c r="Q149" s="2"/>
      <c r="R149" s="2"/>
      <c r="S149" s="2"/>
      <c r="T149" s="2"/>
      <c r="U149" s="2"/>
      <c r="V149" s="2"/>
      <c r="W149" s="2"/>
      <c r="X149" s="2"/>
      <c r="Y149" s="2"/>
      <c r="Z149" s="2"/>
    </row>
    <row r="150">
      <c r="A150" s="2"/>
      <c r="B150" s="7"/>
      <c r="C150" s="7"/>
      <c r="D150" s="7"/>
      <c r="E150" s="7"/>
      <c r="F150" s="7"/>
      <c r="G150" s="7"/>
      <c r="H150" s="7"/>
      <c r="I150" s="7"/>
      <c r="J150" s="7"/>
      <c r="K150" s="7"/>
      <c r="L150" s="7"/>
      <c r="M150" s="7"/>
      <c r="N150" s="7"/>
      <c r="O150" s="2"/>
      <c r="P150" s="2"/>
      <c r="Q150" s="2"/>
      <c r="R150" s="2"/>
      <c r="S150" s="2"/>
      <c r="T150" s="2"/>
      <c r="U150" s="2"/>
      <c r="V150" s="2"/>
      <c r="W150" s="2"/>
      <c r="X150" s="2"/>
      <c r="Y150" s="2"/>
      <c r="Z150" s="2"/>
    </row>
    <row r="151">
      <c r="A151" s="2"/>
      <c r="B151" s="7"/>
      <c r="C151" s="7"/>
      <c r="D151" s="7"/>
      <c r="E151" s="7"/>
      <c r="F151" s="7"/>
      <c r="G151" s="7"/>
      <c r="H151" s="7"/>
      <c r="I151" s="7"/>
      <c r="J151" s="7"/>
      <c r="K151" s="7"/>
      <c r="L151" s="7"/>
      <c r="M151" s="7"/>
      <c r="N151" s="7"/>
      <c r="O151" s="2"/>
      <c r="P151" s="2"/>
      <c r="Q151" s="2"/>
      <c r="R151" s="2"/>
      <c r="S151" s="2"/>
      <c r="T151" s="2"/>
      <c r="U151" s="2"/>
      <c r="V151" s="2"/>
      <c r="W151" s="2"/>
      <c r="X151" s="2"/>
      <c r="Y151" s="2"/>
      <c r="Z151" s="2"/>
    </row>
    <row r="152">
      <c r="A152" s="2"/>
      <c r="B152" s="7"/>
      <c r="C152" s="7"/>
      <c r="D152" s="7"/>
      <c r="E152" s="7"/>
      <c r="F152" s="7"/>
      <c r="G152" s="7"/>
      <c r="H152" s="7"/>
      <c r="I152" s="7"/>
      <c r="J152" s="7"/>
      <c r="K152" s="7"/>
      <c r="L152" s="7"/>
      <c r="M152" s="7"/>
      <c r="N152" s="7"/>
      <c r="O152" s="2"/>
      <c r="P152" s="2"/>
      <c r="Q152" s="2"/>
      <c r="R152" s="2"/>
      <c r="S152" s="2"/>
      <c r="T152" s="2"/>
      <c r="U152" s="2"/>
      <c r="V152" s="2"/>
      <c r="W152" s="2"/>
      <c r="X152" s="2"/>
      <c r="Y152" s="2"/>
      <c r="Z152" s="2"/>
    </row>
    <row r="153">
      <c r="A153" s="2"/>
      <c r="B153" s="7"/>
      <c r="C153" s="7"/>
      <c r="D153" s="7"/>
      <c r="E153" s="7"/>
      <c r="F153" s="7"/>
      <c r="G153" s="7"/>
      <c r="H153" s="7"/>
      <c r="I153" s="7"/>
      <c r="J153" s="7"/>
      <c r="K153" s="7"/>
      <c r="L153" s="7"/>
      <c r="M153" s="7"/>
      <c r="N153" s="7"/>
      <c r="O153" s="2"/>
      <c r="P153" s="2"/>
      <c r="Q153" s="2"/>
      <c r="R153" s="2"/>
      <c r="S153" s="2"/>
      <c r="T153" s="2"/>
      <c r="U153" s="2"/>
      <c r="V153" s="2"/>
      <c r="W153" s="2"/>
      <c r="X153" s="2"/>
      <c r="Y153" s="2"/>
      <c r="Z153" s="2"/>
    </row>
    <row r="154">
      <c r="A154" s="2"/>
      <c r="B154" s="7"/>
      <c r="C154" s="7"/>
      <c r="D154" s="7"/>
      <c r="E154" s="7"/>
      <c r="F154" s="7"/>
      <c r="G154" s="7"/>
      <c r="H154" s="7"/>
      <c r="I154" s="7"/>
      <c r="J154" s="7"/>
      <c r="K154" s="7"/>
      <c r="L154" s="7"/>
      <c r="M154" s="7"/>
      <c r="N154" s="7"/>
      <c r="O154" s="2"/>
      <c r="P154" s="2"/>
      <c r="Q154" s="2"/>
      <c r="R154" s="2"/>
      <c r="S154" s="2"/>
      <c r="T154" s="2"/>
      <c r="U154" s="2"/>
      <c r="V154" s="2"/>
      <c r="W154" s="2"/>
      <c r="X154" s="2"/>
      <c r="Y154" s="2"/>
      <c r="Z154" s="2"/>
    </row>
    <row r="155">
      <c r="A155" s="2"/>
      <c r="B155" s="7"/>
      <c r="C155" s="7"/>
      <c r="D155" s="7"/>
      <c r="E155" s="7"/>
      <c r="F155" s="7"/>
      <c r="G155" s="7"/>
      <c r="H155" s="7"/>
      <c r="I155" s="7"/>
      <c r="J155" s="7"/>
      <c r="K155" s="7"/>
      <c r="L155" s="7"/>
      <c r="M155" s="7"/>
      <c r="N155" s="7"/>
      <c r="O155" s="2"/>
      <c r="P155" s="2"/>
      <c r="Q155" s="2"/>
      <c r="R155" s="2"/>
      <c r="S155" s="2"/>
      <c r="T155" s="2"/>
      <c r="U155" s="2"/>
      <c r="V155" s="2"/>
      <c r="W155" s="2"/>
      <c r="X155" s="2"/>
      <c r="Y155" s="2"/>
      <c r="Z155" s="2"/>
    </row>
    <row r="156">
      <c r="A156" s="2"/>
      <c r="B156" s="7"/>
      <c r="C156" s="7"/>
      <c r="D156" s="7"/>
      <c r="E156" s="7"/>
      <c r="F156" s="7"/>
      <c r="G156" s="7"/>
      <c r="H156" s="7"/>
      <c r="I156" s="7"/>
      <c r="J156" s="7"/>
      <c r="K156" s="7"/>
      <c r="L156" s="7"/>
      <c r="M156" s="7"/>
      <c r="N156" s="7"/>
      <c r="O156" s="2"/>
      <c r="P156" s="2"/>
      <c r="Q156" s="2"/>
      <c r="R156" s="2"/>
      <c r="S156" s="2"/>
      <c r="T156" s="2"/>
      <c r="U156" s="2"/>
      <c r="V156" s="2"/>
      <c r="W156" s="2"/>
      <c r="X156" s="2"/>
      <c r="Y156" s="2"/>
      <c r="Z156" s="2"/>
    </row>
    <row r="157">
      <c r="A157" s="2"/>
      <c r="B157" s="7"/>
      <c r="C157" s="7"/>
      <c r="D157" s="7"/>
      <c r="E157" s="7"/>
      <c r="F157" s="7"/>
      <c r="G157" s="7"/>
      <c r="H157" s="7"/>
      <c r="I157" s="7"/>
      <c r="J157" s="7"/>
      <c r="K157" s="7"/>
      <c r="L157" s="7"/>
      <c r="M157" s="7"/>
      <c r="N157" s="7"/>
      <c r="O157" s="2"/>
      <c r="P157" s="2"/>
      <c r="Q157" s="2"/>
      <c r="R157" s="2"/>
      <c r="S157" s="2"/>
      <c r="T157" s="2"/>
      <c r="U157" s="2"/>
      <c r="V157" s="2"/>
      <c r="W157" s="2"/>
      <c r="X157" s="2"/>
      <c r="Y157" s="2"/>
      <c r="Z157" s="2"/>
    </row>
    <row r="158">
      <c r="A158" s="2"/>
      <c r="B158" s="7"/>
      <c r="C158" s="7"/>
      <c r="D158" s="7"/>
      <c r="E158" s="7"/>
      <c r="F158" s="7"/>
      <c r="G158" s="7"/>
      <c r="H158" s="7"/>
      <c r="I158" s="7"/>
      <c r="J158" s="7"/>
      <c r="K158" s="7"/>
      <c r="L158" s="7"/>
      <c r="M158" s="7"/>
      <c r="N158" s="7"/>
      <c r="O158" s="2"/>
      <c r="P158" s="2"/>
      <c r="Q158" s="2"/>
      <c r="R158" s="2"/>
      <c r="S158" s="2"/>
      <c r="T158" s="2"/>
      <c r="U158" s="2"/>
      <c r="V158" s="2"/>
      <c r="W158" s="2"/>
      <c r="X158" s="2"/>
      <c r="Y158" s="2"/>
      <c r="Z158" s="2"/>
    </row>
    <row r="159">
      <c r="A159" s="2"/>
      <c r="B159" s="7"/>
      <c r="C159" s="7"/>
      <c r="D159" s="7"/>
      <c r="E159" s="7"/>
      <c r="F159" s="7"/>
      <c r="G159" s="7"/>
      <c r="H159" s="7"/>
      <c r="I159" s="7"/>
      <c r="J159" s="7"/>
      <c r="K159" s="7"/>
      <c r="L159" s="7"/>
      <c r="M159" s="7"/>
      <c r="N159" s="7"/>
      <c r="O159" s="2"/>
      <c r="P159" s="2"/>
      <c r="Q159" s="2"/>
      <c r="R159" s="2"/>
      <c r="S159" s="2"/>
      <c r="T159" s="2"/>
      <c r="U159" s="2"/>
      <c r="V159" s="2"/>
      <c r="W159" s="2"/>
      <c r="X159" s="2"/>
      <c r="Y159" s="2"/>
      <c r="Z159" s="2"/>
    </row>
    <row r="160">
      <c r="A160" s="2"/>
      <c r="B160" s="7"/>
      <c r="C160" s="7"/>
      <c r="D160" s="7"/>
      <c r="E160" s="7"/>
      <c r="F160" s="7"/>
      <c r="G160" s="7"/>
      <c r="H160" s="7"/>
      <c r="I160" s="7"/>
      <c r="J160" s="7"/>
      <c r="K160" s="7"/>
      <c r="L160" s="7"/>
      <c r="M160" s="7"/>
      <c r="N160" s="7"/>
      <c r="O160" s="2"/>
      <c r="P160" s="2"/>
      <c r="Q160" s="2"/>
      <c r="R160" s="2"/>
      <c r="S160" s="2"/>
      <c r="T160" s="2"/>
      <c r="U160" s="2"/>
      <c r="V160" s="2"/>
      <c r="W160" s="2"/>
      <c r="X160" s="2"/>
      <c r="Y160" s="2"/>
      <c r="Z160" s="2"/>
    </row>
    <row r="161">
      <c r="A161" s="2"/>
      <c r="B161" s="7"/>
      <c r="C161" s="7"/>
      <c r="D161" s="7"/>
      <c r="E161" s="7"/>
      <c r="F161" s="7"/>
      <c r="G161" s="7"/>
      <c r="H161" s="7"/>
      <c r="I161" s="7"/>
      <c r="J161" s="7"/>
      <c r="K161" s="7"/>
      <c r="L161" s="7"/>
      <c r="M161" s="7"/>
      <c r="N161" s="7"/>
      <c r="O161" s="2"/>
      <c r="P161" s="2"/>
      <c r="Q161" s="2"/>
      <c r="R161" s="2"/>
      <c r="S161" s="2"/>
      <c r="T161" s="2"/>
      <c r="U161" s="2"/>
      <c r="V161" s="2"/>
      <c r="W161" s="2"/>
      <c r="X161" s="2"/>
      <c r="Y161" s="2"/>
      <c r="Z161" s="2"/>
    </row>
    <row r="162">
      <c r="A162" s="2"/>
      <c r="B162" s="7"/>
      <c r="C162" s="7"/>
      <c r="D162" s="7"/>
      <c r="E162" s="7"/>
      <c r="F162" s="7"/>
      <c r="G162" s="7"/>
      <c r="H162" s="7"/>
      <c r="I162" s="7"/>
      <c r="J162" s="7"/>
      <c r="K162" s="7"/>
      <c r="L162" s="7"/>
      <c r="M162" s="7"/>
      <c r="N162" s="7"/>
      <c r="O162" s="2"/>
      <c r="P162" s="2"/>
      <c r="Q162" s="2"/>
      <c r="R162" s="2"/>
      <c r="S162" s="2"/>
      <c r="T162" s="2"/>
      <c r="U162" s="2"/>
      <c r="V162" s="2"/>
      <c r="W162" s="2"/>
      <c r="X162" s="2"/>
      <c r="Y162" s="2"/>
      <c r="Z162" s="2"/>
    </row>
    <row r="163">
      <c r="A163" s="2"/>
      <c r="B163" s="7"/>
      <c r="C163" s="7"/>
      <c r="D163" s="7"/>
      <c r="E163" s="7"/>
      <c r="F163" s="7"/>
      <c r="G163" s="7"/>
      <c r="H163" s="7"/>
      <c r="I163" s="7"/>
      <c r="J163" s="7"/>
      <c r="K163" s="7"/>
      <c r="L163" s="7"/>
      <c r="M163" s="7"/>
      <c r="N163" s="7"/>
      <c r="O163" s="2"/>
      <c r="P163" s="2"/>
      <c r="Q163" s="2"/>
      <c r="R163" s="2"/>
      <c r="S163" s="2"/>
      <c r="T163" s="2"/>
      <c r="U163" s="2"/>
      <c r="V163" s="2"/>
      <c r="W163" s="2"/>
      <c r="X163" s="2"/>
      <c r="Y163" s="2"/>
      <c r="Z163" s="2"/>
    </row>
    <row r="164">
      <c r="A164" s="2"/>
      <c r="B164" s="7"/>
      <c r="C164" s="7"/>
      <c r="D164" s="7"/>
      <c r="E164" s="7"/>
      <c r="F164" s="7"/>
      <c r="G164" s="7"/>
      <c r="H164" s="7"/>
      <c r="I164" s="7"/>
      <c r="J164" s="7"/>
      <c r="K164" s="7"/>
      <c r="L164" s="7"/>
      <c r="M164" s="7"/>
      <c r="N164" s="7"/>
      <c r="O164" s="2"/>
      <c r="P164" s="2"/>
      <c r="Q164" s="2"/>
      <c r="R164" s="2"/>
      <c r="S164" s="2"/>
      <c r="T164" s="2"/>
      <c r="U164" s="2"/>
      <c r="V164" s="2"/>
      <c r="W164" s="2"/>
      <c r="X164" s="2"/>
      <c r="Y164" s="2"/>
      <c r="Z164" s="2"/>
    </row>
    <row r="165">
      <c r="A165" s="2"/>
      <c r="B165" s="7"/>
      <c r="C165" s="7"/>
      <c r="D165" s="7"/>
      <c r="E165" s="7"/>
      <c r="F165" s="7"/>
      <c r="G165" s="7"/>
      <c r="H165" s="7"/>
      <c r="I165" s="7"/>
      <c r="J165" s="7"/>
      <c r="K165" s="7"/>
      <c r="L165" s="7"/>
      <c r="M165" s="7"/>
      <c r="N165" s="7"/>
      <c r="O165" s="2"/>
      <c r="P165" s="2"/>
      <c r="Q165" s="2"/>
      <c r="R165" s="2"/>
      <c r="S165" s="2"/>
      <c r="T165" s="2"/>
      <c r="U165" s="2"/>
      <c r="V165" s="2"/>
      <c r="W165" s="2"/>
      <c r="X165" s="2"/>
      <c r="Y165" s="2"/>
      <c r="Z165" s="2"/>
    </row>
    <row r="166">
      <c r="A166" s="2"/>
      <c r="B166" s="7"/>
      <c r="C166" s="7"/>
      <c r="D166" s="7"/>
      <c r="E166" s="7"/>
      <c r="F166" s="7"/>
      <c r="G166" s="7"/>
      <c r="H166" s="7"/>
      <c r="I166" s="7"/>
      <c r="J166" s="7"/>
      <c r="K166" s="7"/>
      <c r="L166" s="7"/>
      <c r="M166" s="7"/>
      <c r="N166" s="7"/>
      <c r="O166" s="2"/>
      <c r="P166" s="2"/>
      <c r="Q166" s="2"/>
      <c r="R166" s="2"/>
      <c r="S166" s="2"/>
      <c r="T166" s="2"/>
      <c r="U166" s="2"/>
      <c r="V166" s="2"/>
      <c r="W166" s="2"/>
      <c r="X166" s="2"/>
      <c r="Y166" s="2"/>
      <c r="Z166" s="2"/>
    </row>
    <row r="167">
      <c r="A167" s="2"/>
      <c r="B167" s="7"/>
      <c r="C167" s="7"/>
      <c r="D167" s="7"/>
      <c r="E167" s="7"/>
      <c r="F167" s="7"/>
      <c r="G167" s="7"/>
      <c r="H167" s="7"/>
      <c r="I167" s="7"/>
      <c r="J167" s="7"/>
      <c r="K167" s="7"/>
      <c r="L167" s="7"/>
      <c r="M167" s="7"/>
      <c r="N167" s="7"/>
      <c r="O167" s="2"/>
      <c r="P167" s="2"/>
      <c r="Q167" s="2"/>
      <c r="R167" s="2"/>
      <c r="S167" s="2"/>
      <c r="T167" s="2"/>
      <c r="U167" s="2"/>
      <c r="V167" s="2"/>
      <c r="W167" s="2"/>
      <c r="X167" s="2"/>
      <c r="Y167" s="2"/>
      <c r="Z167" s="2"/>
    </row>
    <row r="168">
      <c r="A168" s="2"/>
      <c r="B168" s="7"/>
      <c r="C168" s="7"/>
      <c r="D168" s="7"/>
      <c r="E168" s="7"/>
      <c r="F168" s="7"/>
      <c r="G168" s="7"/>
      <c r="H168" s="7"/>
      <c r="I168" s="7"/>
      <c r="J168" s="7"/>
      <c r="K168" s="7"/>
      <c r="L168" s="7"/>
      <c r="M168" s="7"/>
      <c r="N168" s="7"/>
      <c r="O168" s="2"/>
      <c r="P168" s="2"/>
      <c r="Q168" s="2"/>
      <c r="R168" s="2"/>
      <c r="S168" s="2"/>
      <c r="T168" s="2"/>
      <c r="U168" s="2"/>
      <c r="V168" s="2"/>
      <c r="W168" s="2"/>
      <c r="X168" s="2"/>
      <c r="Y168" s="2"/>
      <c r="Z168" s="2"/>
    </row>
    <row r="169">
      <c r="A169" s="2"/>
      <c r="B169" s="7"/>
      <c r="C169" s="7"/>
      <c r="D169" s="7"/>
      <c r="E169" s="7"/>
      <c r="F169" s="7"/>
      <c r="G169" s="7"/>
      <c r="H169" s="7"/>
      <c r="I169" s="7"/>
      <c r="J169" s="7"/>
      <c r="K169" s="7"/>
      <c r="L169" s="7"/>
      <c r="M169" s="7"/>
      <c r="N169" s="7"/>
      <c r="O169" s="2"/>
      <c r="P169" s="2"/>
      <c r="Q169" s="2"/>
      <c r="R169" s="2"/>
      <c r="S169" s="2"/>
      <c r="T169" s="2"/>
      <c r="U169" s="2"/>
      <c r="V169" s="2"/>
      <c r="W169" s="2"/>
      <c r="X169" s="2"/>
      <c r="Y169" s="2"/>
      <c r="Z169" s="2"/>
    </row>
    <row r="170">
      <c r="A170" s="2"/>
      <c r="B170" s="7"/>
      <c r="C170" s="7"/>
      <c r="D170" s="7"/>
      <c r="E170" s="7"/>
      <c r="F170" s="7"/>
      <c r="G170" s="7"/>
      <c r="H170" s="7"/>
      <c r="I170" s="7"/>
      <c r="J170" s="7"/>
      <c r="K170" s="7"/>
      <c r="L170" s="7"/>
      <c r="M170" s="7"/>
      <c r="N170" s="7"/>
      <c r="O170" s="2"/>
      <c r="P170" s="2"/>
      <c r="Q170" s="2"/>
      <c r="R170" s="2"/>
      <c r="S170" s="2"/>
      <c r="T170" s="2"/>
      <c r="U170" s="2"/>
      <c r="V170" s="2"/>
      <c r="W170" s="2"/>
      <c r="X170" s="2"/>
      <c r="Y170" s="2"/>
      <c r="Z170" s="2"/>
    </row>
    <row r="171">
      <c r="A171" s="2"/>
      <c r="B171" s="7"/>
      <c r="C171" s="7"/>
      <c r="D171" s="7"/>
      <c r="E171" s="7"/>
      <c r="F171" s="7"/>
      <c r="G171" s="7"/>
      <c r="H171" s="7"/>
      <c r="I171" s="7"/>
      <c r="J171" s="7"/>
      <c r="K171" s="7"/>
      <c r="L171" s="7"/>
      <c r="M171" s="7"/>
      <c r="N171" s="7"/>
      <c r="O171" s="2"/>
      <c r="P171" s="2"/>
      <c r="Q171" s="2"/>
      <c r="R171" s="2"/>
      <c r="S171" s="2"/>
      <c r="T171" s="2"/>
      <c r="U171" s="2"/>
      <c r="V171" s="2"/>
      <c r="W171" s="2"/>
      <c r="X171" s="2"/>
      <c r="Y171" s="2"/>
      <c r="Z171" s="2"/>
    </row>
    <row r="172">
      <c r="A172" s="2"/>
      <c r="B172" s="7"/>
      <c r="C172" s="7"/>
      <c r="D172" s="7"/>
      <c r="E172" s="7"/>
      <c r="F172" s="7"/>
      <c r="G172" s="7"/>
      <c r="H172" s="7"/>
      <c r="I172" s="7"/>
      <c r="J172" s="7"/>
      <c r="K172" s="7"/>
      <c r="L172" s="7"/>
      <c r="M172" s="7"/>
      <c r="N172" s="7"/>
      <c r="O172" s="2"/>
      <c r="P172" s="2"/>
      <c r="Q172" s="2"/>
      <c r="R172" s="2"/>
      <c r="S172" s="2"/>
      <c r="T172" s="2"/>
      <c r="U172" s="2"/>
      <c r="V172" s="2"/>
      <c r="W172" s="2"/>
      <c r="X172" s="2"/>
      <c r="Y172" s="2"/>
      <c r="Z172" s="2"/>
    </row>
    <row r="173">
      <c r="A173" s="2"/>
      <c r="B173" s="7"/>
      <c r="C173" s="7"/>
      <c r="D173" s="7"/>
      <c r="E173" s="7"/>
      <c r="F173" s="7"/>
      <c r="G173" s="7"/>
      <c r="H173" s="7"/>
      <c r="I173" s="7"/>
      <c r="J173" s="7"/>
      <c r="K173" s="7"/>
      <c r="L173" s="7"/>
      <c r="M173" s="7"/>
      <c r="N173" s="7"/>
      <c r="O173" s="2"/>
      <c r="P173" s="2"/>
      <c r="Q173" s="2"/>
      <c r="R173" s="2"/>
      <c r="S173" s="2"/>
      <c r="T173" s="2"/>
      <c r="U173" s="2"/>
      <c r="V173" s="2"/>
      <c r="W173" s="2"/>
      <c r="X173" s="2"/>
      <c r="Y173" s="2"/>
      <c r="Z173" s="2"/>
    </row>
    <row r="174">
      <c r="A174" s="2"/>
      <c r="B174" s="7"/>
      <c r="C174" s="7"/>
      <c r="D174" s="7"/>
      <c r="E174" s="7"/>
      <c r="F174" s="7"/>
      <c r="G174" s="7"/>
      <c r="H174" s="7"/>
      <c r="I174" s="7"/>
      <c r="J174" s="7"/>
      <c r="K174" s="7"/>
      <c r="L174" s="7"/>
      <c r="M174" s="7"/>
      <c r="N174" s="7"/>
      <c r="O174" s="2"/>
      <c r="P174" s="2"/>
      <c r="Q174" s="2"/>
      <c r="R174" s="2"/>
      <c r="S174" s="2"/>
      <c r="T174" s="2"/>
      <c r="U174" s="2"/>
      <c r="V174" s="2"/>
      <c r="W174" s="2"/>
      <c r="X174" s="2"/>
      <c r="Y174" s="2"/>
      <c r="Z174" s="2"/>
    </row>
    <row r="175">
      <c r="A175" s="2"/>
      <c r="B175" s="7"/>
      <c r="C175" s="7"/>
      <c r="D175" s="7"/>
      <c r="E175" s="7"/>
      <c r="F175" s="7"/>
      <c r="G175" s="7"/>
      <c r="H175" s="7"/>
      <c r="I175" s="7"/>
      <c r="J175" s="7"/>
      <c r="K175" s="7"/>
      <c r="L175" s="7"/>
      <c r="M175" s="7"/>
      <c r="N175" s="7"/>
      <c r="O175" s="2"/>
      <c r="P175" s="2"/>
      <c r="Q175" s="2"/>
      <c r="R175" s="2"/>
      <c r="S175" s="2"/>
      <c r="T175" s="2"/>
      <c r="U175" s="2"/>
      <c r="V175" s="2"/>
      <c r="W175" s="2"/>
      <c r="X175" s="2"/>
      <c r="Y175" s="2"/>
      <c r="Z175" s="2"/>
    </row>
    <row r="176">
      <c r="A176" s="2"/>
      <c r="B176" s="7"/>
      <c r="C176" s="7"/>
      <c r="D176" s="7"/>
      <c r="E176" s="7"/>
      <c r="F176" s="7"/>
      <c r="G176" s="7"/>
      <c r="H176" s="7"/>
      <c r="I176" s="7"/>
      <c r="J176" s="7"/>
      <c r="K176" s="7"/>
      <c r="L176" s="7"/>
      <c r="M176" s="7"/>
      <c r="N176" s="7"/>
      <c r="O176" s="2"/>
      <c r="P176" s="2"/>
      <c r="Q176" s="2"/>
      <c r="R176" s="2"/>
      <c r="S176" s="2"/>
      <c r="T176" s="2"/>
      <c r="U176" s="2"/>
      <c r="V176" s="2"/>
      <c r="W176" s="2"/>
      <c r="X176" s="2"/>
      <c r="Y176" s="2"/>
      <c r="Z176" s="2"/>
    </row>
    <row r="177">
      <c r="A177" s="2"/>
      <c r="B177" s="7"/>
      <c r="C177" s="7"/>
      <c r="D177" s="7"/>
      <c r="E177" s="7"/>
      <c r="F177" s="7"/>
      <c r="G177" s="7"/>
      <c r="H177" s="7"/>
      <c r="I177" s="7"/>
      <c r="J177" s="7"/>
      <c r="K177" s="7"/>
      <c r="L177" s="7"/>
      <c r="M177" s="7"/>
      <c r="N177" s="7"/>
      <c r="O177" s="2"/>
      <c r="P177" s="2"/>
      <c r="Q177" s="2"/>
      <c r="R177" s="2"/>
      <c r="S177" s="2"/>
      <c r="T177" s="2"/>
      <c r="U177" s="2"/>
      <c r="V177" s="2"/>
      <c r="W177" s="2"/>
      <c r="X177" s="2"/>
      <c r="Y177" s="2"/>
      <c r="Z177" s="2"/>
    </row>
    <row r="178">
      <c r="A178" s="2"/>
      <c r="B178" s="7"/>
      <c r="C178" s="7"/>
      <c r="D178" s="7"/>
      <c r="E178" s="7"/>
      <c r="F178" s="7"/>
      <c r="G178" s="7"/>
      <c r="H178" s="7"/>
      <c r="I178" s="7"/>
      <c r="J178" s="7"/>
      <c r="K178" s="7"/>
      <c r="L178" s="7"/>
      <c r="M178" s="7"/>
      <c r="N178" s="7"/>
      <c r="O178" s="2"/>
      <c r="P178" s="2"/>
      <c r="Q178" s="2"/>
      <c r="R178" s="2"/>
      <c r="S178" s="2"/>
      <c r="T178" s="2"/>
      <c r="U178" s="2"/>
      <c r="V178" s="2"/>
      <c r="W178" s="2"/>
      <c r="X178" s="2"/>
      <c r="Y178" s="2"/>
      <c r="Z178" s="2"/>
    </row>
    <row r="179">
      <c r="A179" s="2"/>
      <c r="B179" s="7"/>
      <c r="C179" s="7"/>
      <c r="D179" s="7"/>
      <c r="E179" s="7"/>
      <c r="F179" s="7"/>
      <c r="G179" s="7"/>
      <c r="H179" s="7"/>
      <c r="I179" s="7"/>
      <c r="J179" s="7"/>
      <c r="K179" s="7"/>
      <c r="L179" s="7"/>
      <c r="M179" s="7"/>
      <c r="N179" s="7"/>
      <c r="O179" s="2"/>
      <c r="P179" s="2"/>
      <c r="Q179" s="2"/>
      <c r="R179" s="2"/>
      <c r="S179" s="2"/>
      <c r="T179" s="2"/>
      <c r="U179" s="2"/>
      <c r="V179" s="2"/>
      <c r="W179" s="2"/>
      <c r="X179" s="2"/>
      <c r="Y179" s="2"/>
      <c r="Z179" s="2"/>
    </row>
    <row r="180">
      <c r="A180" s="2"/>
      <c r="B180" s="7"/>
      <c r="C180" s="7"/>
      <c r="D180" s="7"/>
      <c r="E180" s="7"/>
      <c r="F180" s="7"/>
      <c r="G180" s="7"/>
      <c r="H180" s="7"/>
      <c r="I180" s="7"/>
      <c r="J180" s="7"/>
      <c r="K180" s="7"/>
      <c r="L180" s="7"/>
      <c r="M180" s="7"/>
      <c r="N180" s="7"/>
      <c r="O180" s="2"/>
      <c r="P180" s="2"/>
      <c r="Q180" s="2"/>
      <c r="R180" s="2"/>
      <c r="S180" s="2"/>
      <c r="T180" s="2"/>
      <c r="U180" s="2"/>
      <c r="V180" s="2"/>
      <c r="W180" s="2"/>
      <c r="X180" s="2"/>
      <c r="Y180" s="2"/>
      <c r="Z180" s="2"/>
    </row>
    <row r="181">
      <c r="A181" s="2"/>
      <c r="B181" s="7"/>
      <c r="C181" s="7"/>
      <c r="D181" s="7"/>
      <c r="E181" s="7"/>
      <c r="F181" s="7"/>
      <c r="G181" s="7"/>
      <c r="H181" s="7"/>
      <c r="I181" s="7"/>
      <c r="J181" s="7"/>
      <c r="K181" s="7"/>
      <c r="L181" s="7"/>
      <c r="M181" s="7"/>
      <c r="N181" s="7"/>
      <c r="O181" s="2"/>
      <c r="P181" s="2"/>
      <c r="Q181" s="2"/>
      <c r="R181" s="2"/>
      <c r="S181" s="2"/>
      <c r="T181" s="2"/>
      <c r="U181" s="2"/>
      <c r="V181" s="2"/>
      <c r="W181" s="2"/>
      <c r="X181" s="2"/>
      <c r="Y181" s="2"/>
      <c r="Z181" s="2"/>
    </row>
    <row r="182">
      <c r="A182" s="2"/>
      <c r="B182" s="7"/>
      <c r="C182" s="7"/>
      <c r="D182" s="7"/>
      <c r="E182" s="7"/>
      <c r="F182" s="7"/>
      <c r="G182" s="7"/>
      <c r="H182" s="7"/>
      <c r="I182" s="7"/>
      <c r="J182" s="7"/>
      <c r="K182" s="7"/>
      <c r="L182" s="7"/>
      <c r="M182" s="7"/>
      <c r="N182" s="7"/>
      <c r="O182" s="2"/>
      <c r="P182" s="2"/>
      <c r="Q182" s="2"/>
      <c r="R182" s="2"/>
      <c r="S182" s="2"/>
      <c r="T182" s="2"/>
      <c r="U182" s="2"/>
      <c r="V182" s="2"/>
      <c r="W182" s="2"/>
      <c r="X182" s="2"/>
      <c r="Y182" s="2"/>
      <c r="Z182" s="2"/>
    </row>
    <row r="183">
      <c r="A183" s="2"/>
      <c r="B183" s="7"/>
      <c r="C183" s="7"/>
      <c r="D183" s="7"/>
      <c r="E183" s="7"/>
      <c r="F183" s="7"/>
      <c r="G183" s="7"/>
      <c r="H183" s="7"/>
      <c r="I183" s="7"/>
      <c r="J183" s="7"/>
      <c r="K183" s="7"/>
      <c r="L183" s="7"/>
      <c r="M183" s="7"/>
      <c r="N183" s="7"/>
      <c r="O183" s="2"/>
      <c r="P183" s="2"/>
      <c r="Q183" s="2"/>
      <c r="R183" s="2"/>
      <c r="S183" s="2"/>
      <c r="T183" s="2"/>
      <c r="U183" s="2"/>
      <c r="V183" s="2"/>
      <c r="W183" s="2"/>
      <c r="X183" s="2"/>
      <c r="Y183" s="2"/>
      <c r="Z183" s="2"/>
    </row>
    <row r="184">
      <c r="A184" s="2"/>
      <c r="B184" s="7"/>
      <c r="C184" s="7"/>
      <c r="D184" s="7"/>
      <c r="E184" s="7"/>
      <c r="F184" s="7"/>
      <c r="G184" s="7"/>
      <c r="H184" s="7"/>
      <c r="I184" s="7"/>
      <c r="J184" s="7"/>
      <c r="K184" s="7"/>
      <c r="L184" s="7"/>
      <c r="M184" s="7"/>
      <c r="N184" s="7"/>
      <c r="O184" s="2"/>
      <c r="P184" s="2"/>
      <c r="Q184" s="2"/>
      <c r="R184" s="2"/>
      <c r="S184" s="2"/>
      <c r="T184" s="2"/>
      <c r="U184" s="2"/>
      <c r="V184" s="2"/>
      <c r="W184" s="2"/>
      <c r="X184" s="2"/>
      <c r="Y184" s="2"/>
      <c r="Z184" s="2"/>
    </row>
    <row r="185">
      <c r="A185" s="2"/>
      <c r="B185" s="7"/>
      <c r="C185" s="7"/>
      <c r="D185" s="7"/>
      <c r="E185" s="7"/>
      <c r="F185" s="7"/>
      <c r="G185" s="7"/>
      <c r="H185" s="7"/>
      <c r="I185" s="7"/>
      <c r="J185" s="7"/>
      <c r="K185" s="7"/>
      <c r="L185" s="7"/>
      <c r="M185" s="7"/>
      <c r="N185" s="7"/>
      <c r="O185" s="2"/>
      <c r="P185" s="2"/>
      <c r="Q185" s="2"/>
      <c r="R185" s="2"/>
      <c r="S185" s="2"/>
      <c r="T185" s="2"/>
      <c r="U185" s="2"/>
      <c r="V185" s="2"/>
      <c r="W185" s="2"/>
      <c r="X185" s="2"/>
      <c r="Y185" s="2"/>
      <c r="Z185" s="2"/>
    </row>
    <row r="186">
      <c r="A186" s="2"/>
      <c r="B186" s="7"/>
      <c r="C186" s="7"/>
      <c r="D186" s="7"/>
      <c r="E186" s="7"/>
      <c r="F186" s="7"/>
      <c r="G186" s="7"/>
      <c r="H186" s="7"/>
      <c r="I186" s="7"/>
      <c r="J186" s="7"/>
      <c r="K186" s="7"/>
      <c r="L186" s="7"/>
      <c r="M186" s="7"/>
      <c r="N186" s="7"/>
      <c r="O186" s="2"/>
      <c r="P186" s="2"/>
      <c r="Q186" s="2"/>
      <c r="R186" s="2"/>
      <c r="S186" s="2"/>
      <c r="T186" s="2"/>
      <c r="U186" s="2"/>
      <c r="V186" s="2"/>
      <c r="W186" s="2"/>
      <c r="X186" s="2"/>
      <c r="Y186" s="2"/>
      <c r="Z186" s="2"/>
    </row>
    <row r="187">
      <c r="A187" s="2"/>
      <c r="B187" s="7"/>
      <c r="C187" s="7"/>
      <c r="D187" s="7"/>
      <c r="E187" s="7"/>
      <c r="F187" s="7"/>
      <c r="G187" s="7"/>
      <c r="H187" s="7"/>
      <c r="I187" s="7"/>
      <c r="J187" s="7"/>
      <c r="K187" s="7"/>
      <c r="L187" s="7"/>
      <c r="M187" s="7"/>
      <c r="N187" s="7"/>
      <c r="O187" s="2"/>
      <c r="P187" s="2"/>
      <c r="Q187" s="2"/>
      <c r="R187" s="2"/>
      <c r="S187" s="2"/>
      <c r="T187" s="2"/>
      <c r="U187" s="2"/>
      <c r="V187" s="2"/>
      <c r="W187" s="2"/>
      <c r="X187" s="2"/>
      <c r="Y187" s="2"/>
      <c r="Z187" s="2"/>
    </row>
    <row r="188">
      <c r="A188" s="2"/>
      <c r="B188" s="7"/>
      <c r="C188" s="7"/>
      <c r="D188" s="7"/>
      <c r="E188" s="7"/>
      <c r="F188" s="7"/>
      <c r="G188" s="7"/>
      <c r="H188" s="7"/>
      <c r="I188" s="7"/>
      <c r="J188" s="7"/>
      <c r="K188" s="7"/>
      <c r="L188" s="7"/>
      <c r="M188" s="7"/>
      <c r="N188" s="7"/>
      <c r="O188" s="2"/>
      <c r="P188" s="2"/>
      <c r="Q188" s="2"/>
      <c r="R188" s="2"/>
      <c r="S188" s="2"/>
      <c r="T188" s="2"/>
      <c r="U188" s="2"/>
      <c r="V188" s="2"/>
      <c r="W188" s="2"/>
      <c r="X188" s="2"/>
      <c r="Y188" s="2"/>
      <c r="Z188" s="2"/>
    </row>
    <row r="189">
      <c r="A189" s="2"/>
      <c r="B189" s="7"/>
      <c r="C189" s="7"/>
      <c r="D189" s="7"/>
      <c r="E189" s="7"/>
      <c r="F189" s="7"/>
      <c r="G189" s="7"/>
      <c r="H189" s="7"/>
      <c r="I189" s="7"/>
      <c r="J189" s="7"/>
      <c r="K189" s="7"/>
      <c r="L189" s="7"/>
      <c r="M189" s="7"/>
      <c r="N189" s="7"/>
      <c r="O189" s="2"/>
      <c r="P189" s="2"/>
      <c r="Q189" s="2"/>
      <c r="R189" s="2"/>
      <c r="S189" s="2"/>
      <c r="T189" s="2"/>
      <c r="U189" s="2"/>
      <c r="V189" s="2"/>
      <c r="W189" s="2"/>
      <c r="X189" s="2"/>
      <c r="Y189" s="2"/>
      <c r="Z189" s="2"/>
    </row>
    <row r="190">
      <c r="A190" s="2"/>
      <c r="B190" s="7"/>
      <c r="C190" s="7"/>
      <c r="D190" s="7"/>
      <c r="E190" s="7"/>
      <c r="F190" s="7"/>
      <c r="G190" s="7"/>
      <c r="H190" s="7"/>
      <c r="I190" s="7"/>
      <c r="J190" s="7"/>
      <c r="K190" s="7"/>
      <c r="L190" s="7"/>
      <c r="M190" s="7"/>
      <c r="N190" s="7"/>
      <c r="O190" s="2"/>
      <c r="P190" s="2"/>
      <c r="Q190" s="2"/>
      <c r="R190" s="2"/>
      <c r="S190" s="2"/>
      <c r="T190" s="2"/>
      <c r="U190" s="2"/>
      <c r="V190" s="2"/>
      <c r="W190" s="2"/>
      <c r="X190" s="2"/>
      <c r="Y190" s="2"/>
      <c r="Z190" s="2"/>
    </row>
    <row r="191">
      <c r="A191" s="2"/>
      <c r="B191" s="7"/>
      <c r="C191" s="7"/>
      <c r="D191" s="7"/>
      <c r="E191" s="7"/>
      <c r="F191" s="7"/>
      <c r="G191" s="7"/>
      <c r="H191" s="7"/>
      <c r="I191" s="7"/>
      <c r="J191" s="7"/>
      <c r="K191" s="7"/>
      <c r="L191" s="7"/>
      <c r="M191" s="7"/>
      <c r="N191" s="7"/>
      <c r="O191" s="2"/>
      <c r="P191" s="2"/>
      <c r="Q191" s="2"/>
      <c r="R191" s="2"/>
      <c r="S191" s="2"/>
      <c r="T191" s="2"/>
      <c r="U191" s="2"/>
      <c r="V191" s="2"/>
      <c r="W191" s="2"/>
      <c r="X191" s="2"/>
      <c r="Y191" s="2"/>
      <c r="Z191" s="2"/>
    </row>
    <row r="192">
      <c r="A192" s="2"/>
      <c r="B192" s="7"/>
      <c r="C192" s="7"/>
      <c r="D192" s="7"/>
      <c r="E192" s="7"/>
      <c r="F192" s="7"/>
      <c r="G192" s="7"/>
      <c r="H192" s="7"/>
      <c r="I192" s="7"/>
      <c r="J192" s="7"/>
      <c r="K192" s="7"/>
      <c r="L192" s="7"/>
      <c r="M192" s="7"/>
      <c r="N192" s="7"/>
      <c r="O192" s="2"/>
      <c r="P192" s="2"/>
      <c r="Q192" s="2"/>
      <c r="R192" s="2"/>
      <c r="S192" s="2"/>
      <c r="T192" s="2"/>
      <c r="U192" s="2"/>
      <c r="V192" s="2"/>
      <c r="W192" s="2"/>
      <c r="X192" s="2"/>
      <c r="Y192" s="2"/>
      <c r="Z192" s="2"/>
    </row>
    <row r="193">
      <c r="A193" s="2"/>
      <c r="B193" s="7"/>
      <c r="C193" s="7"/>
      <c r="D193" s="7"/>
      <c r="E193" s="7"/>
      <c r="F193" s="7"/>
      <c r="G193" s="7"/>
      <c r="H193" s="7"/>
      <c r="I193" s="7"/>
      <c r="J193" s="7"/>
      <c r="K193" s="7"/>
      <c r="L193" s="7"/>
      <c r="M193" s="7"/>
      <c r="N193" s="7"/>
      <c r="O193" s="2"/>
      <c r="P193" s="2"/>
      <c r="Q193" s="2"/>
      <c r="R193" s="2"/>
      <c r="S193" s="2"/>
      <c r="T193" s="2"/>
      <c r="U193" s="2"/>
      <c r="V193" s="2"/>
      <c r="W193" s="2"/>
      <c r="X193" s="2"/>
      <c r="Y193" s="2"/>
      <c r="Z193" s="2"/>
    </row>
    <row r="194">
      <c r="A194" s="2"/>
      <c r="B194" s="7"/>
      <c r="C194" s="7"/>
      <c r="D194" s="7"/>
      <c r="E194" s="7"/>
      <c r="F194" s="7"/>
      <c r="G194" s="7"/>
      <c r="H194" s="7"/>
      <c r="I194" s="7"/>
      <c r="J194" s="7"/>
      <c r="K194" s="7"/>
      <c r="L194" s="7"/>
      <c r="M194" s="7"/>
      <c r="N194" s="7"/>
      <c r="O194" s="2"/>
      <c r="P194" s="2"/>
      <c r="Q194" s="2"/>
      <c r="R194" s="2"/>
      <c r="S194" s="2"/>
      <c r="T194" s="2"/>
      <c r="U194" s="2"/>
      <c r="V194" s="2"/>
      <c r="W194" s="2"/>
      <c r="X194" s="2"/>
      <c r="Y194" s="2"/>
      <c r="Z194" s="2"/>
    </row>
    <row r="195">
      <c r="A195" s="2"/>
      <c r="B195" s="7"/>
      <c r="C195" s="7"/>
      <c r="D195" s="7"/>
      <c r="E195" s="7"/>
      <c r="F195" s="7"/>
      <c r="G195" s="7"/>
      <c r="H195" s="7"/>
      <c r="I195" s="7"/>
      <c r="J195" s="7"/>
      <c r="K195" s="7"/>
      <c r="L195" s="7"/>
      <c r="M195" s="7"/>
      <c r="N195" s="7"/>
      <c r="O195" s="2"/>
      <c r="P195" s="2"/>
      <c r="Q195" s="2"/>
      <c r="R195" s="2"/>
      <c r="S195" s="2"/>
      <c r="T195" s="2"/>
      <c r="U195" s="2"/>
      <c r="V195" s="2"/>
      <c r="W195" s="2"/>
      <c r="X195" s="2"/>
      <c r="Y195" s="2"/>
      <c r="Z195" s="2"/>
    </row>
    <row r="196">
      <c r="A196" s="2"/>
      <c r="B196" s="7"/>
      <c r="C196" s="7"/>
      <c r="D196" s="7"/>
      <c r="E196" s="7"/>
      <c r="F196" s="7"/>
      <c r="G196" s="7"/>
      <c r="H196" s="7"/>
      <c r="I196" s="7"/>
      <c r="J196" s="7"/>
      <c r="K196" s="7"/>
      <c r="L196" s="7"/>
      <c r="M196" s="7"/>
      <c r="N196" s="7"/>
      <c r="O196" s="2"/>
      <c r="P196" s="2"/>
      <c r="Q196" s="2"/>
      <c r="R196" s="2"/>
      <c r="S196" s="2"/>
      <c r="T196" s="2"/>
      <c r="U196" s="2"/>
      <c r="V196" s="2"/>
      <c r="W196" s="2"/>
      <c r="X196" s="2"/>
      <c r="Y196" s="2"/>
      <c r="Z196" s="2"/>
    </row>
    <row r="197">
      <c r="A197" s="2"/>
      <c r="B197" s="7"/>
      <c r="C197" s="7"/>
      <c r="D197" s="7"/>
      <c r="E197" s="7"/>
      <c r="F197" s="7"/>
      <c r="G197" s="7"/>
      <c r="H197" s="7"/>
      <c r="I197" s="7"/>
      <c r="J197" s="7"/>
      <c r="K197" s="7"/>
      <c r="L197" s="7"/>
      <c r="M197" s="7"/>
      <c r="N197" s="7"/>
      <c r="O197" s="2"/>
      <c r="P197" s="2"/>
      <c r="Q197" s="2"/>
      <c r="R197" s="2"/>
      <c r="S197" s="2"/>
      <c r="T197" s="2"/>
      <c r="U197" s="2"/>
      <c r="V197" s="2"/>
      <c r="W197" s="2"/>
      <c r="X197" s="2"/>
      <c r="Y197" s="2"/>
      <c r="Z197" s="2"/>
    </row>
    <row r="198">
      <c r="A198" s="2"/>
      <c r="B198" s="7"/>
      <c r="C198" s="7"/>
      <c r="D198" s="7"/>
      <c r="E198" s="7"/>
      <c r="F198" s="7"/>
      <c r="G198" s="7"/>
      <c r="H198" s="7"/>
      <c r="I198" s="7"/>
      <c r="J198" s="7"/>
      <c r="K198" s="7"/>
      <c r="L198" s="7"/>
      <c r="M198" s="7"/>
      <c r="N198" s="7"/>
      <c r="O198" s="2"/>
      <c r="P198" s="2"/>
      <c r="Q198" s="2"/>
      <c r="R198" s="2"/>
      <c r="S198" s="2"/>
      <c r="T198" s="2"/>
      <c r="U198" s="2"/>
      <c r="V198" s="2"/>
      <c r="W198" s="2"/>
      <c r="X198" s="2"/>
      <c r="Y198" s="2"/>
      <c r="Z198" s="2"/>
    </row>
    <row r="199">
      <c r="A199" s="2"/>
      <c r="B199" s="7"/>
      <c r="C199" s="7"/>
      <c r="D199" s="7"/>
      <c r="E199" s="7"/>
      <c r="F199" s="7"/>
      <c r="G199" s="7"/>
      <c r="H199" s="7"/>
      <c r="I199" s="7"/>
      <c r="J199" s="7"/>
      <c r="K199" s="7"/>
      <c r="L199" s="7"/>
      <c r="M199" s="7"/>
      <c r="N199" s="7"/>
      <c r="O199" s="2"/>
      <c r="P199" s="2"/>
      <c r="Q199" s="2"/>
      <c r="R199" s="2"/>
      <c r="S199" s="2"/>
      <c r="T199" s="2"/>
      <c r="U199" s="2"/>
      <c r="V199" s="2"/>
      <c r="W199" s="2"/>
      <c r="X199" s="2"/>
      <c r="Y199" s="2"/>
      <c r="Z199" s="2"/>
    </row>
    <row r="200">
      <c r="A200" s="2"/>
      <c r="B200" s="7"/>
      <c r="C200" s="7"/>
      <c r="D200" s="7"/>
      <c r="E200" s="7"/>
      <c r="F200" s="7"/>
      <c r="G200" s="7"/>
      <c r="H200" s="7"/>
      <c r="I200" s="7"/>
      <c r="J200" s="7"/>
      <c r="K200" s="7"/>
      <c r="L200" s="7"/>
      <c r="M200" s="7"/>
      <c r="N200" s="7"/>
      <c r="O200" s="2"/>
      <c r="P200" s="2"/>
      <c r="Q200" s="2"/>
      <c r="R200" s="2"/>
      <c r="S200" s="2"/>
      <c r="T200" s="2"/>
      <c r="U200" s="2"/>
      <c r="V200" s="2"/>
      <c r="W200" s="2"/>
      <c r="X200" s="2"/>
      <c r="Y200" s="2"/>
      <c r="Z200" s="2"/>
    </row>
    <row r="201">
      <c r="A201" s="2"/>
      <c r="B201" s="7"/>
      <c r="C201" s="7"/>
      <c r="D201" s="7"/>
      <c r="E201" s="7"/>
      <c r="F201" s="7"/>
      <c r="G201" s="7"/>
      <c r="H201" s="7"/>
      <c r="I201" s="7"/>
      <c r="J201" s="7"/>
      <c r="K201" s="7"/>
      <c r="L201" s="7"/>
      <c r="M201" s="7"/>
      <c r="N201" s="7"/>
      <c r="O201" s="2"/>
      <c r="P201" s="2"/>
      <c r="Q201" s="2"/>
      <c r="R201" s="2"/>
      <c r="S201" s="2"/>
      <c r="T201" s="2"/>
      <c r="U201" s="2"/>
      <c r="V201" s="2"/>
      <c r="W201" s="2"/>
      <c r="X201" s="2"/>
      <c r="Y201" s="2"/>
      <c r="Z201" s="2"/>
    </row>
    <row r="202">
      <c r="A202" s="2"/>
      <c r="B202" s="7"/>
      <c r="C202" s="7"/>
      <c r="D202" s="7"/>
      <c r="E202" s="7"/>
      <c r="F202" s="7"/>
      <c r="G202" s="7"/>
      <c r="H202" s="7"/>
      <c r="I202" s="7"/>
      <c r="J202" s="7"/>
      <c r="K202" s="7"/>
      <c r="L202" s="7"/>
      <c r="M202" s="7"/>
      <c r="N202" s="7"/>
      <c r="O202" s="2"/>
      <c r="P202" s="2"/>
      <c r="Q202" s="2"/>
      <c r="R202" s="2"/>
      <c r="S202" s="2"/>
      <c r="T202" s="2"/>
      <c r="U202" s="2"/>
      <c r="V202" s="2"/>
      <c r="W202" s="2"/>
      <c r="X202" s="2"/>
      <c r="Y202" s="2"/>
      <c r="Z202" s="2"/>
    </row>
    <row r="203">
      <c r="A203" s="2"/>
      <c r="B203" s="7"/>
      <c r="C203" s="7"/>
      <c r="D203" s="7"/>
      <c r="E203" s="7"/>
      <c r="F203" s="7"/>
      <c r="G203" s="7"/>
      <c r="H203" s="7"/>
      <c r="I203" s="7"/>
      <c r="J203" s="7"/>
      <c r="K203" s="7"/>
      <c r="L203" s="7"/>
      <c r="M203" s="7"/>
      <c r="N203" s="7"/>
      <c r="O203" s="2"/>
      <c r="P203" s="2"/>
      <c r="Q203" s="2"/>
      <c r="R203" s="2"/>
      <c r="S203" s="2"/>
      <c r="T203" s="2"/>
      <c r="U203" s="2"/>
      <c r="V203" s="2"/>
      <c r="W203" s="2"/>
      <c r="X203" s="2"/>
      <c r="Y203" s="2"/>
      <c r="Z203" s="2"/>
    </row>
    <row r="204">
      <c r="A204" s="2"/>
      <c r="B204" s="7"/>
      <c r="C204" s="7"/>
      <c r="D204" s="7"/>
      <c r="E204" s="7"/>
      <c r="F204" s="7"/>
      <c r="G204" s="7"/>
      <c r="H204" s="7"/>
      <c r="I204" s="7"/>
      <c r="J204" s="7"/>
      <c r="K204" s="7"/>
      <c r="L204" s="7"/>
      <c r="M204" s="7"/>
      <c r="N204" s="7"/>
      <c r="O204" s="2"/>
      <c r="P204" s="2"/>
      <c r="Q204" s="2"/>
      <c r="R204" s="2"/>
      <c r="S204" s="2"/>
      <c r="T204" s="2"/>
      <c r="U204" s="2"/>
      <c r="V204" s="2"/>
      <c r="W204" s="2"/>
      <c r="X204" s="2"/>
      <c r="Y204" s="2"/>
      <c r="Z204" s="2"/>
    </row>
    <row r="205">
      <c r="A205" s="2"/>
      <c r="B205" s="7"/>
      <c r="C205" s="7"/>
      <c r="D205" s="7"/>
      <c r="E205" s="7"/>
      <c r="F205" s="7"/>
      <c r="G205" s="7"/>
      <c r="H205" s="7"/>
      <c r="I205" s="7"/>
      <c r="J205" s="7"/>
      <c r="K205" s="7"/>
      <c r="L205" s="7"/>
      <c r="M205" s="7"/>
      <c r="N205" s="7"/>
      <c r="O205" s="2"/>
      <c r="P205" s="2"/>
      <c r="Q205" s="2"/>
      <c r="R205" s="2"/>
      <c r="S205" s="2"/>
      <c r="T205" s="2"/>
      <c r="U205" s="2"/>
      <c r="V205" s="2"/>
      <c r="W205" s="2"/>
      <c r="X205" s="2"/>
      <c r="Y205" s="2"/>
      <c r="Z205" s="2"/>
    </row>
    <row r="206">
      <c r="A206" s="2"/>
      <c r="B206" s="7"/>
      <c r="C206" s="7"/>
      <c r="D206" s="7"/>
      <c r="E206" s="7"/>
      <c r="F206" s="7"/>
      <c r="G206" s="7"/>
      <c r="H206" s="7"/>
      <c r="I206" s="7"/>
      <c r="J206" s="7"/>
      <c r="K206" s="7"/>
      <c r="L206" s="7"/>
      <c r="M206" s="7"/>
      <c r="N206" s="7"/>
      <c r="O206" s="2"/>
      <c r="P206" s="2"/>
      <c r="Q206" s="2"/>
      <c r="R206" s="2"/>
      <c r="S206" s="2"/>
      <c r="T206" s="2"/>
      <c r="U206" s="2"/>
      <c r="V206" s="2"/>
      <c r="W206" s="2"/>
      <c r="X206" s="2"/>
      <c r="Y206" s="2"/>
      <c r="Z206" s="2"/>
    </row>
    <row r="207">
      <c r="A207" s="2"/>
      <c r="B207" s="7"/>
      <c r="C207" s="7"/>
      <c r="D207" s="7"/>
      <c r="E207" s="7"/>
      <c r="F207" s="7"/>
      <c r="G207" s="7"/>
      <c r="H207" s="7"/>
      <c r="I207" s="7"/>
      <c r="J207" s="7"/>
      <c r="K207" s="7"/>
      <c r="L207" s="7"/>
      <c r="M207" s="7"/>
      <c r="N207" s="7"/>
      <c r="O207" s="2"/>
      <c r="P207" s="2"/>
      <c r="Q207" s="2"/>
      <c r="R207" s="2"/>
      <c r="S207" s="2"/>
      <c r="T207" s="2"/>
      <c r="U207" s="2"/>
      <c r="V207" s="2"/>
      <c r="W207" s="2"/>
      <c r="X207" s="2"/>
      <c r="Y207" s="2"/>
      <c r="Z207" s="2"/>
    </row>
    <row r="208">
      <c r="A208" s="2"/>
      <c r="B208" s="7"/>
      <c r="C208" s="7"/>
      <c r="D208" s="7"/>
      <c r="E208" s="7"/>
      <c r="F208" s="7"/>
      <c r="G208" s="7"/>
      <c r="H208" s="7"/>
      <c r="I208" s="7"/>
      <c r="J208" s="7"/>
      <c r="K208" s="7"/>
      <c r="L208" s="7"/>
      <c r="M208" s="7"/>
      <c r="N208" s="7"/>
      <c r="O208" s="2"/>
      <c r="P208" s="2"/>
      <c r="Q208" s="2"/>
      <c r="R208" s="2"/>
      <c r="S208" s="2"/>
      <c r="T208" s="2"/>
      <c r="U208" s="2"/>
      <c r="V208" s="2"/>
      <c r="W208" s="2"/>
      <c r="X208" s="2"/>
      <c r="Y208" s="2"/>
      <c r="Z208" s="2"/>
    </row>
    <row r="209">
      <c r="A209" s="2"/>
      <c r="B209" s="7"/>
      <c r="C209" s="7"/>
      <c r="D209" s="7"/>
      <c r="E209" s="7"/>
      <c r="F209" s="7"/>
      <c r="G209" s="7"/>
      <c r="H209" s="7"/>
      <c r="I209" s="7"/>
      <c r="J209" s="7"/>
      <c r="K209" s="7"/>
      <c r="L209" s="7"/>
      <c r="M209" s="7"/>
      <c r="N209" s="7"/>
      <c r="O209" s="2"/>
      <c r="P209" s="2"/>
      <c r="Q209" s="2"/>
      <c r="R209" s="2"/>
      <c r="S209" s="2"/>
      <c r="T209" s="2"/>
      <c r="U209" s="2"/>
      <c r="V209" s="2"/>
      <c r="W209" s="2"/>
      <c r="X209" s="2"/>
      <c r="Y209" s="2"/>
      <c r="Z209" s="2"/>
    </row>
    <row r="210">
      <c r="A210" s="2"/>
      <c r="B210" s="7"/>
      <c r="C210" s="7"/>
      <c r="D210" s="7"/>
      <c r="E210" s="7"/>
      <c r="F210" s="7"/>
      <c r="G210" s="7"/>
      <c r="H210" s="7"/>
      <c r="I210" s="7"/>
      <c r="J210" s="7"/>
      <c r="K210" s="7"/>
      <c r="L210" s="7"/>
      <c r="M210" s="7"/>
      <c r="N210" s="7"/>
      <c r="O210" s="2"/>
      <c r="P210" s="2"/>
      <c r="Q210" s="2"/>
      <c r="R210" s="2"/>
      <c r="S210" s="2"/>
      <c r="T210" s="2"/>
      <c r="U210" s="2"/>
      <c r="V210" s="2"/>
      <c r="W210" s="2"/>
      <c r="X210" s="2"/>
      <c r="Y210" s="2"/>
      <c r="Z210" s="2"/>
    </row>
    <row r="211">
      <c r="A211" s="2"/>
      <c r="B211" s="7"/>
      <c r="C211" s="7"/>
      <c r="D211" s="7"/>
      <c r="E211" s="7"/>
      <c r="F211" s="7"/>
      <c r="G211" s="7"/>
      <c r="H211" s="7"/>
      <c r="I211" s="7"/>
      <c r="J211" s="7"/>
      <c r="K211" s="7"/>
      <c r="L211" s="7"/>
      <c r="M211" s="7"/>
      <c r="N211" s="7"/>
      <c r="O211" s="2"/>
      <c r="P211" s="2"/>
      <c r="Q211" s="2"/>
      <c r="R211" s="2"/>
      <c r="S211" s="2"/>
      <c r="T211" s="2"/>
      <c r="U211" s="2"/>
      <c r="V211" s="2"/>
      <c r="W211" s="2"/>
      <c r="X211" s="2"/>
      <c r="Y211" s="2"/>
      <c r="Z211" s="2"/>
    </row>
    <row r="212">
      <c r="A212" s="2"/>
      <c r="B212" s="7"/>
      <c r="C212" s="7"/>
      <c r="D212" s="7"/>
      <c r="E212" s="7"/>
      <c r="F212" s="7"/>
      <c r="G212" s="7"/>
      <c r="H212" s="7"/>
      <c r="I212" s="7"/>
      <c r="J212" s="7"/>
      <c r="K212" s="7"/>
      <c r="L212" s="7"/>
      <c r="M212" s="7"/>
      <c r="N212" s="7"/>
      <c r="O212" s="2"/>
      <c r="P212" s="2"/>
      <c r="Q212" s="2"/>
      <c r="R212" s="2"/>
      <c r="S212" s="2"/>
      <c r="T212" s="2"/>
      <c r="U212" s="2"/>
      <c r="V212" s="2"/>
      <c r="W212" s="2"/>
      <c r="X212" s="2"/>
      <c r="Y212" s="2"/>
      <c r="Z212" s="2"/>
    </row>
    <row r="213">
      <c r="A213" s="2"/>
      <c r="B213" s="7"/>
      <c r="C213" s="7"/>
      <c r="D213" s="7"/>
      <c r="E213" s="7"/>
      <c r="F213" s="7"/>
      <c r="G213" s="7"/>
      <c r="H213" s="7"/>
      <c r="I213" s="7"/>
      <c r="J213" s="7"/>
      <c r="K213" s="7"/>
      <c r="L213" s="7"/>
      <c r="M213" s="7"/>
      <c r="N213" s="7"/>
      <c r="O213" s="2"/>
      <c r="P213" s="2"/>
      <c r="Q213" s="2"/>
      <c r="R213" s="2"/>
      <c r="S213" s="2"/>
      <c r="T213" s="2"/>
      <c r="U213" s="2"/>
      <c r="V213" s="2"/>
      <c r="W213" s="2"/>
      <c r="X213" s="2"/>
      <c r="Y213" s="2"/>
      <c r="Z213" s="2"/>
    </row>
    <row r="214">
      <c r="A214" s="2"/>
      <c r="B214" s="7"/>
      <c r="C214" s="7"/>
      <c r="D214" s="7"/>
      <c r="E214" s="7"/>
      <c r="F214" s="7"/>
      <c r="G214" s="7"/>
      <c r="H214" s="7"/>
      <c r="I214" s="7"/>
      <c r="J214" s="7"/>
      <c r="K214" s="7"/>
      <c r="L214" s="7"/>
      <c r="M214" s="7"/>
      <c r="N214" s="7"/>
      <c r="O214" s="2"/>
      <c r="P214" s="2"/>
      <c r="Q214" s="2"/>
      <c r="R214" s="2"/>
      <c r="S214" s="2"/>
      <c r="T214" s="2"/>
      <c r="U214" s="2"/>
      <c r="V214" s="2"/>
      <c r="W214" s="2"/>
      <c r="X214" s="2"/>
      <c r="Y214" s="2"/>
      <c r="Z214" s="2"/>
    </row>
    <row r="215">
      <c r="A215" s="2"/>
      <c r="B215" s="7"/>
      <c r="C215" s="7"/>
      <c r="D215" s="7"/>
      <c r="E215" s="7"/>
      <c r="F215" s="7"/>
      <c r="G215" s="7"/>
      <c r="H215" s="7"/>
      <c r="I215" s="7"/>
      <c r="J215" s="7"/>
      <c r="K215" s="7"/>
      <c r="L215" s="7"/>
      <c r="M215" s="7"/>
      <c r="N215" s="7"/>
      <c r="O215" s="2"/>
      <c r="P215" s="2"/>
      <c r="Q215" s="2"/>
      <c r="R215" s="2"/>
      <c r="S215" s="2"/>
      <c r="T215" s="2"/>
      <c r="U215" s="2"/>
      <c r="V215" s="2"/>
      <c r="W215" s="2"/>
      <c r="X215" s="2"/>
      <c r="Y215" s="2"/>
      <c r="Z215" s="2"/>
    </row>
    <row r="216">
      <c r="A216" s="2"/>
      <c r="B216" s="7"/>
      <c r="C216" s="7"/>
      <c r="D216" s="7"/>
      <c r="E216" s="7"/>
      <c r="F216" s="7"/>
      <c r="G216" s="7"/>
      <c r="H216" s="7"/>
      <c r="I216" s="7"/>
      <c r="J216" s="7"/>
      <c r="K216" s="7"/>
      <c r="L216" s="7"/>
      <c r="M216" s="7"/>
      <c r="N216" s="7"/>
      <c r="O216" s="2"/>
      <c r="P216" s="2"/>
      <c r="Q216" s="2"/>
      <c r="R216" s="2"/>
      <c r="S216" s="2"/>
      <c r="T216" s="2"/>
      <c r="U216" s="2"/>
      <c r="V216" s="2"/>
      <c r="W216" s="2"/>
      <c r="X216" s="2"/>
      <c r="Y216" s="2"/>
      <c r="Z216" s="2"/>
    </row>
    <row r="217">
      <c r="A217" s="2"/>
      <c r="B217" s="7"/>
      <c r="C217" s="7"/>
      <c r="D217" s="7"/>
      <c r="E217" s="7"/>
      <c r="F217" s="7"/>
      <c r="G217" s="7"/>
      <c r="H217" s="7"/>
      <c r="I217" s="7"/>
      <c r="J217" s="7"/>
      <c r="K217" s="7"/>
      <c r="L217" s="7"/>
      <c r="M217" s="7"/>
      <c r="N217" s="7"/>
      <c r="O217" s="2"/>
      <c r="P217" s="2"/>
      <c r="Q217" s="2"/>
      <c r="R217" s="2"/>
      <c r="S217" s="2"/>
      <c r="T217" s="2"/>
      <c r="U217" s="2"/>
      <c r="V217" s="2"/>
      <c r="W217" s="2"/>
      <c r="X217" s="2"/>
      <c r="Y217" s="2"/>
      <c r="Z217" s="2"/>
    </row>
    <row r="218">
      <c r="A218" s="2"/>
      <c r="B218" s="7"/>
      <c r="C218" s="7"/>
      <c r="D218" s="7"/>
      <c r="E218" s="7"/>
      <c r="F218" s="7"/>
      <c r="G218" s="7"/>
      <c r="H218" s="7"/>
      <c r="I218" s="7"/>
      <c r="J218" s="7"/>
      <c r="K218" s="7"/>
      <c r="L218" s="7"/>
      <c r="M218" s="7"/>
      <c r="N218" s="7"/>
      <c r="O218" s="2"/>
      <c r="P218" s="2"/>
      <c r="Q218" s="2"/>
      <c r="R218" s="2"/>
      <c r="S218" s="2"/>
      <c r="T218" s="2"/>
      <c r="U218" s="2"/>
      <c r="V218" s="2"/>
      <c r="W218" s="2"/>
      <c r="X218" s="2"/>
      <c r="Y218" s="2"/>
      <c r="Z218" s="2"/>
    </row>
    <row r="219">
      <c r="A219" s="2"/>
      <c r="B219" s="7"/>
      <c r="C219" s="7"/>
      <c r="D219" s="7"/>
      <c r="E219" s="7"/>
      <c r="F219" s="7"/>
      <c r="G219" s="7"/>
      <c r="H219" s="7"/>
      <c r="I219" s="7"/>
      <c r="J219" s="7"/>
      <c r="K219" s="7"/>
      <c r="L219" s="7"/>
      <c r="M219" s="7"/>
      <c r="N219" s="7"/>
      <c r="O219" s="2"/>
      <c r="P219" s="2"/>
      <c r="Q219" s="2"/>
      <c r="R219" s="2"/>
      <c r="S219" s="2"/>
      <c r="T219" s="2"/>
      <c r="U219" s="2"/>
      <c r="V219" s="2"/>
      <c r="W219" s="2"/>
      <c r="X219" s="2"/>
      <c r="Y219" s="2"/>
      <c r="Z219" s="2"/>
    </row>
    <row r="220">
      <c r="A220" s="2"/>
      <c r="B220" s="7"/>
      <c r="C220" s="7"/>
      <c r="D220" s="7"/>
      <c r="E220" s="7"/>
      <c r="F220" s="7"/>
      <c r="G220" s="7"/>
      <c r="H220" s="7"/>
      <c r="I220" s="7"/>
      <c r="J220" s="7"/>
      <c r="K220" s="7"/>
      <c r="L220" s="7"/>
      <c r="M220" s="7"/>
      <c r="N220" s="7"/>
      <c r="O220" s="2"/>
      <c r="P220" s="2"/>
      <c r="Q220" s="2"/>
      <c r="R220" s="2"/>
      <c r="S220" s="2"/>
      <c r="T220" s="2"/>
      <c r="U220" s="2"/>
      <c r="V220" s="2"/>
      <c r="W220" s="2"/>
      <c r="X220" s="2"/>
      <c r="Y220" s="2"/>
      <c r="Z220" s="2"/>
    </row>
    <row r="221">
      <c r="A221" s="2"/>
      <c r="B221" s="7"/>
      <c r="C221" s="7"/>
      <c r="D221" s="7"/>
      <c r="E221" s="7"/>
      <c r="F221" s="7"/>
      <c r="G221" s="7"/>
      <c r="H221" s="7"/>
      <c r="I221" s="7"/>
      <c r="J221" s="7"/>
      <c r="K221" s="7"/>
      <c r="L221" s="7"/>
      <c r="M221" s="7"/>
      <c r="N221" s="7"/>
      <c r="O221" s="2"/>
      <c r="P221" s="2"/>
      <c r="Q221" s="2"/>
      <c r="R221" s="2"/>
      <c r="S221" s="2"/>
      <c r="T221" s="2"/>
      <c r="U221" s="2"/>
      <c r="V221" s="2"/>
      <c r="W221" s="2"/>
      <c r="X221" s="2"/>
      <c r="Y221" s="2"/>
      <c r="Z221" s="2"/>
    </row>
    <row r="222">
      <c r="A222" s="2"/>
      <c r="B222" s="7"/>
      <c r="C222" s="7"/>
      <c r="D222" s="7"/>
      <c r="E222" s="7"/>
      <c r="F222" s="7"/>
      <c r="G222" s="7"/>
      <c r="H222" s="7"/>
      <c r="I222" s="7"/>
      <c r="J222" s="7"/>
      <c r="K222" s="7"/>
      <c r="L222" s="7"/>
      <c r="M222" s="7"/>
      <c r="N222" s="7"/>
      <c r="O222" s="2"/>
      <c r="P222" s="2"/>
      <c r="Q222" s="2"/>
      <c r="R222" s="2"/>
      <c r="S222" s="2"/>
      <c r="T222" s="2"/>
      <c r="U222" s="2"/>
      <c r="V222" s="2"/>
      <c r="W222" s="2"/>
      <c r="X222" s="2"/>
      <c r="Y222" s="2"/>
      <c r="Z222" s="2"/>
    </row>
    <row r="223">
      <c r="A223" s="2"/>
      <c r="B223" s="7"/>
      <c r="C223" s="7"/>
      <c r="D223" s="7"/>
      <c r="E223" s="7"/>
      <c r="F223" s="7"/>
      <c r="G223" s="7"/>
      <c r="H223" s="7"/>
      <c r="I223" s="7"/>
      <c r="J223" s="7"/>
      <c r="K223" s="7"/>
      <c r="L223" s="7"/>
      <c r="M223" s="7"/>
      <c r="N223" s="7"/>
      <c r="O223" s="2"/>
      <c r="P223" s="2"/>
      <c r="Q223" s="2"/>
      <c r="R223" s="2"/>
      <c r="S223" s="2"/>
      <c r="T223" s="2"/>
      <c r="U223" s="2"/>
      <c r="V223" s="2"/>
      <c r="W223" s="2"/>
      <c r="X223" s="2"/>
      <c r="Y223" s="2"/>
      <c r="Z223" s="2"/>
    </row>
    <row r="224">
      <c r="A224" s="2"/>
      <c r="B224" s="7"/>
      <c r="C224" s="7"/>
      <c r="D224" s="7"/>
      <c r="E224" s="7"/>
      <c r="F224" s="7"/>
      <c r="G224" s="7"/>
      <c r="H224" s="7"/>
      <c r="I224" s="7"/>
      <c r="J224" s="7"/>
      <c r="K224" s="7"/>
      <c r="L224" s="7"/>
      <c r="M224" s="7"/>
      <c r="N224" s="7"/>
      <c r="O224" s="2"/>
      <c r="P224" s="2"/>
      <c r="Q224" s="2"/>
      <c r="R224" s="2"/>
      <c r="S224" s="2"/>
      <c r="T224" s="2"/>
      <c r="U224" s="2"/>
      <c r="V224" s="2"/>
      <c r="W224" s="2"/>
      <c r="X224" s="2"/>
      <c r="Y224" s="2"/>
      <c r="Z224" s="2"/>
    </row>
    <row r="225">
      <c r="A225" s="2"/>
      <c r="B225" s="7"/>
      <c r="C225" s="7"/>
      <c r="D225" s="7"/>
      <c r="E225" s="7"/>
      <c r="F225" s="7"/>
      <c r="G225" s="7"/>
      <c r="H225" s="7"/>
      <c r="I225" s="7"/>
      <c r="J225" s="7"/>
      <c r="K225" s="7"/>
      <c r="L225" s="7"/>
      <c r="M225" s="7"/>
      <c r="N225" s="7"/>
      <c r="O225" s="2"/>
      <c r="P225" s="2"/>
      <c r="Q225" s="2"/>
      <c r="R225" s="2"/>
      <c r="S225" s="2"/>
      <c r="T225" s="2"/>
      <c r="U225" s="2"/>
      <c r="V225" s="2"/>
      <c r="W225" s="2"/>
      <c r="X225" s="2"/>
      <c r="Y225" s="2"/>
      <c r="Z225" s="2"/>
    </row>
    <row r="226">
      <c r="A226" s="2"/>
      <c r="B226" s="7"/>
      <c r="C226" s="7"/>
      <c r="D226" s="7"/>
      <c r="E226" s="7"/>
      <c r="F226" s="7"/>
      <c r="G226" s="7"/>
      <c r="H226" s="7"/>
      <c r="I226" s="7"/>
      <c r="J226" s="7"/>
      <c r="K226" s="7"/>
      <c r="L226" s="7"/>
      <c r="M226" s="7"/>
      <c r="N226" s="7"/>
      <c r="O226" s="2"/>
      <c r="P226" s="2"/>
      <c r="Q226" s="2"/>
      <c r="R226" s="2"/>
      <c r="S226" s="2"/>
      <c r="T226" s="2"/>
      <c r="U226" s="2"/>
      <c r="V226" s="2"/>
      <c r="W226" s="2"/>
      <c r="X226" s="2"/>
      <c r="Y226" s="2"/>
      <c r="Z226" s="2"/>
    </row>
    <row r="227">
      <c r="A227" s="2"/>
      <c r="B227" s="7"/>
      <c r="C227" s="7"/>
      <c r="D227" s="7"/>
      <c r="E227" s="7"/>
      <c r="F227" s="7"/>
      <c r="G227" s="7"/>
      <c r="H227" s="7"/>
      <c r="I227" s="7"/>
      <c r="J227" s="7"/>
      <c r="K227" s="7"/>
      <c r="L227" s="7"/>
      <c r="M227" s="7"/>
      <c r="N227" s="7"/>
      <c r="O227" s="2"/>
      <c r="P227" s="2"/>
      <c r="Q227" s="2"/>
      <c r="R227" s="2"/>
      <c r="S227" s="2"/>
      <c r="T227" s="2"/>
      <c r="U227" s="2"/>
      <c r="V227" s="2"/>
      <c r="W227" s="2"/>
      <c r="X227" s="2"/>
      <c r="Y227" s="2"/>
      <c r="Z227" s="2"/>
    </row>
    <row r="228">
      <c r="A228" s="2"/>
      <c r="B228" s="7"/>
      <c r="C228" s="7"/>
      <c r="D228" s="7"/>
      <c r="E228" s="7"/>
      <c r="F228" s="7"/>
      <c r="G228" s="7"/>
      <c r="H228" s="7"/>
      <c r="I228" s="7"/>
      <c r="J228" s="7"/>
      <c r="K228" s="7"/>
      <c r="L228" s="7"/>
      <c r="M228" s="7"/>
      <c r="N228" s="7"/>
      <c r="O228" s="2"/>
      <c r="P228" s="2"/>
      <c r="Q228" s="2"/>
      <c r="R228" s="2"/>
      <c r="S228" s="2"/>
      <c r="T228" s="2"/>
      <c r="U228" s="2"/>
      <c r="V228" s="2"/>
      <c r="W228" s="2"/>
      <c r="X228" s="2"/>
      <c r="Y228" s="2"/>
      <c r="Z228" s="2"/>
    </row>
    <row r="229">
      <c r="A229" s="2"/>
      <c r="B229" s="7"/>
      <c r="C229" s="7"/>
      <c r="D229" s="7"/>
      <c r="E229" s="7"/>
      <c r="F229" s="7"/>
      <c r="G229" s="7"/>
      <c r="H229" s="7"/>
      <c r="I229" s="7"/>
      <c r="J229" s="7"/>
      <c r="K229" s="7"/>
      <c r="L229" s="7"/>
      <c r="M229" s="7"/>
      <c r="N229" s="7"/>
      <c r="O229" s="2"/>
      <c r="P229" s="2"/>
      <c r="Q229" s="2"/>
      <c r="R229" s="2"/>
      <c r="S229" s="2"/>
      <c r="T229" s="2"/>
      <c r="U229" s="2"/>
      <c r="V229" s="2"/>
      <c r="W229" s="2"/>
      <c r="X229" s="2"/>
      <c r="Y229" s="2"/>
      <c r="Z229" s="2"/>
    </row>
    <row r="230">
      <c r="A230" s="2"/>
      <c r="B230" s="7"/>
      <c r="C230" s="7"/>
      <c r="D230" s="7"/>
      <c r="E230" s="7"/>
      <c r="F230" s="7"/>
      <c r="G230" s="7"/>
      <c r="H230" s="7"/>
      <c r="I230" s="7"/>
      <c r="J230" s="7"/>
      <c r="K230" s="7"/>
      <c r="L230" s="7"/>
      <c r="M230" s="7"/>
      <c r="N230" s="7"/>
      <c r="O230" s="2"/>
      <c r="P230" s="2"/>
      <c r="Q230" s="2"/>
      <c r="R230" s="2"/>
      <c r="S230" s="2"/>
      <c r="T230" s="2"/>
      <c r="U230" s="2"/>
      <c r="V230" s="2"/>
      <c r="W230" s="2"/>
      <c r="X230" s="2"/>
      <c r="Y230" s="2"/>
      <c r="Z230" s="2"/>
    </row>
    <row r="231">
      <c r="A231" s="2"/>
      <c r="B231" s="7"/>
      <c r="C231" s="7"/>
      <c r="D231" s="7"/>
      <c r="E231" s="7"/>
      <c r="F231" s="7"/>
      <c r="G231" s="7"/>
      <c r="H231" s="7"/>
      <c r="I231" s="7"/>
      <c r="J231" s="7"/>
      <c r="K231" s="7"/>
      <c r="L231" s="7"/>
      <c r="M231" s="7"/>
      <c r="N231" s="7"/>
      <c r="O231" s="2"/>
      <c r="P231" s="2"/>
      <c r="Q231" s="2"/>
      <c r="R231" s="2"/>
      <c r="S231" s="2"/>
      <c r="T231" s="2"/>
      <c r="U231" s="2"/>
      <c r="V231" s="2"/>
      <c r="W231" s="2"/>
      <c r="X231" s="2"/>
      <c r="Y231" s="2"/>
      <c r="Z231" s="2"/>
    </row>
    <row r="232">
      <c r="A232" s="2"/>
      <c r="B232" s="7"/>
      <c r="C232" s="7"/>
      <c r="D232" s="7"/>
      <c r="E232" s="7"/>
      <c r="F232" s="7"/>
      <c r="G232" s="7"/>
      <c r="H232" s="7"/>
      <c r="I232" s="7"/>
      <c r="J232" s="7"/>
      <c r="K232" s="7"/>
      <c r="L232" s="7"/>
      <c r="M232" s="7"/>
      <c r="N232" s="7"/>
      <c r="O232" s="2"/>
      <c r="P232" s="2"/>
      <c r="Q232" s="2"/>
      <c r="R232" s="2"/>
      <c r="S232" s="2"/>
      <c r="T232" s="2"/>
      <c r="U232" s="2"/>
      <c r="V232" s="2"/>
      <c r="W232" s="2"/>
      <c r="X232" s="2"/>
      <c r="Y232" s="2"/>
      <c r="Z232" s="2"/>
    </row>
    <row r="233">
      <c r="A233" s="2"/>
      <c r="B233" s="7"/>
      <c r="C233" s="7"/>
      <c r="D233" s="7"/>
      <c r="E233" s="7"/>
      <c r="F233" s="7"/>
      <c r="G233" s="7"/>
      <c r="H233" s="7"/>
      <c r="I233" s="7"/>
      <c r="J233" s="7"/>
      <c r="K233" s="7"/>
      <c r="L233" s="7"/>
      <c r="M233" s="7"/>
      <c r="N233" s="7"/>
      <c r="O233" s="2"/>
      <c r="P233" s="2"/>
      <c r="Q233" s="2"/>
      <c r="R233" s="2"/>
      <c r="S233" s="2"/>
      <c r="T233" s="2"/>
      <c r="U233" s="2"/>
      <c r="V233" s="2"/>
      <c r="W233" s="2"/>
      <c r="X233" s="2"/>
      <c r="Y233" s="2"/>
      <c r="Z233" s="2"/>
    </row>
    <row r="234">
      <c r="A234" s="2"/>
      <c r="B234" s="7"/>
      <c r="C234" s="7"/>
      <c r="D234" s="7"/>
      <c r="E234" s="7"/>
      <c r="F234" s="7"/>
      <c r="G234" s="7"/>
      <c r="H234" s="7"/>
      <c r="I234" s="7"/>
      <c r="J234" s="7"/>
      <c r="K234" s="7"/>
      <c r="L234" s="7"/>
      <c r="M234" s="7"/>
      <c r="N234" s="7"/>
      <c r="O234" s="2"/>
      <c r="P234" s="2"/>
      <c r="Q234" s="2"/>
      <c r="R234" s="2"/>
      <c r="S234" s="2"/>
      <c r="T234" s="2"/>
      <c r="U234" s="2"/>
      <c r="V234" s="2"/>
      <c r="W234" s="2"/>
      <c r="X234" s="2"/>
      <c r="Y234" s="2"/>
      <c r="Z234" s="2"/>
    </row>
    <row r="235">
      <c r="A235" s="2"/>
      <c r="B235" s="7"/>
      <c r="C235" s="7"/>
      <c r="D235" s="7"/>
      <c r="E235" s="7"/>
      <c r="F235" s="7"/>
      <c r="G235" s="7"/>
      <c r="H235" s="7"/>
      <c r="I235" s="7"/>
      <c r="J235" s="7"/>
      <c r="K235" s="7"/>
      <c r="L235" s="7"/>
      <c r="M235" s="7"/>
      <c r="N235" s="7"/>
      <c r="O235" s="2"/>
      <c r="P235" s="2"/>
      <c r="Q235" s="2"/>
      <c r="R235" s="2"/>
      <c r="S235" s="2"/>
      <c r="T235" s="2"/>
      <c r="U235" s="2"/>
      <c r="V235" s="2"/>
      <c r="W235" s="2"/>
      <c r="X235" s="2"/>
      <c r="Y235" s="2"/>
      <c r="Z235" s="2"/>
    </row>
    <row r="236">
      <c r="A236" s="2"/>
      <c r="B236" s="7"/>
      <c r="C236" s="7"/>
      <c r="D236" s="7"/>
      <c r="E236" s="7"/>
      <c r="F236" s="7"/>
      <c r="G236" s="7"/>
      <c r="H236" s="7"/>
      <c r="I236" s="7"/>
      <c r="J236" s="7"/>
      <c r="K236" s="7"/>
      <c r="L236" s="7"/>
      <c r="M236" s="7"/>
      <c r="N236" s="7"/>
      <c r="O236" s="2"/>
      <c r="P236" s="2"/>
      <c r="Q236" s="2"/>
      <c r="R236" s="2"/>
      <c r="S236" s="2"/>
      <c r="T236" s="2"/>
      <c r="U236" s="2"/>
      <c r="V236" s="2"/>
      <c r="W236" s="2"/>
      <c r="X236" s="2"/>
      <c r="Y236" s="2"/>
      <c r="Z236" s="2"/>
    </row>
    <row r="237">
      <c r="A237" s="2"/>
      <c r="B237" s="7"/>
      <c r="C237" s="7"/>
      <c r="D237" s="7"/>
      <c r="E237" s="7"/>
      <c r="F237" s="7"/>
      <c r="G237" s="7"/>
      <c r="H237" s="7"/>
      <c r="I237" s="7"/>
      <c r="J237" s="7"/>
      <c r="K237" s="7"/>
      <c r="L237" s="7"/>
      <c r="M237" s="7"/>
      <c r="N237" s="7"/>
      <c r="O237" s="2"/>
      <c r="P237" s="2"/>
      <c r="Q237" s="2"/>
      <c r="R237" s="2"/>
      <c r="S237" s="2"/>
      <c r="T237" s="2"/>
      <c r="U237" s="2"/>
      <c r="V237" s="2"/>
      <c r="W237" s="2"/>
      <c r="X237" s="2"/>
      <c r="Y237" s="2"/>
      <c r="Z237" s="2"/>
    </row>
    <row r="238">
      <c r="A238" s="2"/>
      <c r="B238" s="7"/>
      <c r="C238" s="7"/>
      <c r="D238" s="7"/>
      <c r="E238" s="7"/>
      <c r="F238" s="7"/>
      <c r="G238" s="7"/>
      <c r="H238" s="7"/>
      <c r="I238" s="7"/>
      <c r="J238" s="7"/>
      <c r="K238" s="7"/>
      <c r="L238" s="7"/>
      <c r="M238" s="7"/>
      <c r="N238" s="7"/>
      <c r="O238" s="2"/>
      <c r="P238" s="2"/>
      <c r="Q238" s="2"/>
      <c r="R238" s="2"/>
      <c r="S238" s="2"/>
      <c r="T238" s="2"/>
      <c r="U238" s="2"/>
      <c r="V238" s="2"/>
      <c r="W238" s="2"/>
      <c r="X238" s="2"/>
      <c r="Y238" s="2"/>
      <c r="Z238" s="2"/>
    </row>
    <row r="239">
      <c r="A239" s="2"/>
      <c r="B239" s="7"/>
      <c r="C239" s="7"/>
      <c r="D239" s="7"/>
      <c r="E239" s="7"/>
      <c r="F239" s="7"/>
      <c r="G239" s="7"/>
      <c r="H239" s="7"/>
      <c r="I239" s="7"/>
      <c r="J239" s="7"/>
      <c r="K239" s="7"/>
      <c r="L239" s="7"/>
      <c r="M239" s="7"/>
      <c r="N239" s="7"/>
      <c r="O239" s="2"/>
      <c r="P239" s="2"/>
      <c r="Q239" s="2"/>
      <c r="R239" s="2"/>
      <c r="S239" s="2"/>
      <c r="T239" s="2"/>
      <c r="U239" s="2"/>
      <c r="V239" s="2"/>
      <c r="W239" s="2"/>
      <c r="X239" s="2"/>
      <c r="Y239" s="2"/>
      <c r="Z239" s="2"/>
    </row>
    <row r="240">
      <c r="A240" s="2"/>
      <c r="B240" s="7"/>
      <c r="C240" s="7"/>
      <c r="D240" s="7"/>
      <c r="E240" s="7"/>
      <c r="F240" s="7"/>
      <c r="G240" s="7"/>
      <c r="H240" s="7"/>
      <c r="I240" s="7"/>
      <c r="J240" s="7"/>
      <c r="K240" s="7"/>
      <c r="L240" s="7"/>
      <c r="M240" s="7"/>
      <c r="N240" s="7"/>
      <c r="O240" s="2"/>
      <c r="P240" s="2"/>
      <c r="Q240" s="2"/>
      <c r="R240" s="2"/>
      <c r="S240" s="2"/>
      <c r="T240" s="2"/>
      <c r="U240" s="2"/>
      <c r="V240" s="2"/>
      <c r="W240" s="2"/>
      <c r="X240" s="2"/>
      <c r="Y240" s="2"/>
      <c r="Z240" s="2"/>
    </row>
    <row r="241">
      <c r="A241" s="2"/>
      <c r="B241" s="7"/>
      <c r="C241" s="7"/>
      <c r="D241" s="7"/>
      <c r="E241" s="7"/>
      <c r="F241" s="7"/>
      <c r="G241" s="7"/>
      <c r="H241" s="7"/>
      <c r="I241" s="7"/>
      <c r="J241" s="7"/>
      <c r="K241" s="7"/>
      <c r="L241" s="7"/>
      <c r="M241" s="7"/>
      <c r="N241" s="7"/>
      <c r="O241" s="2"/>
      <c r="P241" s="2"/>
      <c r="Q241" s="2"/>
      <c r="R241" s="2"/>
      <c r="S241" s="2"/>
      <c r="T241" s="2"/>
      <c r="U241" s="2"/>
      <c r="V241" s="2"/>
      <c r="W241" s="2"/>
      <c r="X241" s="2"/>
      <c r="Y241" s="2"/>
      <c r="Z241" s="2"/>
    </row>
    <row r="242">
      <c r="A242" s="2"/>
      <c r="B242" s="7"/>
      <c r="C242" s="7"/>
      <c r="D242" s="7"/>
      <c r="E242" s="7"/>
      <c r="F242" s="7"/>
      <c r="G242" s="7"/>
      <c r="H242" s="7"/>
      <c r="I242" s="7"/>
      <c r="J242" s="7"/>
      <c r="K242" s="7"/>
      <c r="L242" s="7"/>
      <c r="M242" s="7"/>
      <c r="N242" s="7"/>
      <c r="O242" s="2"/>
      <c r="P242" s="2"/>
      <c r="Q242" s="2"/>
      <c r="R242" s="2"/>
      <c r="S242" s="2"/>
      <c r="T242" s="2"/>
      <c r="U242" s="2"/>
      <c r="V242" s="2"/>
      <c r="W242" s="2"/>
      <c r="X242" s="2"/>
      <c r="Y242" s="2"/>
      <c r="Z242" s="2"/>
    </row>
    <row r="243">
      <c r="A243" s="2"/>
      <c r="B243" s="7"/>
      <c r="C243" s="7"/>
      <c r="D243" s="7"/>
      <c r="E243" s="7"/>
      <c r="F243" s="7"/>
      <c r="G243" s="7"/>
      <c r="H243" s="7"/>
      <c r="I243" s="7"/>
      <c r="J243" s="7"/>
      <c r="K243" s="7"/>
      <c r="L243" s="7"/>
      <c r="M243" s="7"/>
      <c r="N243" s="7"/>
      <c r="O243" s="2"/>
      <c r="P243" s="2"/>
      <c r="Q243" s="2"/>
      <c r="R243" s="2"/>
      <c r="S243" s="2"/>
      <c r="T243" s="2"/>
      <c r="U243" s="2"/>
      <c r="V243" s="2"/>
      <c r="W243" s="2"/>
      <c r="X243" s="2"/>
      <c r="Y243" s="2"/>
      <c r="Z243" s="2"/>
    </row>
    <row r="244">
      <c r="A244" s="2"/>
      <c r="B244" s="7"/>
      <c r="C244" s="7"/>
      <c r="D244" s="7"/>
      <c r="E244" s="7"/>
      <c r="F244" s="7"/>
      <c r="G244" s="7"/>
      <c r="H244" s="7"/>
      <c r="I244" s="7"/>
      <c r="J244" s="7"/>
      <c r="K244" s="7"/>
      <c r="L244" s="7"/>
      <c r="M244" s="7"/>
      <c r="N244" s="7"/>
      <c r="O244" s="2"/>
      <c r="P244" s="2"/>
      <c r="Q244" s="2"/>
      <c r="R244" s="2"/>
      <c r="S244" s="2"/>
      <c r="T244" s="2"/>
      <c r="U244" s="2"/>
      <c r="V244" s="2"/>
      <c r="W244" s="2"/>
      <c r="X244" s="2"/>
      <c r="Y244" s="2"/>
      <c r="Z244" s="2"/>
    </row>
    <row r="245">
      <c r="A245" s="2"/>
      <c r="B245" s="7"/>
      <c r="C245" s="7"/>
      <c r="D245" s="7"/>
      <c r="E245" s="7"/>
      <c r="F245" s="7"/>
      <c r="G245" s="7"/>
      <c r="H245" s="7"/>
      <c r="I245" s="7"/>
      <c r="J245" s="7"/>
      <c r="K245" s="7"/>
      <c r="L245" s="7"/>
      <c r="M245" s="7"/>
      <c r="N245" s="7"/>
      <c r="O245" s="2"/>
      <c r="P245" s="2"/>
      <c r="Q245" s="2"/>
      <c r="R245" s="2"/>
      <c r="S245" s="2"/>
      <c r="T245" s="2"/>
      <c r="U245" s="2"/>
      <c r="V245" s="2"/>
      <c r="W245" s="2"/>
      <c r="X245" s="2"/>
      <c r="Y245" s="2"/>
      <c r="Z245" s="2"/>
    </row>
    <row r="246">
      <c r="A246" s="2"/>
      <c r="B246" s="7"/>
      <c r="C246" s="7"/>
      <c r="D246" s="7"/>
      <c r="E246" s="7"/>
      <c r="F246" s="7"/>
      <c r="G246" s="7"/>
      <c r="H246" s="7"/>
      <c r="I246" s="7"/>
      <c r="J246" s="7"/>
      <c r="K246" s="7"/>
      <c r="L246" s="7"/>
      <c r="M246" s="7"/>
      <c r="N246" s="7"/>
      <c r="O246" s="2"/>
      <c r="P246" s="2"/>
      <c r="Q246" s="2"/>
      <c r="R246" s="2"/>
      <c r="S246" s="2"/>
      <c r="T246" s="2"/>
      <c r="U246" s="2"/>
      <c r="V246" s="2"/>
      <c r="W246" s="2"/>
      <c r="X246" s="2"/>
      <c r="Y246" s="2"/>
      <c r="Z246" s="2"/>
    </row>
    <row r="247">
      <c r="A247" s="2"/>
      <c r="B247" s="7"/>
      <c r="C247" s="7"/>
      <c r="D247" s="7"/>
      <c r="E247" s="7"/>
      <c r="F247" s="7"/>
      <c r="G247" s="7"/>
      <c r="H247" s="7"/>
      <c r="I247" s="7"/>
      <c r="J247" s="7"/>
      <c r="K247" s="7"/>
      <c r="L247" s="7"/>
      <c r="M247" s="7"/>
      <c r="N247" s="7"/>
      <c r="O247" s="2"/>
      <c r="P247" s="2"/>
      <c r="Q247" s="2"/>
      <c r="R247" s="2"/>
      <c r="S247" s="2"/>
      <c r="T247" s="2"/>
      <c r="U247" s="2"/>
      <c r="V247" s="2"/>
      <c r="W247" s="2"/>
      <c r="X247" s="2"/>
      <c r="Y247" s="2"/>
      <c r="Z247" s="2"/>
    </row>
    <row r="248">
      <c r="A248" s="2"/>
      <c r="B248" s="7"/>
      <c r="C248" s="7"/>
      <c r="D248" s="7"/>
      <c r="E248" s="7"/>
      <c r="F248" s="7"/>
      <c r="G248" s="7"/>
      <c r="H248" s="7"/>
      <c r="I248" s="7"/>
      <c r="J248" s="7"/>
      <c r="K248" s="7"/>
      <c r="L248" s="7"/>
      <c r="M248" s="7"/>
      <c r="N248" s="7"/>
      <c r="O248" s="2"/>
      <c r="P248" s="2"/>
      <c r="Q248" s="2"/>
      <c r="R248" s="2"/>
      <c r="S248" s="2"/>
      <c r="T248" s="2"/>
      <c r="U248" s="2"/>
      <c r="V248" s="2"/>
      <c r="W248" s="2"/>
      <c r="X248" s="2"/>
      <c r="Y248" s="2"/>
      <c r="Z248" s="2"/>
    </row>
    <row r="249">
      <c r="A249" s="2"/>
      <c r="B249" s="7"/>
      <c r="C249" s="7"/>
      <c r="D249" s="7"/>
      <c r="E249" s="7"/>
      <c r="F249" s="7"/>
      <c r="G249" s="7"/>
      <c r="H249" s="7"/>
      <c r="I249" s="7"/>
      <c r="J249" s="7"/>
      <c r="K249" s="7"/>
      <c r="L249" s="7"/>
      <c r="M249" s="7"/>
      <c r="N249" s="7"/>
      <c r="O249" s="2"/>
      <c r="P249" s="2"/>
      <c r="Q249" s="2"/>
      <c r="R249" s="2"/>
      <c r="S249" s="2"/>
      <c r="T249" s="2"/>
      <c r="U249" s="2"/>
      <c r="V249" s="2"/>
      <c r="W249" s="2"/>
      <c r="X249" s="2"/>
      <c r="Y249" s="2"/>
      <c r="Z249" s="2"/>
    </row>
    <row r="250">
      <c r="A250" s="2"/>
      <c r="B250" s="7"/>
      <c r="C250" s="7"/>
      <c r="D250" s="7"/>
      <c r="E250" s="7"/>
      <c r="F250" s="7"/>
      <c r="G250" s="7"/>
      <c r="H250" s="7"/>
      <c r="I250" s="7"/>
      <c r="J250" s="7"/>
      <c r="K250" s="7"/>
      <c r="L250" s="7"/>
      <c r="M250" s="7"/>
      <c r="N250" s="7"/>
      <c r="O250" s="2"/>
      <c r="P250" s="2"/>
      <c r="Q250" s="2"/>
      <c r="R250" s="2"/>
      <c r="S250" s="2"/>
      <c r="T250" s="2"/>
      <c r="U250" s="2"/>
      <c r="V250" s="2"/>
      <c r="W250" s="2"/>
      <c r="X250" s="2"/>
      <c r="Y250" s="2"/>
      <c r="Z250" s="2"/>
    </row>
    <row r="251">
      <c r="A251" s="2"/>
      <c r="B251" s="7"/>
      <c r="C251" s="7"/>
      <c r="D251" s="7"/>
      <c r="E251" s="7"/>
      <c r="F251" s="7"/>
      <c r="G251" s="7"/>
      <c r="H251" s="7"/>
      <c r="I251" s="7"/>
      <c r="J251" s="7"/>
      <c r="K251" s="7"/>
      <c r="L251" s="7"/>
      <c r="M251" s="7"/>
      <c r="N251" s="7"/>
      <c r="O251" s="2"/>
      <c r="P251" s="2"/>
      <c r="Q251" s="2"/>
      <c r="R251" s="2"/>
      <c r="S251" s="2"/>
      <c r="T251" s="2"/>
      <c r="U251" s="2"/>
      <c r="V251" s="2"/>
      <c r="W251" s="2"/>
      <c r="X251" s="2"/>
      <c r="Y251" s="2"/>
      <c r="Z251" s="2"/>
    </row>
    <row r="252">
      <c r="A252" s="2"/>
      <c r="B252" s="7"/>
      <c r="C252" s="7"/>
      <c r="D252" s="7"/>
      <c r="E252" s="7"/>
      <c r="F252" s="7"/>
      <c r="G252" s="7"/>
      <c r="H252" s="7"/>
      <c r="I252" s="7"/>
      <c r="J252" s="7"/>
      <c r="K252" s="7"/>
      <c r="L252" s="7"/>
      <c r="M252" s="7"/>
      <c r="N252" s="7"/>
      <c r="O252" s="2"/>
      <c r="P252" s="2"/>
      <c r="Q252" s="2"/>
      <c r="R252" s="2"/>
      <c r="S252" s="2"/>
      <c r="T252" s="2"/>
      <c r="U252" s="2"/>
      <c r="V252" s="2"/>
      <c r="W252" s="2"/>
      <c r="X252" s="2"/>
      <c r="Y252" s="2"/>
      <c r="Z252" s="2"/>
    </row>
    <row r="253">
      <c r="A253" s="2"/>
      <c r="B253" s="7"/>
      <c r="C253" s="7"/>
      <c r="D253" s="7"/>
      <c r="E253" s="7"/>
      <c r="F253" s="7"/>
      <c r="G253" s="7"/>
      <c r="H253" s="7"/>
      <c r="I253" s="7"/>
      <c r="J253" s="7"/>
      <c r="K253" s="7"/>
      <c r="L253" s="7"/>
      <c r="M253" s="7"/>
      <c r="N253" s="7"/>
      <c r="O253" s="2"/>
      <c r="P253" s="2"/>
      <c r="Q253" s="2"/>
      <c r="R253" s="2"/>
      <c r="S253" s="2"/>
      <c r="T253" s="2"/>
      <c r="U253" s="2"/>
      <c r="V253" s="2"/>
      <c r="W253" s="2"/>
      <c r="X253" s="2"/>
      <c r="Y253" s="2"/>
      <c r="Z253" s="2"/>
    </row>
    <row r="254">
      <c r="A254" s="2"/>
      <c r="B254" s="7"/>
      <c r="C254" s="7"/>
      <c r="D254" s="7"/>
      <c r="E254" s="7"/>
      <c r="F254" s="7"/>
      <c r="G254" s="7"/>
      <c r="H254" s="7"/>
      <c r="I254" s="7"/>
      <c r="J254" s="7"/>
      <c r="K254" s="7"/>
      <c r="L254" s="7"/>
      <c r="M254" s="7"/>
      <c r="N254" s="7"/>
      <c r="O254" s="2"/>
      <c r="P254" s="2"/>
      <c r="Q254" s="2"/>
      <c r="R254" s="2"/>
      <c r="S254" s="2"/>
      <c r="T254" s="2"/>
      <c r="U254" s="2"/>
      <c r="V254" s="2"/>
      <c r="W254" s="2"/>
      <c r="X254" s="2"/>
      <c r="Y254" s="2"/>
      <c r="Z254" s="2"/>
    </row>
    <row r="255">
      <c r="A255" s="2"/>
      <c r="B255" s="7"/>
      <c r="C255" s="7"/>
      <c r="D255" s="7"/>
      <c r="E255" s="7"/>
      <c r="F255" s="7"/>
      <c r="G255" s="7"/>
      <c r="H255" s="7"/>
      <c r="I255" s="7"/>
      <c r="J255" s="7"/>
      <c r="K255" s="7"/>
      <c r="L255" s="7"/>
      <c r="M255" s="7"/>
      <c r="N255" s="7"/>
      <c r="O255" s="2"/>
      <c r="P255" s="2"/>
      <c r="Q255" s="2"/>
      <c r="R255" s="2"/>
      <c r="S255" s="2"/>
      <c r="T255" s="2"/>
      <c r="U255" s="2"/>
      <c r="V255" s="2"/>
      <c r="W255" s="2"/>
      <c r="X255" s="2"/>
      <c r="Y255" s="2"/>
      <c r="Z255" s="2"/>
    </row>
    <row r="256">
      <c r="A256" s="2"/>
      <c r="B256" s="7"/>
      <c r="C256" s="7"/>
      <c r="D256" s="7"/>
      <c r="E256" s="7"/>
      <c r="F256" s="7"/>
      <c r="G256" s="7"/>
      <c r="H256" s="7"/>
      <c r="I256" s="7"/>
      <c r="J256" s="7"/>
      <c r="K256" s="7"/>
      <c r="L256" s="7"/>
      <c r="M256" s="7"/>
      <c r="N256" s="7"/>
      <c r="O256" s="2"/>
      <c r="P256" s="2"/>
      <c r="Q256" s="2"/>
      <c r="R256" s="2"/>
      <c r="S256" s="2"/>
      <c r="T256" s="2"/>
      <c r="U256" s="2"/>
      <c r="V256" s="2"/>
      <c r="W256" s="2"/>
      <c r="X256" s="2"/>
      <c r="Y256" s="2"/>
      <c r="Z256" s="2"/>
    </row>
    <row r="257">
      <c r="A257" s="2"/>
      <c r="B257" s="7"/>
      <c r="C257" s="7"/>
      <c r="D257" s="7"/>
      <c r="E257" s="7"/>
      <c r="F257" s="7"/>
      <c r="G257" s="7"/>
      <c r="H257" s="7"/>
      <c r="I257" s="7"/>
      <c r="J257" s="7"/>
      <c r="K257" s="7"/>
      <c r="L257" s="7"/>
      <c r="M257" s="7"/>
      <c r="N257" s="7"/>
      <c r="O257" s="2"/>
      <c r="P257" s="2"/>
      <c r="Q257" s="2"/>
      <c r="R257" s="2"/>
      <c r="S257" s="2"/>
      <c r="T257" s="2"/>
      <c r="U257" s="2"/>
      <c r="V257" s="2"/>
      <c r="W257" s="2"/>
      <c r="X257" s="2"/>
      <c r="Y257" s="2"/>
      <c r="Z257" s="2"/>
    </row>
    <row r="258">
      <c r="A258" s="2"/>
      <c r="B258" s="7"/>
      <c r="C258" s="7"/>
      <c r="D258" s="7"/>
      <c r="E258" s="7"/>
      <c r="F258" s="7"/>
      <c r="G258" s="7"/>
      <c r="H258" s="7"/>
      <c r="I258" s="7"/>
      <c r="J258" s="7"/>
      <c r="K258" s="7"/>
      <c r="L258" s="7"/>
      <c r="M258" s="7"/>
      <c r="N258" s="7"/>
      <c r="O258" s="2"/>
      <c r="P258" s="2"/>
      <c r="Q258" s="2"/>
      <c r="R258" s="2"/>
      <c r="S258" s="2"/>
      <c r="T258" s="2"/>
      <c r="U258" s="2"/>
      <c r="V258" s="2"/>
      <c r="W258" s="2"/>
      <c r="X258" s="2"/>
      <c r="Y258" s="2"/>
      <c r="Z258" s="2"/>
    </row>
    <row r="259">
      <c r="A259" s="2"/>
      <c r="B259" s="7"/>
      <c r="C259" s="7"/>
      <c r="D259" s="7"/>
      <c r="E259" s="7"/>
      <c r="F259" s="7"/>
      <c r="G259" s="7"/>
      <c r="H259" s="7"/>
      <c r="I259" s="7"/>
      <c r="J259" s="7"/>
      <c r="K259" s="7"/>
      <c r="L259" s="7"/>
      <c r="M259" s="7"/>
      <c r="N259" s="7"/>
      <c r="O259" s="2"/>
      <c r="P259" s="2"/>
      <c r="Q259" s="2"/>
      <c r="R259" s="2"/>
      <c r="S259" s="2"/>
      <c r="T259" s="2"/>
      <c r="U259" s="2"/>
      <c r="V259" s="2"/>
      <c r="W259" s="2"/>
      <c r="X259" s="2"/>
      <c r="Y259" s="2"/>
      <c r="Z259" s="2"/>
    </row>
    <row r="260">
      <c r="A260" s="2"/>
      <c r="B260" s="7"/>
      <c r="C260" s="7"/>
      <c r="D260" s="7"/>
      <c r="E260" s="7"/>
      <c r="F260" s="7"/>
      <c r="G260" s="7"/>
      <c r="H260" s="7"/>
      <c r="I260" s="7"/>
      <c r="J260" s="7"/>
      <c r="K260" s="7"/>
      <c r="L260" s="7"/>
      <c r="M260" s="7"/>
      <c r="N260" s="7"/>
      <c r="O260" s="2"/>
      <c r="P260" s="2"/>
      <c r="Q260" s="2"/>
      <c r="R260" s="2"/>
      <c r="S260" s="2"/>
      <c r="T260" s="2"/>
      <c r="U260" s="2"/>
      <c r="V260" s="2"/>
      <c r="W260" s="2"/>
      <c r="X260" s="2"/>
      <c r="Y260" s="2"/>
      <c r="Z260" s="2"/>
    </row>
    <row r="261">
      <c r="A261" s="2"/>
      <c r="B261" s="7"/>
      <c r="C261" s="7"/>
      <c r="D261" s="7"/>
      <c r="E261" s="7"/>
      <c r="F261" s="7"/>
      <c r="G261" s="7"/>
      <c r="H261" s="7"/>
      <c r="I261" s="7"/>
      <c r="J261" s="7"/>
      <c r="K261" s="7"/>
      <c r="L261" s="7"/>
      <c r="M261" s="7"/>
      <c r="N261" s="7"/>
      <c r="O261" s="2"/>
      <c r="P261" s="2"/>
      <c r="Q261" s="2"/>
      <c r="R261" s="2"/>
      <c r="S261" s="2"/>
      <c r="T261" s="2"/>
      <c r="U261" s="2"/>
      <c r="V261" s="2"/>
      <c r="W261" s="2"/>
      <c r="X261" s="2"/>
      <c r="Y261" s="2"/>
      <c r="Z261" s="2"/>
    </row>
    <row r="262">
      <c r="A262" s="2"/>
      <c r="B262" s="7"/>
      <c r="C262" s="7"/>
      <c r="D262" s="7"/>
      <c r="E262" s="7"/>
      <c r="F262" s="7"/>
      <c r="G262" s="7"/>
      <c r="H262" s="7"/>
      <c r="I262" s="7"/>
      <c r="J262" s="7"/>
      <c r="K262" s="7"/>
      <c r="L262" s="7"/>
      <c r="M262" s="7"/>
      <c r="N262" s="7"/>
      <c r="O262" s="2"/>
      <c r="P262" s="2"/>
      <c r="Q262" s="2"/>
      <c r="R262" s="2"/>
      <c r="S262" s="2"/>
      <c r="T262" s="2"/>
      <c r="U262" s="2"/>
      <c r="V262" s="2"/>
      <c r="W262" s="2"/>
      <c r="X262" s="2"/>
      <c r="Y262" s="2"/>
      <c r="Z262" s="2"/>
    </row>
    <row r="263">
      <c r="A263" s="2"/>
      <c r="B263" s="7"/>
      <c r="C263" s="7"/>
      <c r="D263" s="7"/>
      <c r="E263" s="7"/>
      <c r="F263" s="7"/>
      <c r="G263" s="7"/>
      <c r="H263" s="7"/>
      <c r="I263" s="7"/>
      <c r="J263" s="7"/>
      <c r="K263" s="7"/>
      <c r="L263" s="7"/>
      <c r="M263" s="7"/>
      <c r="N263" s="7"/>
      <c r="O263" s="2"/>
      <c r="P263" s="2"/>
      <c r="Q263" s="2"/>
      <c r="R263" s="2"/>
      <c r="S263" s="2"/>
      <c r="T263" s="2"/>
      <c r="U263" s="2"/>
      <c r="V263" s="2"/>
      <c r="W263" s="2"/>
      <c r="X263" s="2"/>
      <c r="Y263" s="2"/>
      <c r="Z263" s="2"/>
    </row>
    <row r="264">
      <c r="A264" s="2"/>
      <c r="B264" s="7"/>
      <c r="C264" s="7"/>
      <c r="D264" s="7"/>
      <c r="E264" s="7"/>
      <c r="F264" s="7"/>
      <c r="G264" s="7"/>
      <c r="H264" s="7"/>
      <c r="I264" s="7"/>
      <c r="J264" s="7"/>
      <c r="K264" s="7"/>
      <c r="L264" s="7"/>
      <c r="M264" s="7"/>
      <c r="N264" s="7"/>
      <c r="O264" s="2"/>
      <c r="P264" s="2"/>
      <c r="Q264" s="2"/>
      <c r="R264" s="2"/>
      <c r="S264" s="2"/>
      <c r="T264" s="2"/>
      <c r="U264" s="2"/>
      <c r="V264" s="2"/>
      <c r="W264" s="2"/>
      <c r="X264" s="2"/>
      <c r="Y264" s="2"/>
      <c r="Z264" s="2"/>
    </row>
    <row r="265">
      <c r="A265" s="2"/>
      <c r="B265" s="7"/>
      <c r="C265" s="7"/>
      <c r="D265" s="7"/>
      <c r="E265" s="7"/>
      <c r="F265" s="7"/>
      <c r="G265" s="7"/>
      <c r="H265" s="7"/>
      <c r="I265" s="7"/>
      <c r="J265" s="7"/>
      <c r="K265" s="7"/>
      <c r="L265" s="7"/>
      <c r="M265" s="7"/>
      <c r="N265" s="7"/>
      <c r="O265" s="2"/>
      <c r="P265" s="2"/>
      <c r="Q265" s="2"/>
      <c r="R265" s="2"/>
      <c r="S265" s="2"/>
      <c r="T265" s="2"/>
      <c r="U265" s="2"/>
      <c r="V265" s="2"/>
      <c r="W265" s="2"/>
      <c r="X265" s="2"/>
      <c r="Y265" s="2"/>
      <c r="Z265" s="2"/>
    </row>
    <row r="266">
      <c r="A266" s="2"/>
      <c r="B266" s="7"/>
      <c r="C266" s="7"/>
      <c r="D266" s="7"/>
      <c r="E266" s="7"/>
      <c r="F266" s="7"/>
      <c r="G266" s="7"/>
      <c r="H266" s="7"/>
      <c r="I266" s="7"/>
      <c r="J266" s="7"/>
      <c r="K266" s="7"/>
      <c r="L266" s="7"/>
      <c r="M266" s="7"/>
      <c r="N266" s="7"/>
      <c r="O266" s="2"/>
      <c r="P266" s="2"/>
      <c r="Q266" s="2"/>
      <c r="R266" s="2"/>
      <c r="S266" s="2"/>
      <c r="T266" s="2"/>
      <c r="U266" s="2"/>
      <c r="V266" s="2"/>
      <c r="W266" s="2"/>
      <c r="X266" s="2"/>
      <c r="Y266" s="2"/>
      <c r="Z266" s="2"/>
    </row>
    <row r="267">
      <c r="A267" s="2"/>
      <c r="B267" s="7"/>
      <c r="C267" s="7"/>
      <c r="D267" s="7"/>
      <c r="E267" s="7"/>
      <c r="F267" s="7"/>
      <c r="G267" s="7"/>
      <c r="H267" s="7"/>
      <c r="I267" s="7"/>
      <c r="J267" s="7"/>
      <c r="K267" s="7"/>
      <c r="L267" s="7"/>
      <c r="M267" s="7"/>
      <c r="N267" s="7"/>
      <c r="O267" s="2"/>
      <c r="P267" s="2"/>
      <c r="Q267" s="2"/>
      <c r="R267" s="2"/>
      <c r="S267" s="2"/>
      <c r="T267" s="2"/>
      <c r="U267" s="2"/>
      <c r="V267" s="2"/>
      <c r="W267" s="2"/>
      <c r="X267" s="2"/>
      <c r="Y267" s="2"/>
      <c r="Z267" s="2"/>
    </row>
    <row r="268">
      <c r="A268" s="2"/>
      <c r="B268" s="7"/>
      <c r="C268" s="7"/>
      <c r="D268" s="7"/>
      <c r="E268" s="7"/>
      <c r="F268" s="7"/>
      <c r="G268" s="7"/>
      <c r="H268" s="7"/>
      <c r="I268" s="7"/>
      <c r="J268" s="7"/>
      <c r="K268" s="7"/>
      <c r="L268" s="7"/>
      <c r="M268" s="7"/>
      <c r="N268" s="7"/>
      <c r="O268" s="2"/>
      <c r="P268" s="2"/>
      <c r="Q268" s="2"/>
      <c r="R268" s="2"/>
      <c r="S268" s="2"/>
      <c r="T268" s="2"/>
      <c r="U268" s="2"/>
      <c r="V268" s="2"/>
      <c r="W268" s="2"/>
      <c r="X268" s="2"/>
      <c r="Y268" s="2"/>
      <c r="Z268" s="2"/>
    </row>
    <row r="269">
      <c r="A269" s="2"/>
      <c r="B269" s="7"/>
      <c r="C269" s="7"/>
      <c r="D269" s="7"/>
      <c r="E269" s="7"/>
      <c r="F269" s="7"/>
      <c r="G269" s="7"/>
      <c r="H269" s="7"/>
      <c r="I269" s="7"/>
      <c r="J269" s="7"/>
      <c r="K269" s="7"/>
      <c r="L269" s="7"/>
      <c r="M269" s="7"/>
      <c r="N269" s="7"/>
      <c r="O269" s="2"/>
      <c r="P269" s="2"/>
      <c r="Q269" s="2"/>
      <c r="R269" s="2"/>
      <c r="S269" s="2"/>
      <c r="T269" s="2"/>
      <c r="U269" s="2"/>
      <c r="V269" s="2"/>
      <c r="W269" s="2"/>
      <c r="X269" s="2"/>
      <c r="Y269" s="2"/>
      <c r="Z269" s="2"/>
    </row>
    <row r="270">
      <c r="A270" s="2"/>
      <c r="B270" s="7"/>
      <c r="C270" s="7"/>
      <c r="D270" s="7"/>
      <c r="E270" s="7"/>
      <c r="F270" s="7"/>
      <c r="G270" s="7"/>
      <c r="H270" s="7"/>
      <c r="I270" s="7"/>
      <c r="J270" s="7"/>
      <c r="K270" s="7"/>
      <c r="L270" s="7"/>
      <c r="M270" s="7"/>
      <c r="N270" s="7"/>
      <c r="O270" s="2"/>
      <c r="P270" s="2"/>
      <c r="Q270" s="2"/>
      <c r="R270" s="2"/>
      <c r="S270" s="2"/>
      <c r="T270" s="2"/>
      <c r="U270" s="2"/>
      <c r="V270" s="2"/>
      <c r="W270" s="2"/>
      <c r="X270" s="2"/>
      <c r="Y270" s="2"/>
      <c r="Z270" s="2"/>
    </row>
    <row r="271">
      <c r="A271" s="2"/>
      <c r="B271" s="7"/>
      <c r="C271" s="7"/>
      <c r="D271" s="7"/>
      <c r="E271" s="7"/>
      <c r="F271" s="7"/>
      <c r="G271" s="7"/>
      <c r="H271" s="7"/>
      <c r="I271" s="7"/>
      <c r="J271" s="7"/>
      <c r="K271" s="7"/>
      <c r="L271" s="7"/>
      <c r="M271" s="7"/>
      <c r="N271" s="7"/>
      <c r="O271" s="2"/>
      <c r="P271" s="2"/>
      <c r="Q271" s="2"/>
      <c r="R271" s="2"/>
      <c r="S271" s="2"/>
      <c r="T271" s="2"/>
      <c r="U271" s="2"/>
      <c r="V271" s="2"/>
      <c r="W271" s="2"/>
      <c r="X271" s="2"/>
      <c r="Y271" s="2"/>
      <c r="Z271" s="2"/>
    </row>
    <row r="272">
      <c r="A272" s="2"/>
      <c r="B272" s="7"/>
      <c r="C272" s="7"/>
      <c r="D272" s="7"/>
      <c r="E272" s="7"/>
      <c r="F272" s="7"/>
      <c r="G272" s="7"/>
      <c r="H272" s="7"/>
      <c r="I272" s="7"/>
      <c r="J272" s="7"/>
      <c r="K272" s="7"/>
      <c r="L272" s="7"/>
      <c r="M272" s="7"/>
      <c r="N272" s="7"/>
      <c r="O272" s="2"/>
      <c r="P272" s="2"/>
      <c r="Q272" s="2"/>
      <c r="R272" s="2"/>
      <c r="S272" s="2"/>
      <c r="T272" s="2"/>
      <c r="U272" s="2"/>
      <c r="V272" s="2"/>
      <c r="W272" s="2"/>
      <c r="X272" s="2"/>
      <c r="Y272" s="2"/>
      <c r="Z272" s="2"/>
    </row>
    <row r="273">
      <c r="A273" s="2"/>
      <c r="B273" s="7"/>
      <c r="C273" s="7"/>
      <c r="D273" s="7"/>
      <c r="E273" s="7"/>
      <c r="F273" s="7"/>
      <c r="G273" s="7"/>
      <c r="H273" s="7"/>
      <c r="I273" s="7"/>
      <c r="J273" s="7"/>
      <c r="K273" s="7"/>
      <c r="L273" s="7"/>
      <c r="M273" s="7"/>
      <c r="N273" s="7"/>
      <c r="O273" s="2"/>
      <c r="P273" s="2"/>
      <c r="Q273" s="2"/>
      <c r="R273" s="2"/>
      <c r="S273" s="2"/>
      <c r="T273" s="2"/>
      <c r="U273" s="2"/>
      <c r="V273" s="2"/>
      <c r="W273" s="2"/>
      <c r="X273" s="2"/>
      <c r="Y273" s="2"/>
      <c r="Z273" s="2"/>
    </row>
    <row r="274">
      <c r="A274" s="2"/>
      <c r="B274" s="7"/>
      <c r="C274" s="7"/>
      <c r="D274" s="7"/>
      <c r="E274" s="7"/>
      <c r="F274" s="7"/>
      <c r="G274" s="7"/>
      <c r="H274" s="7"/>
      <c r="I274" s="7"/>
      <c r="J274" s="7"/>
      <c r="K274" s="7"/>
      <c r="L274" s="7"/>
      <c r="M274" s="7"/>
      <c r="N274" s="7"/>
      <c r="O274" s="2"/>
      <c r="P274" s="2"/>
      <c r="Q274" s="2"/>
      <c r="R274" s="2"/>
      <c r="S274" s="2"/>
      <c r="T274" s="2"/>
      <c r="U274" s="2"/>
      <c r="V274" s="2"/>
      <c r="W274" s="2"/>
      <c r="X274" s="2"/>
      <c r="Y274" s="2"/>
      <c r="Z274" s="2"/>
    </row>
    <row r="275">
      <c r="A275" s="2"/>
      <c r="B275" s="7"/>
      <c r="C275" s="7"/>
      <c r="D275" s="7"/>
      <c r="E275" s="7"/>
      <c r="F275" s="7"/>
      <c r="G275" s="7"/>
      <c r="H275" s="7"/>
      <c r="I275" s="7"/>
      <c r="J275" s="7"/>
      <c r="K275" s="7"/>
      <c r="L275" s="7"/>
      <c r="M275" s="7"/>
      <c r="N275" s="7"/>
      <c r="O275" s="2"/>
      <c r="P275" s="2"/>
      <c r="Q275" s="2"/>
      <c r="R275" s="2"/>
      <c r="S275" s="2"/>
      <c r="T275" s="2"/>
      <c r="U275" s="2"/>
      <c r="V275" s="2"/>
      <c r="W275" s="2"/>
      <c r="X275" s="2"/>
      <c r="Y275" s="2"/>
      <c r="Z275" s="2"/>
    </row>
    <row r="276">
      <c r="A276" s="2"/>
      <c r="B276" s="7"/>
      <c r="C276" s="7"/>
      <c r="D276" s="7"/>
      <c r="E276" s="7"/>
      <c r="F276" s="7"/>
      <c r="G276" s="7"/>
      <c r="H276" s="7"/>
      <c r="I276" s="7"/>
      <c r="J276" s="7"/>
      <c r="K276" s="7"/>
      <c r="L276" s="7"/>
      <c r="M276" s="7"/>
      <c r="N276" s="7"/>
      <c r="O276" s="2"/>
      <c r="P276" s="2"/>
      <c r="Q276" s="2"/>
      <c r="R276" s="2"/>
      <c r="S276" s="2"/>
      <c r="T276" s="2"/>
      <c r="U276" s="2"/>
      <c r="V276" s="2"/>
      <c r="W276" s="2"/>
      <c r="X276" s="2"/>
      <c r="Y276" s="2"/>
      <c r="Z276" s="2"/>
    </row>
    <row r="277">
      <c r="A277" s="2"/>
      <c r="B277" s="7"/>
      <c r="C277" s="7"/>
      <c r="D277" s="7"/>
      <c r="E277" s="7"/>
      <c r="F277" s="7"/>
      <c r="G277" s="7"/>
      <c r="H277" s="7"/>
      <c r="I277" s="7"/>
      <c r="J277" s="7"/>
      <c r="K277" s="7"/>
      <c r="L277" s="7"/>
      <c r="M277" s="7"/>
      <c r="N277" s="7"/>
      <c r="O277" s="2"/>
      <c r="P277" s="2"/>
      <c r="Q277" s="2"/>
      <c r="R277" s="2"/>
      <c r="S277" s="2"/>
      <c r="T277" s="2"/>
      <c r="U277" s="2"/>
      <c r="V277" s="2"/>
      <c r="W277" s="2"/>
      <c r="X277" s="2"/>
      <c r="Y277" s="2"/>
      <c r="Z277" s="2"/>
    </row>
    <row r="278">
      <c r="A278" s="2"/>
      <c r="B278" s="7"/>
      <c r="C278" s="7"/>
      <c r="D278" s="7"/>
      <c r="E278" s="7"/>
      <c r="F278" s="7"/>
      <c r="G278" s="7"/>
      <c r="H278" s="7"/>
      <c r="I278" s="7"/>
      <c r="J278" s="7"/>
      <c r="K278" s="7"/>
      <c r="L278" s="7"/>
      <c r="M278" s="7"/>
      <c r="N278" s="7"/>
      <c r="O278" s="2"/>
      <c r="P278" s="2"/>
      <c r="Q278" s="2"/>
      <c r="R278" s="2"/>
      <c r="S278" s="2"/>
      <c r="T278" s="2"/>
      <c r="U278" s="2"/>
      <c r="V278" s="2"/>
      <c r="W278" s="2"/>
      <c r="X278" s="2"/>
      <c r="Y278" s="2"/>
      <c r="Z278" s="2"/>
    </row>
    <row r="279">
      <c r="A279" s="2"/>
      <c r="B279" s="7"/>
      <c r="C279" s="7"/>
      <c r="D279" s="7"/>
      <c r="E279" s="7"/>
      <c r="F279" s="7"/>
      <c r="G279" s="7"/>
      <c r="H279" s="7"/>
      <c r="I279" s="7"/>
      <c r="J279" s="7"/>
      <c r="K279" s="7"/>
      <c r="L279" s="7"/>
      <c r="M279" s="7"/>
      <c r="N279" s="7"/>
      <c r="O279" s="2"/>
      <c r="P279" s="2"/>
      <c r="Q279" s="2"/>
      <c r="R279" s="2"/>
      <c r="S279" s="2"/>
      <c r="T279" s="2"/>
      <c r="U279" s="2"/>
      <c r="V279" s="2"/>
      <c r="W279" s="2"/>
      <c r="X279" s="2"/>
      <c r="Y279" s="2"/>
      <c r="Z279" s="2"/>
    </row>
    <row r="280">
      <c r="A280" s="2"/>
      <c r="B280" s="7"/>
      <c r="C280" s="7"/>
      <c r="D280" s="7"/>
      <c r="E280" s="7"/>
      <c r="F280" s="7"/>
      <c r="G280" s="7"/>
      <c r="H280" s="7"/>
      <c r="I280" s="7"/>
      <c r="J280" s="7"/>
      <c r="K280" s="7"/>
      <c r="L280" s="7"/>
      <c r="M280" s="7"/>
      <c r="N280" s="7"/>
      <c r="O280" s="2"/>
      <c r="P280" s="2"/>
      <c r="Q280" s="2"/>
      <c r="R280" s="2"/>
      <c r="S280" s="2"/>
      <c r="T280" s="2"/>
      <c r="U280" s="2"/>
      <c r="V280" s="2"/>
      <c r="W280" s="2"/>
      <c r="X280" s="2"/>
      <c r="Y280" s="2"/>
      <c r="Z280" s="2"/>
    </row>
    <row r="281">
      <c r="A281" s="2"/>
      <c r="B281" s="7"/>
      <c r="C281" s="7"/>
      <c r="D281" s="7"/>
      <c r="E281" s="7"/>
      <c r="F281" s="7"/>
      <c r="G281" s="7"/>
      <c r="H281" s="7"/>
      <c r="I281" s="7"/>
      <c r="J281" s="7"/>
      <c r="K281" s="7"/>
      <c r="L281" s="7"/>
      <c r="M281" s="7"/>
      <c r="N281" s="7"/>
      <c r="O281" s="2"/>
      <c r="P281" s="2"/>
      <c r="Q281" s="2"/>
      <c r="R281" s="2"/>
      <c r="S281" s="2"/>
      <c r="T281" s="2"/>
      <c r="U281" s="2"/>
      <c r="V281" s="2"/>
      <c r="W281" s="2"/>
      <c r="X281" s="2"/>
      <c r="Y281" s="2"/>
      <c r="Z281" s="2"/>
    </row>
    <row r="282">
      <c r="A282" s="2"/>
      <c r="B282" s="7"/>
      <c r="C282" s="7"/>
      <c r="D282" s="7"/>
      <c r="E282" s="7"/>
      <c r="F282" s="7"/>
      <c r="G282" s="7"/>
      <c r="H282" s="7"/>
      <c r="I282" s="7"/>
      <c r="J282" s="7"/>
      <c r="K282" s="7"/>
      <c r="L282" s="7"/>
      <c r="M282" s="7"/>
      <c r="N282" s="7"/>
      <c r="O282" s="2"/>
      <c r="P282" s="2"/>
      <c r="Q282" s="2"/>
      <c r="R282" s="2"/>
      <c r="S282" s="2"/>
      <c r="T282" s="2"/>
      <c r="U282" s="2"/>
      <c r="V282" s="2"/>
      <c r="W282" s="2"/>
      <c r="X282" s="2"/>
      <c r="Y282" s="2"/>
      <c r="Z282" s="2"/>
    </row>
    <row r="283">
      <c r="A283" s="2"/>
      <c r="B283" s="7"/>
      <c r="C283" s="7"/>
      <c r="D283" s="7"/>
      <c r="E283" s="7"/>
      <c r="F283" s="7"/>
      <c r="G283" s="7"/>
      <c r="H283" s="7"/>
      <c r="I283" s="7"/>
      <c r="J283" s="7"/>
      <c r="K283" s="7"/>
      <c r="L283" s="7"/>
      <c r="M283" s="7"/>
      <c r="N283" s="7"/>
      <c r="O283" s="2"/>
      <c r="P283" s="2"/>
      <c r="Q283" s="2"/>
      <c r="R283" s="2"/>
      <c r="S283" s="2"/>
      <c r="T283" s="2"/>
      <c r="U283" s="2"/>
      <c r="V283" s="2"/>
      <c r="W283" s="2"/>
      <c r="X283" s="2"/>
      <c r="Y283" s="2"/>
      <c r="Z283" s="2"/>
    </row>
    <row r="284">
      <c r="A284" s="2"/>
      <c r="B284" s="7"/>
      <c r="C284" s="7"/>
      <c r="D284" s="7"/>
      <c r="E284" s="7"/>
      <c r="F284" s="7"/>
      <c r="G284" s="7"/>
      <c r="H284" s="7"/>
      <c r="I284" s="7"/>
      <c r="J284" s="7"/>
      <c r="K284" s="7"/>
      <c r="L284" s="7"/>
      <c r="M284" s="7"/>
      <c r="N284" s="7"/>
      <c r="O284" s="2"/>
      <c r="P284" s="2"/>
      <c r="Q284" s="2"/>
      <c r="R284" s="2"/>
      <c r="S284" s="2"/>
      <c r="T284" s="2"/>
      <c r="U284" s="2"/>
      <c r="V284" s="2"/>
      <c r="W284" s="2"/>
      <c r="X284" s="2"/>
      <c r="Y284" s="2"/>
      <c r="Z284" s="2"/>
    </row>
    <row r="285">
      <c r="A285" s="2"/>
      <c r="B285" s="7"/>
      <c r="C285" s="7"/>
      <c r="D285" s="7"/>
      <c r="E285" s="7"/>
      <c r="F285" s="7"/>
      <c r="G285" s="7"/>
      <c r="H285" s="7"/>
      <c r="I285" s="7"/>
      <c r="J285" s="7"/>
      <c r="K285" s="7"/>
      <c r="L285" s="7"/>
      <c r="M285" s="7"/>
      <c r="N285" s="7"/>
      <c r="O285" s="2"/>
      <c r="P285" s="2"/>
      <c r="Q285" s="2"/>
      <c r="R285" s="2"/>
      <c r="S285" s="2"/>
      <c r="T285" s="2"/>
      <c r="U285" s="2"/>
      <c r="V285" s="2"/>
      <c r="W285" s="2"/>
      <c r="X285" s="2"/>
      <c r="Y285" s="2"/>
      <c r="Z285" s="2"/>
    </row>
    <row r="286">
      <c r="A286" s="2"/>
      <c r="B286" s="7"/>
      <c r="C286" s="7"/>
      <c r="D286" s="7"/>
      <c r="E286" s="7"/>
      <c r="F286" s="7"/>
      <c r="G286" s="7"/>
      <c r="H286" s="7"/>
      <c r="I286" s="7"/>
      <c r="J286" s="7"/>
      <c r="K286" s="7"/>
      <c r="L286" s="7"/>
      <c r="M286" s="7"/>
      <c r="N286" s="7"/>
      <c r="O286" s="2"/>
      <c r="P286" s="2"/>
      <c r="Q286" s="2"/>
      <c r="R286" s="2"/>
      <c r="S286" s="2"/>
      <c r="T286" s="2"/>
      <c r="U286" s="2"/>
      <c r="V286" s="2"/>
      <c r="W286" s="2"/>
      <c r="X286" s="2"/>
      <c r="Y286" s="2"/>
      <c r="Z286" s="2"/>
    </row>
    <row r="287">
      <c r="A287" s="2"/>
      <c r="B287" s="7"/>
      <c r="C287" s="7"/>
      <c r="D287" s="7"/>
      <c r="E287" s="7"/>
      <c r="F287" s="7"/>
      <c r="G287" s="7"/>
      <c r="H287" s="7"/>
      <c r="I287" s="7"/>
      <c r="J287" s="7"/>
      <c r="K287" s="7"/>
      <c r="L287" s="7"/>
      <c r="M287" s="7"/>
      <c r="N287" s="7"/>
      <c r="O287" s="2"/>
      <c r="P287" s="2"/>
      <c r="Q287" s="2"/>
      <c r="R287" s="2"/>
      <c r="S287" s="2"/>
      <c r="T287" s="2"/>
      <c r="U287" s="2"/>
      <c r="V287" s="2"/>
      <c r="W287" s="2"/>
      <c r="X287" s="2"/>
      <c r="Y287" s="2"/>
      <c r="Z287" s="2"/>
    </row>
    <row r="288">
      <c r="A288" s="2"/>
      <c r="B288" s="7"/>
      <c r="C288" s="7"/>
      <c r="D288" s="7"/>
      <c r="E288" s="7"/>
      <c r="F288" s="7"/>
      <c r="G288" s="7"/>
      <c r="H288" s="7"/>
      <c r="I288" s="7"/>
      <c r="J288" s="7"/>
      <c r="K288" s="7"/>
      <c r="L288" s="7"/>
      <c r="M288" s="7"/>
      <c r="N288" s="7"/>
      <c r="O288" s="2"/>
      <c r="P288" s="2"/>
      <c r="Q288" s="2"/>
      <c r="R288" s="2"/>
      <c r="S288" s="2"/>
      <c r="T288" s="2"/>
      <c r="U288" s="2"/>
      <c r="V288" s="2"/>
      <c r="W288" s="2"/>
      <c r="X288" s="2"/>
      <c r="Y288" s="2"/>
      <c r="Z288" s="2"/>
    </row>
    <row r="289">
      <c r="A289" s="2"/>
      <c r="B289" s="7"/>
      <c r="C289" s="7"/>
      <c r="D289" s="7"/>
      <c r="E289" s="7"/>
      <c r="F289" s="7"/>
      <c r="G289" s="7"/>
      <c r="H289" s="7"/>
      <c r="I289" s="7"/>
      <c r="J289" s="7"/>
      <c r="K289" s="7"/>
      <c r="L289" s="7"/>
      <c r="M289" s="7"/>
      <c r="N289" s="7"/>
      <c r="O289" s="2"/>
      <c r="P289" s="2"/>
      <c r="Q289" s="2"/>
      <c r="R289" s="2"/>
      <c r="S289" s="2"/>
      <c r="T289" s="2"/>
      <c r="U289" s="2"/>
      <c r="V289" s="2"/>
      <c r="W289" s="2"/>
      <c r="X289" s="2"/>
      <c r="Y289" s="2"/>
      <c r="Z289" s="2"/>
    </row>
    <row r="290">
      <c r="A290" s="2"/>
      <c r="B290" s="7"/>
      <c r="C290" s="7"/>
      <c r="D290" s="7"/>
      <c r="E290" s="7"/>
      <c r="F290" s="7"/>
      <c r="G290" s="7"/>
      <c r="H290" s="7"/>
      <c r="I290" s="7"/>
      <c r="J290" s="7"/>
      <c r="K290" s="7"/>
      <c r="L290" s="7"/>
      <c r="M290" s="7"/>
      <c r="N290" s="7"/>
      <c r="O290" s="2"/>
      <c r="P290" s="2"/>
      <c r="Q290" s="2"/>
      <c r="R290" s="2"/>
      <c r="S290" s="2"/>
      <c r="T290" s="2"/>
      <c r="U290" s="2"/>
      <c r="V290" s="2"/>
      <c r="W290" s="2"/>
      <c r="X290" s="2"/>
      <c r="Y290" s="2"/>
      <c r="Z290" s="2"/>
    </row>
    <row r="291">
      <c r="A291" s="2"/>
      <c r="B291" s="7"/>
      <c r="C291" s="7"/>
      <c r="D291" s="7"/>
      <c r="E291" s="7"/>
      <c r="F291" s="7"/>
      <c r="G291" s="7"/>
      <c r="H291" s="7"/>
      <c r="I291" s="7"/>
      <c r="J291" s="7"/>
      <c r="K291" s="7"/>
      <c r="L291" s="7"/>
      <c r="M291" s="7"/>
      <c r="N291" s="7"/>
      <c r="O291" s="2"/>
      <c r="P291" s="2"/>
      <c r="Q291" s="2"/>
      <c r="R291" s="2"/>
      <c r="S291" s="2"/>
      <c r="T291" s="2"/>
      <c r="U291" s="2"/>
      <c r="V291" s="2"/>
      <c r="W291" s="2"/>
      <c r="X291" s="2"/>
      <c r="Y291" s="2"/>
      <c r="Z291" s="2"/>
    </row>
    <row r="292">
      <c r="A292" s="2"/>
      <c r="B292" s="7"/>
      <c r="C292" s="7"/>
      <c r="D292" s="7"/>
      <c r="E292" s="7"/>
      <c r="F292" s="7"/>
      <c r="G292" s="7"/>
      <c r="H292" s="7"/>
      <c r="I292" s="7"/>
      <c r="J292" s="7"/>
      <c r="K292" s="7"/>
      <c r="L292" s="7"/>
      <c r="M292" s="7"/>
      <c r="N292" s="7"/>
      <c r="O292" s="2"/>
      <c r="P292" s="2"/>
      <c r="Q292" s="2"/>
      <c r="R292" s="2"/>
      <c r="S292" s="2"/>
      <c r="T292" s="2"/>
      <c r="U292" s="2"/>
      <c r="V292" s="2"/>
      <c r="W292" s="2"/>
      <c r="X292" s="2"/>
      <c r="Y292" s="2"/>
      <c r="Z292" s="2"/>
    </row>
    <row r="293">
      <c r="A293" s="2"/>
      <c r="B293" s="7"/>
      <c r="C293" s="7"/>
      <c r="D293" s="7"/>
      <c r="E293" s="7"/>
      <c r="F293" s="7"/>
      <c r="G293" s="7"/>
      <c r="H293" s="7"/>
      <c r="I293" s="7"/>
      <c r="J293" s="7"/>
      <c r="K293" s="7"/>
      <c r="L293" s="7"/>
      <c r="M293" s="7"/>
      <c r="N293" s="7"/>
      <c r="O293" s="2"/>
      <c r="P293" s="2"/>
      <c r="Q293" s="2"/>
      <c r="R293" s="2"/>
      <c r="S293" s="2"/>
      <c r="T293" s="2"/>
      <c r="U293" s="2"/>
      <c r="V293" s="2"/>
      <c r="W293" s="2"/>
      <c r="X293" s="2"/>
      <c r="Y293" s="2"/>
      <c r="Z293" s="2"/>
    </row>
    <row r="294">
      <c r="A294" s="2"/>
      <c r="B294" s="7"/>
      <c r="C294" s="7"/>
      <c r="D294" s="7"/>
      <c r="E294" s="7"/>
      <c r="F294" s="7"/>
      <c r="G294" s="7"/>
      <c r="H294" s="7"/>
      <c r="I294" s="7"/>
      <c r="J294" s="7"/>
      <c r="K294" s="7"/>
      <c r="L294" s="7"/>
      <c r="M294" s="7"/>
      <c r="N294" s="7"/>
      <c r="O294" s="2"/>
      <c r="P294" s="2"/>
      <c r="Q294" s="2"/>
      <c r="R294" s="2"/>
      <c r="S294" s="2"/>
      <c r="T294" s="2"/>
      <c r="U294" s="2"/>
      <c r="V294" s="2"/>
      <c r="W294" s="2"/>
      <c r="X294" s="2"/>
      <c r="Y294" s="2"/>
      <c r="Z294" s="2"/>
    </row>
    <row r="295">
      <c r="A295" s="2"/>
      <c r="B295" s="7"/>
      <c r="C295" s="7"/>
      <c r="D295" s="7"/>
      <c r="E295" s="7"/>
      <c r="F295" s="7"/>
      <c r="G295" s="7"/>
      <c r="H295" s="7"/>
      <c r="I295" s="7"/>
      <c r="J295" s="7"/>
      <c r="K295" s="7"/>
      <c r="L295" s="7"/>
      <c r="M295" s="7"/>
      <c r="N295" s="7"/>
      <c r="O295" s="2"/>
      <c r="P295" s="2"/>
      <c r="Q295" s="2"/>
      <c r="R295" s="2"/>
      <c r="S295" s="2"/>
      <c r="T295" s="2"/>
      <c r="U295" s="2"/>
      <c r="V295" s="2"/>
      <c r="W295" s="2"/>
      <c r="X295" s="2"/>
      <c r="Y295" s="2"/>
      <c r="Z295" s="2"/>
    </row>
    <row r="296">
      <c r="A296" s="2"/>
      <c r="B296" s="7"/>
      <c r="C296" s="7"/>
      <c r="D296" s="7"/>
      <c r="E296" s="7"/>
      <c r="F296" s="7"/>
      <c r="G296" s="7"/>
      <c r="H296" s="7"/>
      <c r="I296" s="7"/>
      <c r="J296" s="7"/>
      <c r="K296" s="7"/>
      <c r="L296" s="7"/>
      <c r="M296" s="7"/>
      <c r="N296" s="7"/>
      <c r="O296" s="2"/>
      <c r="P296" s="2"/>
      <c r="Q296" s="2"/>
      <c r="R296" s="2"/>
      <c r="S296" s="2"/>
      <c r="T296" s="2"/>
      <c r="U296" s="2"/>
      <c r="V296" s="2"/>
      <c r="W296" s="2"/>
      <c r="X296" s="2"/>
      <c r="Y296" s="2"/>
      <c r="Z296" s="2"/>
    </row>
    <row r="297">
      <c r="A297" s="2"/>
      <c r="B297" s="7"/>
      <c r="C297" s="7"/>
      <c r="D297" s="7"/>
      <c r="E297" s="7"/>
      <c r="F297" s="7"/>
      <c r="G297" s="7"/>
      <c r="H297" s="7"/>
      <c r="I297" s="7"/>
      <c r="J297" s="7"/>
      <c r="K297" s="7"/>
      <c r="L297" s="7"/>
      <c r="M297" s="7"/>
      <c r="N297" s="7"/>
      <c r="O297" s="2"/>
      <c r="P297" s="2"/>
      <c r="Q297" s="2"/>
      <c r="R297" s="2"/>
      <c r="S297" s="2"/>
      <c r="T297" s="2"/>
      <c r="U297" s="2"/>
      <c r="V297" s="2"/>
      <c r="W297" s="2"/>
      <c r="X297" s="2"/>
      <c r="Y297" s="2"/>
      <c r="Z297" s="2"/>
    </row>
    <row r="298">
      <c r="A298" s="2"/>
      <c r="B298" s="7"/>
      <c r="C298" s="7"/>
      <c r="D298" s="7"/>
      <c r="E298" s="7"/>
      <c r="F298" s="7"/>
      <c r="G298" s="7"/>
      <c r="H298" s="7"/>
      <c r="I298" s="7"/>
      <c r="J298" s="7"/>
      <c r="K298" s="7"/>
      <c r="L298" s="7"/>
      <c r="M298" s="7"/>
      <c r="N298" s="7"/>
      <c r="O298" s="2"/>
      <c r="P298" s="2"/>
      <c r="Q298" s="2"/>
      <c r="R298" s="2"/>
      <c r="S298" s="2"/>
      <c r="T298" s="2"/>
      <c r="U298" s="2"/>
      <c r="V298" s="2"/>
      <c r="W298" s="2"/>
      <c r="X298" s="2"/>
      <c r="Y298" s="2"/>
      <c r="Z298" s="2"/>
    </row>
    <row r="299">
      <c r="A299" s="2"/>
      <c r="B299" s="7"/>
      <c r="C299" s="7"/>
      <c r="D299" s="7"/>
      <c r="E299" s="7"/>
      <c r="F299" s="7"/>
      <c r="G299" s="7"/>
      <c r="H299" s="7"/>
      <c r="I299" s="7"/>
      <c r="J299" s="7"/>
      <c r="K299" s="7"/>
      <c r="L299" s="7"/>
      <c r="M299" s="7"/>
      <c r="N299" s="7"/>
      <c r="O299" s="2"/>
      <c r="P299" s="2"/>
      <c r="Q299" s="2"/>
      <c r="R299" s="2"/>
      <c r="S299" s="2"/>
      <c r="T299" s="2"/>
      <c r="U299" s="2"/>
      <c r="V299" s="2"/>
      <c r="W299" s="2"/>
      <c r="X299" s="2"/>
      <c r="Y299" s="2"/>
      <c r="Z299" s="2"/>
    </row>
    <row r="300">
      <c r="A300" s="2"/>
      <c r="B300" s="7"/>
      <c r="C300" s="7"/>
      <c r="D300" s="7"/>
      <c r="E300" s="7"/>
      <c r="F300" s="7"/>
      <c r="G300" s="7"/>
      <c r="H300" s="7"/>
      <c r="I300" s="7"/>
      <c r="J300" s="7"/>
      <c r="K300" s="7"/>
      <c r="L300" s="7"/>
      <c r="M300" s="7"/>
      <c r="N300" s="7"/>
      <c r="O300" s="2"/>
      <c r="P300" s="2"/>
      <c r="Q300" s="2"/>
      <c r="R300" s="2"/>
      <c r="S300" s="2"/>
      <c r="T300" s="2"/>
      <c r="U300" s="2"/>
      <c r="V300" s="2"/>
      <c r="W300" s="2"/>
      <c r="X300" s="2"/>
      <c r="Y300" s="2"/>
      <c r="Z300" s="2"/>
    </row>
    <row r="301">
      <c r="A301" s="2"/>
      <c r="B301" s="7"/>
      <c r="C301" s="7"/>
      <c r="D301" s="7"/>
      <c r="E301" s="7"/>
      <c r="F301" s="7"/>
      <c r="G301" s="7"/>
      <c r="H301" s="7"/>
      <c r="I301" s="7"/>
      <c r="J301" s="7"/>
      <c r="K301" s="7"/>
      <c r="L301" s="7"/>
      <c r="M301" s="7"/>
      <c r="N301" s="7"/>
      <c r="O301" s="2"/>
      <c r="P301" s="2"/>
      <c r="Q301" s="2"/>
      <c r="R301" s="2"/>
      <c r="S301" s="2"/>
      <c r="T301" s="2"/>
      <c r="U301" s="2"/>
      <c r="V301" s="2"/>
      <c r="W301" s="2"/>
      <c r="X301" s="2"/>
      <c r="Y301" s="2"/>
      <c r="Z301" s="2"/>
    </row>
    <row r="302">
      <c r="A302" s="2"/>
      <c r="B302" s="7"/>
      <c r="C302" s="7"/>
      <c r="D302" s="7"/>
      <c r="E302" s="7"/>
      <c r="F302" s="7"/>
      <c r="G302" s="7"/>
      <c r="H302" s="7"/>
      <c r="I302" s="7"/>
      <c r="J302" s="7"/>
      <c r="K302" s="7"/>
      <c r="L302" s="7"/>
      <c r="M302" s="7"/>
      <c r="N302" s="7"/>
      <c r="O302" s="2"/>
      <c r="P302" s="2"/>
      <c r="Q302" s="2"/>
      <c r="R302" s="2"/>
      <c r="S302" s="2"/>
      <c r="T302" s="2"/>
      <c r="U302" s="2"/>
      <c r="V302" s="2"/>
      <c r="W302" s="2"/>
      <c r="X302" s="2"/>
      <c r="Y302" s="2"/>
      <c r="Z302" s="2"/>
    </row>
    <row r="303">
      <c r="A303" s="2"/>
      <c r="B303" s="7"/>
      <c r="C303" s="7"/>
      <c r="D303" s="7"/>
      <c r="E303" s="7"/>
      <c r="F303" s="7"/>
      <c r="G303" s="7"/>
      <c r="H303" s="7"/>
      <c r="I303" s="7"/>
      <c r="J303" s="7"/>
      <c r="K303" s="7"/>
      <c r="L303" s="7"/>
      <c r="M303" s="7"/>
      <c r="N303" s="7"/>
      <c r="O303" s="2"/>
      <c r="P303" s="2"/>
      <c r="Q303" s="2"/>
      <c r="R303" s="2"/>
      <c r="S303" s="2"/>
      <c r="T303" s="2"/>
      <c r="U303" s="2"/>
      <c r="V303" s="2"/>
      <c r="W303" s="2"/>
      <c r="X303" s="2"/>
      <c r="Y303" s="2"/>
      <c r="Z303" s="2"/>
    </row>
    <row r="304">
      <c r="A304" s="2"/>
      <c r="B304" s="7"/>
      <c r="C304" s="7"/>
      <c r="D304" s="7"/>
      <c r="E304" s="7"/>
      <c r="F304" s="7"/>
      <c r="G304" s="7"/>
      <c r="H304" s="7"/>
      <c r="I304" s="7"/>
      <c r="J304" s="7"/>
      <c r="K304" s="7"/>
      <c r="L304" s="7"/>
      <c r="M304" s="7"/>
      <c r="N304" s="7"/>
      <c r="O304" s="2"/>
      <c r="P304" s="2"/>
      <c r="Q304" s="2"/>
      <c r="R304" s="2"/>
      <c r="S304" s="2"/>
      <c r="T304" s="2"/>
      <c r="U304" s="2"/>
      <c r="V304" s="2"/>
      <c r="W304" s="2"/>
      <c r="X304" s="2"/>
      <c r="Y304" s="2"/>
      <c r="Z304" s="2"/>
    </row>
    <row r="305">
      <c r="A305" s="2"/>
      <c r="B305" s="7"/>
      <c r="C305" s="7"/>
      <c r="D305" s="7"/>
      <c r="E305" s="7"/>
      <c r="F305" s="7"/>
      <c r="G305" s="7"/>
      <c r="H305" s="7"/>
      <c r="I305" s="7"/>
      <c r="J305" s="7"/>
      <c r="K305" s="7"/>
      <c r="L305" s="7"/>
      <c r="M305" s="7"/>
      <c r="N305" s="7"/>
      <c r="O305" s="2"/>
      <c r="P305" s="2"/>
      <c r="Q305" s="2"/>
      <c r="R305" s="2"/>
      <c r="S305" s="2"/>
      <c r="T305" s="2"/>
      <c r="U305" s="2"/>
      <c r="V305" s="2"/>
      <c r="W305" s="2"/>
      <c r="X305" s="2"/>
      <c r="Y305" s="2"/>
      <c r="Z305" s="2"/>
    </row>
    <row r="306">
      <c r="A306" s="2"/>
      <c r="B306" s="7"/>
      <c r="C306" s="7"/>
      <c r="D306" s="7"/>
      <c r="E306" s="7"/>
      <c r="F306" s="7"/>
      <c r="G306" s="7"/>
      <c r="H306" s="7"/>
      <c r="I306" s="7"/>
      <c r="J306" s="7"/>
      <c r="K306" s="7"/>
      <c r="L306" s="7"/>
      <c r="M306" s="7"/>
      <c r="N306" s="7"/>
      <c r="O306" s="2"/>
      <c r="P306" s="2"/>
      <c r="Q306" s="2"/>
      <c r="R306" s="2"/>
      <c r="S306" s="2"/>
      <c r="T306" s="2"/>
      <c r="U306" s="2"/>
      <c r="V306" s="2"/>
      <c r="W306" s="2"/>
      <c r="X306" s="2"/>
      <c r="Y306" s="2"/>
      <c r="Z306" s="2"/>
    </row>
    <row r="307">
      <c r="A307" s="2"/>
      <c r="B307" s="7"/>
      <c r="C307" s="7"/>
      <c r="D307" s="7"/>
      <c r="E307" s="7"/>
      <c r="F307" s="7"/>
      <c r="G307" s="7"/>
      <c r="H307" s="7"/>
      <c r="I307" s="7"/>
      <c r="J307" s="7"/>
      <c r="K307" s="7"/>
      <c r="L307" s="7"/>
      <c r="M307" s="7"/>
      <c r="N307" s="7"/>
      <c r="O307" s="2"/>
      <c r="P307" s="2"/>
      <c r="Q307" s="2"/>
      <c r="R307" s="2"/>
      <c r="S307" s="2"/>
      <c r="T307" s="2"/>
      <c r="U307" s="2"/>
      <c r="V307" s="2"/>
      <c r="W307" s="2"/>
      <c r="X307" s="2"/>
      <c r="Y307" s="2"/>
      <c r="Z307" s="2"/>
    </row>
    <row r="308">
      <c r="A308" s="2"/>
      <c r="B308" s="7"/>
      <c r="C308" s="7"/>
      <c r="D308" s="7"/>
      <c r="E308" s="7"/>
      <c r="F308" s="7"/>
      <c r="G308" s="7"/>
      <c r="H308" s="7"/>
      <c r="I308" s="7"/>
      <c r="J308" s="7"/>
      <c r="K308" s="7"/>
      <c r="L308" s="7"/>
      <c r="M308" s="7"/>
      <c r="N308" s="7"/>
      <c r="O308" s="2"/>
      <c r="P308" s="2"/>
      <c r="Q308" s="2"/>
      <c r="R308" s="2"/>
      <c r="S308" s="2"/>
      <c r="T308" s="2"/>
      <c r="U308" s="2"/>
      <c r="V308" s="2"/>
      <c r="W308" s="2"/>
      <c r="X308" s="2"/>
      <c r="Y308" s="2"/>
      <c r="Z308" s="2"/>
    </row>
    <row r="309">
      <c r="A309" s="2"/>
      <c r="B309" s="7"/>
      <c r="C309" s="7"/>
      <c r="D309" s="7"/>
      <c r="E309" s="7"/>
      <c r="F309" s="7"/>
      <c r="G309" s="7"/>
      <c r="H309" s="7"/>
      <c r="I309" s="7"/>
      <c r="J309" s="7"/>
      <c r="K309" s="7"/>
      <c r="L309" s="7"/>
      <c r="M309" s="7"/>
      <c r="N309" s="7"/>
      <c r="O309" s="2"/>
      <c r="P309" s="2"/>
      <c r="Q309" s="2"/>
      <c r="R309" s="2"/>
      <c r="S309" s="2"/>
      <c r="T309" s="2"/>
      <c r="U309" s="2"/>
      <c r="V309" s="2"/>
      <c r="W309" s="2"/>
      <c r="X309" s="2"/>
      <c r="Y309" s="2"/>
      <c r="Z309" s="2"/>
    </row>
    <row r="310">
      <c r="A310" s="2"/>
      <c r="B310" s="7"/>
      <c r="C310" s="7"/>
      <c r="D310" s="7"/>
      <c r="E310" s="7"/>
      <c r="F310" s="7"/>
      <c r="G310" s="7"/>
      <c r="H310" s="7"/>
      <c r="I310" s="7"/>
      <c r="J310" s="7"/>
      <c r="K310" s="7"/>
      <c r="L310" s="7"/>
      <c r="M310" s="7"/>
      <c r="N310" s="7"/>
      <c r="O310" s="2"/>
      <c r="P310" s="2"/>
      <c r="Q310" s="2"/>
      <c r="R310" s="2"/>
      <c r="S310" s="2"/>
      <c r="T310" s="2"/>
      <c r="U310" s="2"/>
      <c r="V310" s="2"/>
      <c r="W310" s="2"/>
      <c r="X310" s="2"/>
      <c r="Y310" s="2"/>
      <c r="Z310" s="2"/>
    </row>
    <row r="311">
      <c r="A311" s="2"/>
      <c r="B311" s="7"/>
      <c r="C311" s="7"/>
      <c r="D311" s="7"/>
      <c r="E311" s="7"/>
      <c r="F311" s="7"/>
      <c r="G311" s="7"/>
      <c r="H311" s="7"/>
      <c r="I311" s="7"/>
      <c r="J311" s="7"/>
      <c r="K311" s="7"/>
      <c r="L311" s="7"/>
      <c r="M311" s="7"/>
      <c r="N311" s="7"/>
      <c r="O311" s="2"/>
      <c r="P311" s="2"/>
      <c r="Q311" s="2"/>
      <c r="R311" s="2"/>
      <c r="S311" s="2"/>
      <c r="T311" s="2"/>
      <c r="U311" s="2"/>
      <c r="V311" s="2"/>
      <c r="W311" s="2"/>
      <c r="X311" s="2"/>
      <c r="Y311" s="2"/>
      <c r="Z311" s="2"/>
    </row>
    <row r="312">
      <c r="A312" s="2"/>
      <c r="B312" s="7"/>
      <c r="C312" s="7"/>
      <c r="D312" s="7"/>
      <c r="E312" s="7"/>
      <c r="F312" s="7"/>
      <c r="G312" s="7"/>
      <c r="H312" s="7"/>
      <c r="I312" s="7"/>
      <c r="J312" s="7"/>
      <c r="K312" s="7"/>
      <c r="L312" s="7"/>
      <c r="M312" s="7"/>
      <c r="N312" s="7"/>
      <c r="O312" s="2"/>
      <c r="P312" s="2"/>
      <c r="Q312" s="2"/>
      <c r="R312" s="2"/>
      <c r="S312" s="2"/>
      <c r="T312" s="2"/>
      <c r="U312" s="2"/>
      <c r="V312" s="2"/>
      <c r="W312" s="2"/>
      <c r="X312" s="2"/>
      <c r="Y312" s="2"/>
      <c r="Z312" s="2"/>
    </row>
    <row r="313">
      <c r="A313" s="2"/>
      <c r="B313" s="7"/>
      <c r="C313" s="7"/>
      <c r="D313" s="7"/>
      <c r="E313" s="7"/>
      <c r="F313" s="7"/>
      <c r="G313" s="7"/>
      <c r="H313" s="7"/>
      <c r="I313" s="7"/>
      <c r="J313" s="7"/>
      <c r="K313" s="7"/>
      <c r="L313" s="7"/>
      <c r="M313" s="7"/>
      <c r="N313" s="7"/>
      <c r="O313" s="2"/>
      <c r="P313" s="2"/>
      <c r="Q313" s="2"/>
      <c r="R313" s="2"/>
      <c r="S313" s="2"/>
      <c r="T313" s="2"/>
      <c r="U313" s="2"/>
      <c r="V313" s="2"/>
      <c r="W313" s="2"/>
      <c r="X313" s="2"/>
      <c r="Y313" s="2"/>
      <c r="Z313" s="2"/>
    </row>
    <row r="314">
      <c r="A314" s="2"/>
      <c r="B314" s="7"/>
      <c r="C314" s="7"/>
      <c r="D314" s="7"/>
      <c r="E314" s="7"/>
      <c r="F314" s="7"/>
      <c r="G314" s="7"/>
      <c r="H314" s="7"/>
      <c r="I314" s="7"/>
      <c r="J314" s="7"/>
      <c r="K314" s="7"/>
      <c r="L314" s="7"/>
      <c r="M314" s="7"/>
      <c r="N314" s="7"/>
      <c r="O314" s="2"/>
      <c r="P314" s="2"/>
      <c r="Q314" s="2"/>
      <c r="R314" s="2"/>
      <c r="S314" s="2"/>
      <c r="T314" s="2"/>
      <c r="U314" s="2"/>
      <c r="V314" s="2"/>
      <c r="W314" s="2"/>
      <c r="X314" s="2"/>
      <c r="Y314" s="2"/>
      <c r="Z314" s="2"/>
    </row>
    <row r="315">
      <c r="A315" s="2"/>
      <c r="B315" s="7"/>
      <c r="C315" s="7"/>
      <c r="D315" s="7"/>
      <c r="E315" s="7"/>
      <c r="F315" s="7"/>
      <c r="G315" s="7"/>
      <c r="H315" s="7"/>
      <c r="I315" s="7"/>
      <c r="J315" s="7"/>
      <c r="K315" s="7"/>
      <c r="L315" s="7"/>
      <c r="M315" s="7"/>
      <c r="N315" s="7"/>
      <c r="O315" s="2"/>
      <c r="P315" s="2"/>
      <c r="Q315" s="2"/>
      <c r="R315" s="2"/>
      <c r="S315" s="2"/>
      <c r="T315" s="2"/>
      <c r="U315" s="2"/>
      <c r="V315" s="2"/>
      <c r="W315" s="2"/>
      <c r="X315" s="2"/>
      <c r="Y315" s="2"/>
      <c r="Z315" s="2"/>
    </row>
    <row r="316">
      <c r="A316" s="2"/>
      <c r="B316" s="7"/>
      <c r="C316" s="7"/>
      <c r="D316" s="7"/>
      <c r="E316" s="7"/>
      <c r="F316" s="7"/>
      <c r="G316" s="7"/>
      <c r="H316" s="7"/>
      <c r="I316" s="7"/>
      <c r="J316" s="7"/>
      <c r="K316" s="7"/>
      <c r="L316" s="7"/>
      <c r="M316" s="7"/>
      <c r="N316" s="7"/>
      <c r="O316" s="2"/>
      <c r="P316" s="2"/>
      <c r="Q316" s="2"/>
      <c r="R316" s="2"/>
      <c r="S316" s="2"/>
      <c r="T316" s="2"/>
      <c r="U316" s="2"/>
      <c r="V316" s="2"/>
      <c r="W316" s="2"/>
      <c r="X316" s="2"/>
      <c r="Y316" s="2"/>
      <c r="Z316" s="2"/>
    </row>
    <row r="317">
      <c r="A317" s="2"/>
      <c r="B317" s="7"/>
      <c r="C317" s="7"/>
      <c r="D317" s="7"/>
      <c r="E317" s="7"/>
      <c r="F317" s="7"/>
      <c r="G317" s="7"/>
      <c r="H317" s="7"/>
      <c r="I317" s="7"/>
      <c r="J317" s="7"/>
      <c r="K317" s="7"/>
      <c r="L317" s="7"/>
      <c r="M317" s="7"/>
      <c r="N317" s="7"/>
      <c r="O317" s="2"/>
      <c r="P317" s="2"/>
      <c r="Q317" s="2"/>
      <c r="R317" s="2"/>
      <c r="S317" s="2"/>
      <c r="T317" s="2"/>
      <c r="U317" s="2"/>
      <c r="V317" s="2"/>
      <c r="W317" s="2"/>
      <c r="X317" s="2"/>
      <c r="Y317" s="2"/>
      <c r="Z317" s="2"/>
    </row>
    <row r="318">
      <c r="A318" s="2"/>
      <c r="B318" s="7"/>
      <c r="C318" s="7"/>
      <c r="D318" s="7"/>
      <c r="E318" s="7"/>
      <c r="F318" s="7"/>
      <c r="G318" s="7"/>
      <c r="H318" s="7"/>
      <c r="I318" s="7"/>
      <c r="J318" s="7"/>
      <c r="K318" s="7"/>
      <c r="L318" s="7"/>
      <c r="M318" s="7"/>
      <c r="N318" s="7"/>
      <c r="O318" s="2"/>
      <c r="P318" s="2"/>
      <c r="Q318" s="2"/>
      <c r="R318" s="2"/>
      <c r="S318" s="2"/>
      <c r="T318" s="2"/>
      <c r="U318" s="2"/>
      <c r="V318" s="2"/>
      <c r="W318" s="2"/>
      <c r="X318" s="2"/>
      <c r="Y318" s="2"/>
      <c r="Z318" s="2"/>
    </row>
    <row r="319">
      <c r="A319" s="2"/>
      <c r="B319" s="7"/>
      <c r="C319" s="7"/>
      <c r="D319" s="7"/>
      <c r="E319" s="7"/>
      <c r="F319" s="7"/>
      <c r="G319" s="7"/>
      <c r="H319" s="7"/>
      <c r="I319" s="7"/>
      <c r="J319" s="7"/>
      <c r="K319" s="7"/>
      <c r="L319" s="7"/>
      <c r="M319" s="7"/>
      <c r="N319" s="7"/>
      <c r="O319" s="2"/>
      <c r="P319" s="2"/>
      <c r="Q319" s="2"/>
      <c r="R319" s="2"/>
      <c r="S319" s="2"/>
      <c r="T319" s="2"/>
      <c r="U319" s="2"/>
      <c r="V319" s="2"/>
      <c r="W319" s="2"/>
      <c r="X319" s="2"/>
      <c r="Y319" s="2"/>
      <c r="Z319" s="2"/>
    </row>
    <row r="320">
      <c r="A320" s="2"/>
      <c r="B320" s="7"/>
      <c r="C320" s="7"/>
      <c r="D320" s="7"/>
      <c r="E320" s="7"/>
      <c r="F320" s="7"/>
      <c r="G320" s="7"/>
      <c r="H320" s="7"/>
      <c r="I320" s="7"/>
      <c r="J320" s="7"/>
      <c r="K320" s="7"/>
      <c r="L320" s="7"/>
      <c r="M320" s="7"/>
      <c r="N320" s="7"/>
      <c r="O320" s="2"/>
      <c r="P320" s="2"/>
      <c r="Q320" s="2"/>
      <c r="R320" s="2"/>
      <c r="S320" s="2"/>
      <c r="T320" s="2"/>
      <c r="U320" s="2"/>
      <c r="V320" s="2"/>
      <c r="W320" s="2"/>
      <c r="X320" s="2"/>
      <c r="Y320" s="2"/>
      <c r="Z320" s="2"/>
    </row>
    <row r="321">
      <c r="A321" s="2"/>
      <c r="B321" s="7"/>
      <c r="C321" s="7"/>
      <c r="D321" s="7"/>
      <c r="E321" s="7"/>
      <c r="F321" s="7"/>
      <c r="G321" s="7"/>
      <c r="H321" s="7"/>
      <c r="I321" s="7"/>
      <c r="J321" s="7"/>
      <c r="K321" s="7"/>
      <c r="L321" s="7"/>
      <c r="M321" s="7"/>
      <c r="N321" s="7"/>
      <c r="O321" s="2"/>
      <c r="P321" s="2"/>
      <c r="Q321" s="2"/>
      <c r="R321" s="2"/>
      <c r="S321" s="2"/>
      <c r="T321" s="2"/>
      <c r="U321" s="2"/>
      <c r="V321" s="2"/>
      <c r="W321" s="2"/>
      <c r="X321" s="2"/>
      <c r="Y321" s="2"/>
      <c r="Z321" s="2"/>
    </row>
    <row r="322">
      <c r="A322" s="2"/>
      <c r="B322" s="7"/>
      <c r="C322" s="7"/>
      <c r="D322" s="7"/>
      <c r="E322" s="7"/>
      <c r="F322" s="7"/>
      <c r="G322" s="7"/>
      <c r="H322" s="7"/>
      <c r="I322" s="7"/>
      <c r="J322" s="7"/>
      <c r="K322" s="7"/>
      <c r="L322" s="7"/>
      <c r="M322" s="7"/>
      <c r="N322" s="7"/>
      <c r="O322" s="2"/>
      <c r="P322" s="2"/>
      <c r="Q322" s="2"/>
      <c r="R322" s="2"/>
      <c r="S322" s="2"/>
      <c r="T322" s="2"/>
      <c r="U322" s="2"/>
      <c r="V322" s="2"/>
      <c r="W322" s="2"/>
      <c r="X322" s="2"/>
      <c r="Y322" s="2"/>
      <c r="Z322" s="2"/>
    </row>
    <row r="323">
      <c r="A323" s="2"/>
      <c r="B323" s="7"/>
      <c r="C323" s="7"/>
      <c r="D323" s="7"/>
      <c r="E323" s="7"/>
      <c r="F323" s="7"/>
      <c r="G323" s="7"/>
      <c r="H323" s="7"/>
      <c r="I323" s="7"/>
      <c r="J323" s="7"/>
      <c r="K323" s="7"/>
      <c r="L323" s="7"/>
      <c r="M323" s="7"/>
      <c r="N323" s="7"/>
      <c r="O323" s="2"/>
      <c r="P323" s="2"/>
      <c r="Q323" s="2"/>
      <c r="R323" s="2"/>
      <c r="S323" s="2"/>
      <c r="T323" s="2"/>
      <c r="U323" s="2"/>
      <c r="V323" s="2"/>
      <c r="W323" s="2"/>
      <c r="X323" s="2"/>
      <c r="Y323" s="2"/>
      <c r="Z323" s="2"/>
    </row>
    <row r="324">
      <c r="A324" s="2"/>
      <c r="B324" s="7"/>
      <c r="C324" s="7"/>
      <c r="D324" s="7"/>
      <c r="E324" s="7"/>
      <c r="F324" s="7"/>
      <c r="G324" s="7"/>
      <c r="H324" s="7"/>
      <c r="I324" s="7"/>
      <c r="J324" s="7"/>
      <c r="K324" s="7"/>
      <c r="L324" s="7"/>
      <c r="M324" s="7"/>
      <c r="N324" s="7"/>
      <c r="O324" s="2"/>
      <c r="P324" s="2"/>
      <c r="Q324" s="2"/>
      <c r="R324" s="2"/>
      <c r="S324" s="2"/>
      <c r="T324" s="2"/>
      <c r="U324" s="2"/>
      <c r="V324" s="2"/>
      <c r="W324" s="2"/>
      <c r="X324" s="2"/>
      <c r="Y324" s="2"/>
      <c r="Z324" s="2"/>
    </row>
    <row r="325">
      <c r="A325" s="2"/>
      <c r="B325" s="7"/>
      <c r="C325" s="7"/>
      <c r="D325" s="7"/>
      <c r="E325" s="7"/>
      <c r="F325" s="7"/>
      <c r="G325" s="7"/>
      <c r="H325" s="7"/>
      <c r="I325" s="7"/>
      <c r="J325" s="7"/>
      <c r="K325" s="7"/>
      <c r="L325" s="7"/>
      <c r="M325" s="7"/>
      <c r="N325" s="7"/>
      <c r="O325" s="2"/>
      <c r="P325" s="2"/>
      <c r="Q325" s="2"/>
      <c r="R325" s="2"/>
      <c r="S325" s="2"/>
      <c r="T325" s="2"/>
      <c r="U325" s="2"/>
      <c r="V325" s="2"/>
      <c r="W325" s="2"/>
      <c r="X325" s="2"/>
      <c r="Y325" s="2"/>
      <c r="Z325" s="2"/>
    </row>
    <row r="326">
      <c r="A326" s="2"/>
      <c r="B326" s="7"/>
      <c r="C326" s="7"/>
      <c r="D326" s="7"/>
      <c r="E326" s="7"/>
      <c r="F326" s="7"/>
      <c r="G326" s="7"/>
      <c r="H326" s="7"/>
      <c r="I326" s="7"/>
      <c r="J326" s="7"/>
      <c r="K326" s="7"/>
      <c r="L326" s="7"/>
      <c r="M326" s="7"/>
      <c r="N326" s="7"/>
      <c r="O326" s="2"/>
      <c r="P326" s="2"/>
      <c r="Q326" s="2"/>
      <c r="R326" s="2"/>
      <c r="S326" s="2"/>
      <c r="T326" s="2"/>
      <c r="U326" s="2"/>
      <c r="V326" s="2"/>
      <c r="W326" s="2"/>
      <c r="X326" s="2"/>
      <c r="Y326" s="2"/>
      <c r="Z326" s="2"/>
    </row>
    <row r="327">
      <c r="A327" s="2"/>
      <c r="B327" s="7"/>
      <c r="C327" s="7"/>
      <c r="D327" s="7"/>
      <c r="E327" s="7"/>
      <c r="F327" s="7"/>
      <c r="G327" s="7"/>
      <c r="H327" s="7"/>
      <c r="I327" s="7"/>
      <c r="J327" s="7"/>
      <c r="K327" s="7"/>
      <c r="L327" s="7"/>
      <c r="M327" s="7"/>
      <c r="N327" s="7"/>
      <c r="O327" s="2"/>
      <c r="P327" s="2"/>
      <c r="Q327" s="2"/>
      <c r="R327" s="2"/>
      <c r="S327" s="2"/>
      <c r="T327" s="2"/>
      <c r="U327" s="2"/>
      <c r="V327" s="2"/>
      <c r="W327" s="2"/>
      <c r="X327" s="2"/>
      <c r="Y327" s="2"/>
      <c r="Z327" s="2"/>
    </row>
    <row r="328">
      <c r="A328" s="2"/>
      <c r="B328" s="7"/>
      <c r="C328" s="7"/>
      <c r="D328" s="7"/>
      <c r="E328" s="7"/>
      <c r="F328" s="7"/>
      <c r="G328" s="7"/>
      <c r="H328" s="7"/>
      <c r="I328" s="7"/>
      <c r="J328" s="7"/>
      <c r="K328" s="7"/>
      <c r="L328" s="7"/>
      <c r="M328" s="7"/>
      <c r="N328" s="7"/>
      <c r="O328" s="2"/>
      <c r="P328" s="2"/>
      <c r="Q328" s="2"/>
      <c r="R328" s="2"/>
      <c r="S328" s="2"/>
      <c r="T328" s="2"/>
      <c r="U328" s="2"/>
      <c r="V328" s="2"/>
      <c r="W328" s="2"/>
      <c r="X328" s="2"/>
      <c r="Y328" s="2"/>
      <c r="Z328" s="2"/>
    </row>
    <row r="329">
      <c r="A329" s="2"/>
      <c r="B329" s="7"/>
      <c r="C329" s="7"/>
      <c r="D329" s="7"/>
      <c r="E329" s="7"/>
      <c r="F329" s="7"/>
      <c r="G329" s="7"/>
      <c r="H329" s="7"/>
      <c r="I329" s="7"/>
      <c r="J329" s="7"/>
      <c r="K329" s="7"/>
      <c r="L329" s="7"/>
      <c r="M329" s="7"/>
      <c r="N329" s="7"/>
      <c r="O329" s="2"/>
      <c r="P329" s="2"/>
      <c r="Q329" s="2"/>
      <c r="R329" s="2"/>
      <c r="S329" s="2"/>
      <c r="T329" s="2"/>
      <c r="U329" s="2"/>
      <c r="V329" s="2"/>
      <c r="W329" s="2"/>
      <c r="X329" s="2"/>
      <c r="Y329" s="2"/>
      <c r="Z329" s="2"/>
    </row>
    <row r="330">
      <c r="A330" s="2"/>
      <c r="B330" s="7"/>
      <c r="C330" s="7"/>
      <c r="D330" s="7"/>
      <c r="E330" s="7"/>
      <c r="F330" s="7"/>
      <c r="G330" s="7"/>
      <c r="H330" s="7"/>
      <c r="I330" s="7"/>
      <c r="J330" s="7"/>
      <c r="K330" s="7"/>
      <c r="L330" s="7"/>
      <c r="M330" s="7"/>
      <c r="N330" s="7"/>
      <c r="O330" s="2"/>
      <c r="P330" s="2"/>
      <c r="Q330" s="2"/>
      <c r="R330" s="2"/>
      <c r="S330" s="2"/>
      <c r="T330" s="2"/>
      <c r="U330" s="2"/>
      <c r="V330" s="2"/>
      <c r="W330" s="2"/>
      <c r="X330" s="2"/>
      <c r="Y330" s="2"/>
      <c r="Z330" s="2"/>
    </row>
    <row r="331">
      <c r="A331" s="2"/>
      <c r="B331" s="7"/>
      <c r="C331" s="7"/>
      <c r="D331" s="7"/>
      <c r="E331" s="7"/>
      <c r="F331" s="7"/>
      <c r="G331" s="7"/>
      <c r="H331" s="7"/>
      <c r="I331" s="7"/>
      <c r="J331" s="7"/>
      <c r="K331" s="7"/>
      <c r="L331" s="7"/>
      <c r="M331" s="7"/>
      <c r="N331" s="7"/>
      <c r="O331" s="2"/>
      <c r="P331" s="2"/>
      <c r="Q331" s="2"/>
      <c r="R331" s="2"/>
      <c r="S331" s="2"/>
      <c r="T331" s="2"/>
      <c r="U331" s="2"/>
      <c r="V331" s="2"/>
      <c r="W331" s="2"/>
      <c r="X331" s="2"/>
      <c r="Y331" s="2"/>
      <c r="Z331" s="2"/>
    </row>
    <row r="332">
      <c r="A332" s="2"/>
      <c r="B332" s="7"/>
      <c r="C332" s="7"/>
      <c r="D332" s="7"/>
      <c r="E332" s="7"/>
      <c r="F332" s="7"/>
      <c r="G332" s="7"/>
      <c r="H332" s="7"/>
      <c r="I332" s="7"/>
      <c r="J332" s="7"/>
      <c r="K332" s="7"/>
      <c r="L332" s="7"/>
      <c r="M332" s="7"/>
      <c r="N332" s="7"/>
      <c r="O332" s="2"/>
      <c r="P332" s="2"/>
      <c r="Q332" s="2"/>
      <c r="R332" s="2"/>
      <c r="S332" s="2"/>
      <c r="T332" s="2"/>
      <c r="U332" s="2"/>
      <c r="V332" s="2"/>
      <c r="W332" s="2"/>
      <c r="X332" s="2"/>
      <c r="Y332" s="2"/>
      <c r="Z332" s="2"/>
    </row>
    <row r="333">
      <c r="A333" s="2"/>
      <c r="B333" s="7"/>
      <c r="C333" s="7"/>
      <c r="D333" s="7"/>
      <c r="E333" s="7"/>
      <c r="F333" s="7"/>
      <c r="G333" s="7"/>
      <c r="H333" s="7"/>
      <c r="I333" s="7"/>
      <c r="J333" s="7"/>
      <c r="K333" s="7"/>
      <c r="L333" s="7"/>
      <c r="M333" s="7"/>
      <c r="N333" s="7"/>
      <c r="O333" s="2"/>
      <c r="P333" s="2"/>
      <c r="Q333" s="2"/>
      <c r="R333" s="2"/>
      <c r="S333" s="2"/>
      <c r="T333" s="2"/>
      <c r="U333" s="2"/>
      <c r="V333" s="2"/>
      <c r="W333" s="2"/>
      <c r="X333" s="2"/>
      <c r="Y333" s="2"/>
      <c r="Z333" s="2"/>
    </row>
    <row r="334">
      <c r="A334" s="2"/>
      <c r="B334" s="7"/>
      <c r="C334" s="7"/>
      <c r="D334" s="7"/>
      <c r="E334" s="7"/>
      <c r="F334" s="7"/>
      <c r="G334" s="7"/>
      <c r="H334" s="7"/>
      <c r="I334" s="7"/>
      <c r="J334" s="7"/>
      <c r="K334" s="7"/>
      <c r="L334" s="7"/>
      <c r="M334" s="7"/>
      <c r="N334" s="7"/>
      <c r="O334" s="2"/>
      <c r="P334" s="2"/>
      <c r="Q334" s="2"/>
      <c r="R334" s="2"/>
      <c r="S334" s="2"/>
      <c r="T334" s="2"/>
      <c r="U334" s="2"/>
      <c r="V334" s="2"/>
      <c r="W334" s="2"/>
      <c r="X334" s="2"/>
      <c r="Y334" s="2"/>
      <c r="Z334" s="2"/>
    </row>
    <row r="335">
      <c r="A335" s="2"/>
      <c r="B335" s="7"/>
      <c r="C335" s="7"/>
      <c r="D335" s="7"/>
      <c r="E335" s="7"/>
      <c r="F335" s="7"/>
      <c r="G335" s="7"/>
      <c r="H335" s="7"/>
      <c r="I335" s="7"/>
      <c r="J335" s="7"/>
      <c r="K335" s="7"/>
      <c r="L335" s="7"/>
      <c r="M335" s="7"/>
      <c r="N335" s="7"/>
      <c r="O335" s="2"/>
      <c r="P335" s="2"/>
      <c r="Q335" s="2"/>
      <c r="R335" s="2"/>
      <c r="S335" s="2"/>
      <c r="T335" s="2"/>
      <c r="U335" s="2"/>
      <c r="V335" s="2"/>
      <c r="W335" s="2"/>
      <c r="X335" s="2"/>
      <c r="Y335" s="2"/>
      <c r="Z335" s="2"/>
    </row>
    <row r="336">
      <c r="A336" s="2"/>
      <c r="B336" s="7"/>
      <c r="C336" s="7"/>
      <c r="D336" s="7"/>
      <c r="E336" s="7"/>
      <c r="F336" s="7"/>
      <c r="G336" s="7"/>
      <c r="H336" s="7"/>
      <c r="I336" s="7"/>
      <c r="J336" s="7"/>
      <c r="K336" s="7"/>
      <c r="L336" s="7"/>
      <c r="M336" s="7"/>
      <c r="N336" s="7"/>
      <c r="O336" s="2"/>
      <c r="P336" s="2"/>
      <c r="Q336" s="2"/>
      <c r="R336" s="2"/>
      <c r="S336" s="2"/>
      <c r="T336" s="2"/>
      <c r="U336" s="2"/>
      <c r="V336" s="2"/>
      <c r="W336" s="2"/>
      <c r="X336" s="2"/>
      <c r="Y336" s="2"/>
      <c r="Z336" s="2"/>
    </row>
    <row r="337">
      <c r="A337" s="2"/>
      <c r="B337" s="7"/>
      <c r="C337" s="7"/>
      <c r="D337" s="7"/>
      <c r="E337" s="7"/>
      <c r="F337" s="7"/>
      <c r="G337" s="7"/>
      <c r="H337" s="7"/>
      <c r="I337" s="7"/>
      <c r="J337" s="7"/>
      <c r="K337" s="7"/>
      <c r="L337" s="7"/>
      <c r="M337" s="7"/>
      <c r="N337" s="7"/>
      <c r="O337" s="2"/>
      <c r="P337" s="2"/>
      <c r="Q337" s="2"/>
      <c r="R337" s="2"/>
      <c r="S337" s="2"/>
      <c r="T337" s="2"/>
      <c r="U337" s="2"/>
      <c r="V337" s="2"/>
      <c r="W337" s="2"/>
      <c r="X337" s="2"/>
      <c r="Y337" s="2"/>
      <c r="Z337" s="2"/>
    </row>
    <row r="338">
      <c r="A338" s="2"/>
      <c r="B338" s="7"/>
      <c r="C338" s="7"/>
      <c r="D338" s="7"/>
      <c r="E338" s="7"/>
      <c r="F338" s="7"/>
      <c r="G338" s="7"/>
      <c r="H338" s="7"/>
      <c r="I338" s="7"/>
      <c r="J338" s="7"/>
      <c r="K338" s="7"/>
      <c r="L338" s="7"/>
      <c r="M338" s="7"/>
      <c r="N338" s="7"/>
      <c r="O338" s="2"/>
      <c r="P338" s="2"/>
      <c r="Q338" s="2"/>
      <c r="R338" s="2"/>
      <c r="S338" s="2"/>
      <c r="T338" s="2"/>
      <c r="U338" s="2"/>
      <c r="V338" s="2"/>
      <c r="W338" s="2"/>
      <c r="X338" s="2"/>
      <c r="Y338" s="2"/>
      <c r="Z338" s="2"/>
    </row>
    <row r="339">
      <c r="A339" s="2"/>
      <c r="B339" s="7"/>
      <c r="C339" s="7"/>
      <c r="D339" s="7"/>
      <c r="E339" s="7"/>
      <c r="F339" s="7"/>
      <c r="G339" s="7"/>
      <c r="H339" s="7"/>
      <c r="I339" s="7"/>
      <c r="J339" s="7"/>
      <c r="K339" s="7"/>
      <c r="L339" s="7"/>
      <c r="M339" s="7"/>
      <c r="N339" s="7"/>
      <c r="O339" s="2"/>
      <c r="P339" s="2"/>
      <c r="Q339" s="2"/>
      <c r="R339" s="2"/>
      <c r="S339" s="2"/>
      <c r="T339" s="2"/>
      <c r="U339" s="2"/>
      <c r="V339" s="2"/>
      <c r="W339" s="2"/>
      <c r="X339" s="2"/>
      <c r="Y339" s="2"/>
      <c r="Z339" s="2"/>
    </row>
    <row r="340">
      <c r="A340" s="2"/>
      <c r="B340" s="7"/>
      <c r="C340" s="7"/>
      <c r="D340" s="7"/>
      <c r="E340" s="7"/>
      <c r="F340" s="7"/>
      <c r="G340" s="7"/>
      <c r="H340" s="7"/>
      <c r="I340" s="7"/>
      <c r="J340" s="7"/>
      <c r="K340" s="7"/>
      <c r="L340" s="7"/>
      <c r="M340" s="7"/>
      <c r="N340" s="7"/>
      <c r="O340" s="2"/>
      <c r="P340" s="2"/>
      <c r="Q340" s="2"/>
      <c r="R340" s="2"/>
      <c r="S340" s="2"/>
      <c r="T340" s="2"/>
      <c r="U340" s="2"/>
      <c r="V340" s="2"/>
      <c r="W340" s="2"/>
      <c r="X340" s="2"/>
      <c r="Y340" s="2"/>
      <c r="Z340" s="2"/>
    </row>
    <row r="341">
      <c r="A341" s="2"/>
      <c r="B341" s="7"/>
      <c r="C341" s="7"/>
      <c r="D341" s="7"/>
      <c r="E341" s="7"/>
      <c r="F341" s="7"/>
      <c r="G341" s="7"/>
      <c r="H341" s="7"/>
      <c r="I341" s="7"/>
      <c r="J341" s="7"/>
      <c r="K341" s="7"/>
      <c r="L341" s="7"/>
      <c r="M341" s="7"/>
      <c r="N341" s="7"/>
      <c r="O341" s="2"/>
      <c r="P341" s="2"/>
      <c r="Q341" s="2"/>
      <c r="R341" s="2"/>
      <c r="S341" s="2"/>
      <c r="T341" s="2"/>
      <c r="U341" s="2"/>
      <c r="V341" s="2"/>
      <c r="W341" s="2"/>
      <c r="X341" s="2"/>
      <c r="Y341" s="2"/>
      <c r="Z341" s="2"/>
    </row>
    <row r="342">
      <c r="A342" s="2"/>
      <c r="B342" s="7"/>
      <c r="C342" s="7"/>
      <c r="D342" s="7"/>
      <c r="E342" s="7"/>
      <c r="F342" s="7"/>
      <c r="G342" s="7"/>
      <c r="H342" s="7"/>
      <c r="I342" s="7"/>
      <c r="J342" s="7"/>
      <c r="K342" s="7"/>
      <c r="L342" s="7"/>
      <c r="M342" s="7"/>
      <c r="N342" s="7"/>
      <c r="O342" s="2"/>
      <c r="P342" s="2"/>
      <c r="Q342" s="2"/>
      <c r="R342" s="2"/>
      <c r="S342" s="2"/>
      <c r="T342" s="2"/>
      <c r="U342" s="2"/>
      <c r="V342" s="2"/>
      <c r="W342" s="2"/>
      <c r="X342" s="2"/>
      <c r="Y342" s="2"/>
      <c r="Z342" s="2"/>
    </row>
    <row r="343">
      <c r="A343" s="2"/>
      <c r="B343" s="7"/>
      <c r="C343" s="7"/>
      <c r="D343" s="7"/>
      <c r="E343" s="7"/>
      <c r="F343" s="7"/>
      <c r="G343" s="7"/>
      <c r="H343" s="7"/>
      <c r="I343" s="7"/>
      <c r="J343" s="7"/>
      <c r="K343" s="7"/>
      <c r="L343" s="7"/>
      <c r="M343" s="7"/>
      <c r="N343" s="7"/>
      <c r="O343" s="2"/>
      <c r="P343" s="2"/>
      <c r="Q343" s="2"/>
      <c r="R343" s="2"/>
      <c r="S343" s="2"/>
      <c r="T343" s="2"/>
      <c r="U343" s="2"/>
      <c r="V343" s="2"/>
      <c r="W343" s="2"/>
      <c r="X343" s="2"/>
      <c r="Y343" s="2"/>
      <c r="Z343" s="2"/>
    </row>
    <row r="344">
      <c r="A344" s="2"/>
      <c r="B344" s="7"/>
      <c r="C344" s="7"/>
      <c r="D344" s="7"/>
      <c r="E344" s="7"/>
      <c r="F344" s="7"/>
      <c r="G344" s="7"/>
      <c r="H344" s="7"/>
      <c r="I344" s="7"/>
      <c r="J344" s="7"/>
      <c r="K344" s="7"/>
      <c r="L344" s="7"/>
      <c r="M344" s="7"/>
      <c r="N344" s="7"/>
      <c r="O344" s="2"/>
      <c r="P344" s="2"/>
      <c r="Q344" s="2"/>
      <c r="R344" s="2"/>
      <c r="S344" s="2"/>
      <c r="T344" s="2"/>
      <c r="U344" s="2"/>
      <c r="V344" s="2"/>
      <c r="W344" s="2"/>
      <c r="X344" s="2"/>
      <c r="Y344" s="2"/>
      <c r="Z344" s="2"/>
    </row>
    <row r="345">
      <c r="A345" s="2"/>
      <c r="B345" s="7"/>
      <c r="C345" s="7"/>
      <c r="D345" s="7"/>
      <c r="E345" s="7"/>
      <c r="F345" s="7"/>
      <c r="G345" s="7"/>
      <c r="H345" s="7"/>
      <c r="I345" s="7"/>
      <c r="J345" s="7"/>
      <c r="K345" s="7"/>
      <c r="L345" s="7"/>
      <c r="M345" s="7"/>
      <c r="N345" s="7"/>
      <c r="O345" s="2"/>
      <c r="P345" s="2"/>
      <c r="Q345" s="2"/>
      <c r="R345" s="2"/>
      <c r="S345" s="2"/>
      <c r="T345" s="2"/>
      <c r="U345" s="2"/>
      <c r="V345" s="2"/>
      <c r="W345" s="2"/>
      <c r="X345" s="2"/>
      <c r="Y345" s="2"/>
      <c r="Z345" s="2"/>
    </row>
    <row r="346">
      <c r="A346" s="2"/>
      <c r="B346" s="7"/>
      <c r="C346" s="7"/>
      <c r="D346" s="7"/>
      <c r="E346" s="7"/>
      <c r="F346" s="7"/>
      <c r="G346" s="7"/>
      <c r="H346" s="7"/>
      <c r="I346" s="7"/>
      <c r="J346" s="7"/>
      <c r="K346" s="7"/>
      <c r="L346" s="7"/>
      <c r="M346" s="7"/>
      <c r="N346" s="7"/>
      <c r="O346" s="2"/>
      <c r="P346" s="2"/>
      <c r="Q346" s="2"/>
      <c r="R346" s="2"/>
      <c r="S346" s="2"/>
      <c r="T346" s="2"/>
      <c r="U346" s="2"/>
      <c r="V346" s="2"/>
      <c r="W346" s="2"/>
      <c r="X346" s="2"/>
      <c r="Y346" s="2"/>
      <c r="Z346" s="2"/>
    </row>
    <row r="347">
      <c r="A347" s="2"/>
      <c r="B347" s="7"/>
      <c r="C347" s="7"/>
      <c r="D347" s="7"/>
      <c r="E347" s="7"/>
      <c r="F347" s="7"/>
      <c r="G347" s="7"/>
      <c r="H347" s="7"/>
      <c r="I347" s="7"/>
      <c r="J347" s="7"/>
      <c r="K347" s="7"/>
      <c r="L347" s="7"/>
      <c r="M347" s="7"/>
      <c r="N347" s="7"/>
      <c r="O347" s="2"/>
      <c r="P347" s="2"/>
      <c r="Q347" s="2"/>
      <c r="R347" s="2"/>
      <c r="S347" s="2"/>
      <c r="T347" s="2"/>
      <c r="U347" s="2"/>
      <c r="V347" s="2"/>
      <c r="W347" s="2"/>
      <c r="X347" s="2"/>
      <c r="Y347" s="2"/>
      <c r="Z347" s="2"/>
    </row>
    <row r="348">
      <c r="A348" s="2"/>
      <c r="B348" s="7"/>
      <c r="C348" s="7"/>
      <c r="D348" s="7"/>
      <c r="E348" s="7"/>
      <c r="F348" s="7"/>
      <c r="G348" s="7"/>
      <c r="H348" s="7"/>
      <c r="I348" s="7"/>
      <c r="J348" s="7"/>
      <c r="K348" s="7"/>
      <c r="L348" s="7"/>
      <c r="M348" s="7"/>
      <c r="N348" s="7"/>
      <c r="O348" s="2"/>
      <c r="P348" s="2"/>
      <c r="Q348" s="2"/>
      <c r="R348" s="2"/>
      <c r="S348" s="2"/>
      <c r="T348" s="2"/>
      <c r="U348" s="2"/>
      <c r="V348" s="2"/>
      <c r="W348" s="2"/>
      <c r="X348" s="2"/>
      <c r="Y348" s="2"/>
      <c r="Z348" s="2"/>
    </row>
    <row r="349">
      <c r="A349" s="2"/>
      <c r="B349" s="7"/>
      <c r="C349" s="7"/>
      <c r="D349" s="7"/>
      <c r="E349" s="7"/>
      <c r="F349" s="7"/>
      <c r="G349" s="7"/>
      <c r="H349" s="7"/>
      <c r="I349" s="7"/>
      <c r="J349" s="7"/>
      <c r="K349" s="7"/>
      <c r="L349" s="7"/>
      <c r="M349" s="7"/>
      <c r="N349" s="7"/>
      <c r="O349" s="2"/>
      <c r="P349" s="2"/>
      <c r="Q349" s="2"/>
      <c r="R349" s="2"/>
      <c r="S349" s="2"/>
      <c r="T349" s="2"/>
      <c r="U349" s="2"/>
      <c r="V349" s="2"/>
      <c r="W349" s="2"/>
      <c r="X349" s="2"/>
      <c r="Y349" s="2"/>
      <c r="Z349" s="2"/>
    </row>
    <row r="350">
      <c r="A350" s="2"/>
      <c r="B350" s="7"/>
      <c r="C350" s="7"/>
      <c r="D350" s="7"/>
      <c r="E350" s="7"/>
      <c r="F350" s="7"/>
      <c r="G350" s="7"/>
      <c r="H350" s="7"/>
      <c r="I350" s="7"/>
      <c r="J350" s="7"/>
      <c r="K350" s="7"/>
      <c r="L350" s="7"/>
      <c r="M350" s="7"/>
      <c r="N350" s="7"/>
      <c r="O350" s="2"/>
      <c r="P350" s="2"/>
      <c r="Q350" s="2"/>
      <c r="R350" s="2"/>
      <c r="S350" s="2"/>
      <c r="T350" s="2"/>
      <c r="U350" s="2"/>
      <c r="V350" s="2"/>
      <c r="W350" s="2"/>
      <c r="X350" s="2"/>
      <c r="Y350" s="2"/>
      <c r="Z350" s="2"/>
    </row>
    <row r="351">
      <c r="A351" s="2"/>
      <c r="B351" s="7"/>
      <c r="C351" s="7"/>
      <c r="D351" s="7"/>
      <c r="E351" s="7"/>
      <c r="F351" s="7"/>
      <c r="G351" s="7"/>
      <c r="H351" s="7"/>
      <c r="I351" s="7"/>
      <c r="J351" s="7"/>
      <c r="K351" s="7"/>
      <c r="L351" s="7"/>
      <c r="M351" s="7"/>
      <c r="N351" s="7"/>
      <c r="O351" s="2"/>
      <c r="P351" s="2"/>
      <c r="Q351" s="2"/>
      <c r="R351" s="2"/>
      <c r="S351" s="2"/>
      <c r="T351" s="2"/>
      <c r="U351" s="2"/>
      <c r="V351" s="2"/>
      <c r="W351" s="2"/>
      <c r="X351" s="2"/>
      <c r="Y351" s="2"/>
      <c r="Z351" s="2"/>
    </row>
    <row r="352">
      <c r="A352" s="2"/>
      <c r="B352" s="7"/>
      <c r="C352" s="7"/>
      <c r="D352" s="7"/>
      <c r="E352" s="7"/>
      <c r="F352" s="7"/>
      <c r="G352" s="7"/>
      <c r="H352" s="7"/>
      <c r="I352" s="7"/>
      <c r="J352" s="7"/>
      <c r="K352" s="7"/>
      <c r="L352" s="7"/>
      <c r="M352" s="7"/>
      <c r="N352" s="7"/>
      <c r="O352" s="2"/>
      <c r="P352" s="2"/>
      <c r="Q352" s="2"/>
      <c r="R352" s="2"/>
      <c r="S352" s="2"/>
      <c r="T352" s="2"/>
      <c r="U352" s="2"/>
      <c r="V352" s="2"/>
      <c r="W352" s="2"/>
      <c r="X352" s="2"/>
      <c r="Y352" s="2"/>
      <c r="Z352" s="2"/>
    </row>
    <row r="353">
      <c r="A353" s="2"/>
      <c r="B353" s="7"/>
      <c r="C353" s="7"/>
      <c r="D353" s="7"/>
      <c r="E353" s="7"/>
      <c r="F353" s="7"/>
      <c r="G353" s="7"/>
      <c r="H353" s="7"/>
      <c r="I353" s="7"/>
      <c r="J353" s="7"/>
      <c r="K353" s="7"/>
      <c r="L353" s="7"/>
      <c r="M353" s="7"/>
      <c r="N353" s="7"/>
      <c r="O353" s="2"/>
      <c r="P353" s="2"/>
      <c r="Q353" s="2"/>
      <c r="R353" s="2"/>
      <c r="S353" s="2"/>
      <c r="T353" s="2"/>
      <c r="U353" s="2"/>
      <c r="V353" s="2"/>
      <c r="W353" s="2"/>
      <c r="X353" s="2"/>
      <c r="Y353" s="2"/>
      <c r="Z353" s="2"/>
    </row>
    <row r="354">
      <c r="A354" s="2"/>
      <c r="B354" s="7"/>
      <c r="C354" s="7"/>
      <c r="D354" s="7"/>
      <c r="E354" s="7"/>
      <c r="F354" s="7"/>
      <c r="G354" s="7"/>
      <c r="H354" s="7"/>
      <c r="I354" s="7"/>
      <c r="J354" s="7"/>
      <c r="K354" s="7"/>
      <c r="L354" s="7"/>
      <c r="M354" s="7"/>
      <c r="N354" s="7"/>
      <c r="O354" s="2"/>
      <c r="P354" s="2"/>
      <c r="Q354" s="2"/>
      <c r="R354" s="2"/>
      <c r="S354" s="2"/>
      <c r="T354" s="2"/>
      <c r="U354" s="2"/>
      <c r="V354" s="2"/>
      <c r="W354" s="2"/>
      <c r="X354" s="2"/>
      <c r="Y354" s="2"/>
      <c r="Z354" s="2"/>
    </row>
    <row r="355">
      <c r="A355" s="2"/>
      <c r="B355" s="7"/>
      <c r="C355" s="7"/>
      <c r="D355" s="7"/>
      <c r="E355" s="7"/>
      <c r="F355" s="7"/>
      <c r="G355" s="7"/>
      <c r="H355" s="7"/>
      <c r="I355" s="7"/>
      <c r="J355" s="7"/>
      <c r="K355" s="7"/>
      <c r="L355" s="7"/>
      <c r="M355" s="7"/>
      <c r="N355" s="7"/>
      <c r="O355" s="2"/>
      <c r="P355" s="2"/>
      <c r="Q355" s="2"/>
      <c r="R355" s="2"/>
      <c r="S355" s="2"/>
      <c r="T355" s="2"/>
      <c r="U355" s="2"/>
      <c r="V355" s="2"/>
      <c r="W355" s="2"/>
      <c r="X355" s="2"/>
      <c r="Y355" s="2"/>
      <c r="Z355" s="2"/>
    </row>
    <row r="356">
      <c r="A356" s="2"/>
      <c r="B356" s="7"/>
      <c r="C356" s="7"/>
      <c r="D356" s="7"/>
      <c r="E356" s="7"/>
      <c r="F356" s="7"/>
      <c r="G356" s="7"/>
      <c r="H356" s="7"/>
      <c r="I356" s="7"/>
      <c r="J356" s="7"/>
      <c r="K356" s="7"/>
      <c r="L356" s="7"/>
      <c r="M356" s="7"/>
      <c r="N356" s="7"/>
      <c r="O356" s="2"/>
      <c r="P356" s="2"/>
      <c r="Q356" s="2"/>
      <c r="R356" s="2"/>
      <c r="S356" s="2"/>
      <c r="T356" s="2"/>
      <c r="U356" s="2"/>
      <c r="V356" s="2"/>
      <c r="W356" s="2"/>
      <c r="X356" s="2"/>
      <c r="Y356" s="2"/>
      <c r="Z356" s="2"/>
    </row>
    <row r="357">
      <c r="A357" s="2"/>
      <c r="B357" s="7"/>
      <c r="C357" s="7"/>
      <c r="D357" s="7"/>
      <c r="E357" s="7"/>
      <c r="F357" s="7"/>
      <c r="G357" s="7"/>
      <c r="H357" s="7"/>
      <c r="I357" s="7"/>
      <c r="J357" s="7"/>
      <c r="K357" s="7"/>
      <c r="L357" s="7"/>
      <c r="M357" s="7"/>
      <c r="N357" s="7"/>
      <c r="O357" s="2"/>
      <c r="P357" s="2"/>
      <c r="Q357" s="2"/>
      <c r="R357" s="2"/>
      <c r="S357" s="2"/>
      <c r="T357" s="2"/>
      <c r="U357" s="2"/>
      <c r="V357" s="2"/>
      <c r="W357" s="2"/>
      <c r="X357" s="2"/>
      <c r="Y357" s="2"/>
      <c r="Z357" s="2"/>
    </row>
    <row r="358">
      <c r="A358" s="2"/>
      <c r="B358" s="7"/>
      <c r="C358" s="7"/>
      <c r="D358" s="7"/>
      <c r="E358" s="7"/>
      <c r="F358" s="7"/>
      <c r="G358" s="7"/>
      <c r="H358" s="7"/>
      <c r="I358" s="7"/>
      <c r="J358" s="7"/>
      <c r="K358" s="7"/>
      <c r="L358" s="7"/>
      <c r="M358" s="7"/>
      <c r="N358" s="7"/>
      <c r="O358" s="2"/>
      <c r="P358" s="2"/>
      <c r="Q358" s="2"/>
      <c r="R358" s="2"/>
      <c r="S358" s="2"/>
      <c r="T358" s="2"/>
      <c r="U358" s="2"/>
      <c r="V358" s="2"/>
      <c r="W358" s="2"/>
      <c r="X358" s="2"/>
      <c r="Y358" s="2"/>
      <c r="Z358" s="2"/>
    </row>
    <row r="359">
      <c r="A359" s="2"/>
      <c r="B359" s="7"/>
      <c r="C359" s="7"/>
      <c r="D359" s="7"/>
      <c r="E359" s="7"/>
      <c r="F359" s="7"/>
      <c r="G359" s="7"/>
      <c r="H359" s="7"/>
      <c r="I359" s="7"/>
      <c r="J359" s="7"/>
      <c r="K359" s="7"/>
      <c r="L359" s="7"/>
      <c r="M359" s="7"/>
      <c r="N359" s="7"/>
      <c r="O359" s="2"/>
      <c r="P359" s="2"/>
      <c r="Q359" s="2"/>
      <c r="R359" s="2"/>
      <c r="S359" s="2"/>
      <c r="T359" s="2"/>
      <c r="U359" s="2"/>
      <c r="V359" s="2"/>
      <c r="W359" s="2"/>
      <c r="X359" s="2"/>
      <c r="Y359" s="2"/>
      <c r="Z359" s="2"/>
    </row>
    <row r="360">
      <c r="A360" s="2"/>
      <c r="B360" s="7"/>
      <c r="C360" s="7"/>
      <c r="D360" s="7"/>
      <c r="E360" s="7"/>
      <c r="F360" s="7"/>
      <c r="G360" s="7"/>
      <c r="H360" s="7"/>
      <c r="I360" s="7"/>
      <c r="J360" s="7"/>
      <c r="K360" s="7"/>
      <c r="L360" s="7"/>
      <c r="M360" s="7"/>
      <c r="N360" s="7"/>
      <c r="O360" s="2"/>
      <c r="P360" s="2"/>
      <c r="Q360" s="2"/>
      <c r="R360" s="2"/>
      <c r="S360" s="2"/>
      <c r="T360" s="2"/>
      <c r="U360" s="2"/>
      <c r="V360" s="2"/>
      <c r="W360" s="2"/>
      <c r="X360" s="2"/>
      <c r="Y360" s="2"/>
      <c r="Z360" s="2"/>
    </row>
    <row r="361">
      <c r="A361" s="2"/>
      <c r="B361" s="7"/>
      <c r="C361" s="7"/>
      <c r="D361" s="7"/>
      <c r="E361" s="7"/>
      <c r="F361" s="7"/>
      <c r="G361" s="7"/>
      <c r="H361" s="7"/>
      <c r="I361" s="7"/>
      <c r="J361" s="7"/>
      <c r="K361" s="7"/>
      <c r="L361" s="7"/>
      <c r="M361" s="7"/>
      <c r="N361" s="7"/>
      <c r="O361" s="2"/>
      <c r="P361" s="2"/>
      <c r="Q361" s="2"/>
      <c r="R361" s="2"/>
      <c r="S361" s="2"/>
      <c r="T361" s="2"/>
      <c r="U361" s="2"/>
      <c r="V361" s="2"/>
      <c r="W361" s="2"/>
      <c r="X361" s="2"/>
      <c r="Y361" s="2"/>
      <c r="Z361" s="2"/>
    </row>
    <row r="362">
      <c r="A362" s="2"/>
      <c r="B362" s="7"/>
      <c r="C362" s="7"/>
      <c r="D362" s="7"/>
      <c r="E362" s="7"/>
      <c r="F362" s="7"/>
      <c r="G362" s="7"/>
      <c r="H362" s="7"/>
      <c r="I362" s="7"/>
      <c r="J362" s="7"/>
      <c r="K362" s="7"/>
      <c r="L362" s="7"/>
      <c r="M362" s="7"/>
      <c r="N362" s="7"/>
      <c r="O362" s="2"/>
      <c r="P362" s="2"/>
      <c r="Q362" s="2"/>
      <c r="R362" s="2"/>
      <c r="S362" s="2"/>
      <c r="T362" s="2"/>
      <c r="U362" s="2"/>
      <c r="V362" s="2"/>
      <c r="W362" s="2"/>
      <c r="X362" s="2"/>
      <c r="Y362" s="2"/>
      <c r="Z362" s="2"/>
    </row>
    <row r="363">
      <c r="A363" s="2"/>
      <c r="B363" s="7"/>
      <c r="C363" s="7"/>
      <c r="D363" s="7"/>
      <c r="E363" s="7"/>
      <c r="F363" s="7"/>
      <c r="G363" s="7"/>
      <c r="H363" s="7"/>
      <c r="I363" s="7"/>
      <c r="J363" s="7"/>
      <c r="K363" s="7"/>
      <c r="L363" s="7"/>
      <c r="M363" s="7"/>
      <c r="N363" s="7"/>
      <c r="O363" s="2"/>
      <c r="P363" s="2"/>
      <c r="Q363" s="2"/>
      <c r="R363" s="2"/>
      <c r="S363" s="2"/>
      <c r="T363" s="2"/>
      <c r="U363" s="2"/>
      <c r="V363" s="2"/>
      <c r="W363" s="2"/>
      <c r="X363" s="2"/>
      <c r="Y363" s="2"/>
      <c r="Z363" s="2"/>
    </row>
    <row r="364">
      <c r="A364" s="2"/>
      <c r="B364" s="7"/>
      <c r="C364" s="7"/>
      <c r="D364" s="7"/>
      <c r="E364" s="7"/>
      <c r="F364" s="7"/>
      <c r="G364" s="7"/>
      <c r="H364" s="7"/>
      <c r="I364" s="7"/>
      <c r="J364" s="7"/>
      <c r="K364" s="7"/>
      <c r="L364" s="7"/>
      <c r="M364" s="7"/>
      <c r="N364" s="7"/>
      <c r="O364" s="2"/>
      <c r="P364" s="2"/>
      <c r="Q364" s="2"/>
      <c r="R364" s="2"/>
      <c r="S364" s="2"/>
      <c r="T364" s="2"/>
      <c r="U364" s="2"/>
      <c r="V364" s="2"/>
      <c r="W364" s="2"/>
      <c r="X364" s="2"/>
      <c r="Y364" s="2"/>
      <c r="Z364" s="2"/>
    </row>
    <row r="365">
      <c r="A365" s="2"/>
      <c r="B365" s="7"/>
      <c r="C365" s="7"/>
      <c r="D365" s="7"/>
      <c r="E365" s="7"/>
      <c r="F365" s="7"/>
      <c r="G365" s="7"/>
      <c r="H365" s="7"/>
      <c r="I365" s="7"/>
      <c r="J365" s="7"/>
      <c r="K365" s="7"/>
      <c r="L365" s="7"/>
      <c r="M365" s="7"/>
      <c r="N365" s="7"/>
      <c r="O365" s="2"/>
      <c r="P365" s="2"/>
      <c r="Q365" s="2"/>
      <c r="R365" s="2"/>
      <c r="S365" s="2"/>
      <c r="T365" s="2"/>
      <c r="U365" s="2"/>
      <c r="V365" s="2"/>
      <c r="W365" s="2"/>
      <c r="X365" s="2"/>
      <c r="Y365" s="2"/>
      <c r="Z365" s="2"/>
    </row>
    <row r="366">
      <c r="A366" s="2"/>
      <c r="B366" s="7"/>
      <c r="C366" s="7"/>
      <c r="D366" s="7"/>
      <c r="E366" s="7"/>
      <c r="F366" s="7"/>
      <c r="G366" s="7"/>
      <c r="H366" s="7"/>
      <c r="I366" s="7"/>
      <c r="J366" s="7"/>
      <c r="K366" s="7"/>
      <c r="L366" s="7"/>
      <c r="M366" s="7"/>
      <c r="N366" s="7"/>
      <c r="O366" s="2"/>
      <c r="P366" s="2"/>
      <c r="Q366" s="2"/>
      <c r="R366" s="2"/>
      <c r="S366" s="2"/>
      <c r="T366" s="2"/>
      <c r="U366" s="2"/>
      <c r="V366" s="2"/>
      <c r="W366" s="2"/>
      <c r="X366" s="2"/>
      <c r="Y366" s="2"/>
      <c r="Z366" s="2"/>
    </row>
    <row r="367">
      <c r="A367" s="2"/>
      <c r="B367" s="7"/>
      <c r="C367" s="7"/>
      <c r="D367" s="7"/>
      <c r="E367" s="7"/>
      <c r="F367" s="7"/>
      <c r="G367" s="7"/>
      <c r="H367" s="7"/>
      <c r="I367" s="7"/>
      <c r="J367" s="7"/>
      <c r="K367" s="7"/>
      <c r="L367" s="7"/>
      <c r="M367" s="7"/>
      <c r="N367" s="7"/>
      <c r="O367" s="2"/>
      <c r="P367" s="2"/>
      <c r="Q367" s="2"/>
      <c r="R367" s="2"/>
      <c r="S367" s="2"/>
      <c r="T367" s="2"/>
      <c r="U367" s="2"/>
      <c r="V367" s="2"/>
      <c r="W367" s="2"/>
      <c r="X367" s="2"/>
      <c r="Y367" s="2"/>
      <c r="Z367" s="2"/>
    </row>
    <row r="368">
      <c r="A368" s="2"/>
      <c r="B368" s="7"/>
      <c r="C368" s="7"/>
      <c r="D368" s="7"/>
      <c r="E368" s="7"/>
      <c r="F368" s="7"/>
      <c r="G368" s="7"/>
      <c r="H368" s="7"/>
      <c r="I368" s="7"/>
      <c r="J368" s="7"/>
      <c r="K368" s="7"/>
      <c r="L368" s="7"/>
      <c r="M368" s="7"/>
      <c r="N368" s="7"/>
      <c r="O368" s="2"/>
      <c r="P368" s="2"/>
      <c r="Q368" s="2"/>
      <c r="R368" s="2"/>
      <c r="S368" s="2"/>
      <c r="T368" s="2"/>
      <c r="U368" s="2"/>
      <c r="V368" s="2"/>
      <c r="W368" s="2"/>
      <c r="X368" s="2"/>
      <c r="Y368" s="2"/>
      <c r="Z368" s="2"/>
    </row>
    <row r="369">
      <c r="A369" s="2"/>
      <c r="B369" s="7"/>
      <c r="C369" s="7"/>
      <c r="D369" s="7"/>
      <c r="E369" s="7"/>
      <c r="F369" s="7"/>
      <c r="G369" s="7"/>
      <c r="H369" s="7"/>
      <c r="I369" s="7"/>
      <c r="J369" s="7"/>
      <c r="K369" s="7"/>
      <c r="L369" s="7"/>
      <c r="M369" s="7"/>
      <c r="N369" s="7"/>
      <c r="O369" s="2"/>
      <c r="P369" s="2"/>
      <c r="Q369" s="2"/>
      <c r="R369" s="2"/>
      <c r="S369" s="2"/>
      <c r="T369" s="2"/>
      <c r="U369" s="2"/>
      <c r="V369" s="2"/>
      <c r="W369" s="2"/>
      <c r="X369" s="2"/>
      <c r="Y369" s="2"/>
      <c r="Z369" s="2"/>
    </row>
    <row r="370">
      <c r="A370" s="2"/>
      <c r="B370" s="7"/>
      <c r="C370" s="7"/>
      <c r="D370" s="7"/>
      <c r="E370" s="7"/>
      <c r="F370" s="7"/>
      <c r="G370" s="7"/>
      <c r="H370" s="7"/>
      <c r="I370" s="7"/>
      <c r="J370" s="7"/>
      <c r="K370" s="7"/>
      <c r="L370" s="7"/>
      <c r="M370" s="7"/>
      <c r="N370" s="7"/>
      <c r="O370" s="2"/>
      <c r="P370" s="2"/>
      <c r="Q370" s="2"/>
      <c r="R370" s="2"/>
      <c r="S370" s="2"/>
      <c r="T370" s="2"/>
      <c r="U370" s="2"/>
      <c r="V370" s="2"/>
      <c r="W370" s="2"/>
      <c r="X370" s="2"/>
      <c r="Y370" s="2"/>
      <c r="Z370" s="2"/>
    </row>
    <row r="371">
      <c r="A371" s="2"/>
      <c r="B371" s="7"/>
      <c r="C371" s="7"/>
      <c r="D371" s="7"/>
      <c r="E371" s="7"/>
      <c r="F371" s="7"/>
      <c r="G371" s="7"/>
      <c r="H371" s="7"/>
      <c r="I371" s="7"/>
      <c r="J371" s="7"/>
      <c r="K371" s="7"/>
      <c r="L371" s="7"/>
      <c r="M371" s="7"/>
      <c r="N371" s="7"/>
      <c r="O371" s="2"/>
      <c r="P371" s="2"/>
      <c r="Q371" s="2"/>
      <c r="R371" s="2"/>
      <c r="S371" s="2"/>
      <c r="T371" s="2"/>
      <c r="U371" s="2"/>
      <c r="V371" s="2"/>
      <c r="W371" s="2"/>
      <c r="X371" s="2"/>
      <c r="Y371" s="2"/>
      <c r="Z371" s="2"/>
    </row>
    <row r="372">
      <c r="A372" s="2"/>
      <c r="B372" s="7"/>
      <c r="C372" s="7"/>
      <c r="D372" s="7"/>
      <c r="E372" s="7"/>
      <c r="F372" s="7"/>
      <c r="G372" s="7"/>
      <c r="H372" s="7"/>
      <c r="I372" s="7"/>
      <c r="J372" s="7"/>
      <c r="K372" s="7"/>
      <c r="L372" s="7"/>
      <c r="M372" s="7"/>
      <c r="N372" s="7"/>
      <c r="O372" s="2"/>
      <c r="P372" s="2"/>
      <c r="Q372" s="2"/>
      <c r="R372" s="2"/>
      <c r="S372" s="2"/>
      <c r="T372" s="2"/>
      <c r="U372" s="2"/>
      <c r="V372" s="2"/>
      <c r="W372" s="2"/>
      <c r="X372" s="2"/>
      <c r="Y372" s="2"/>
      <c r="Z372" s="2"/>
    </row>
    <row r="373">
      <c r="A373" s="2"/>
      <c r="B373" s="7"/>
      <c r="C373" s="7"/>
      <c r="D373" s="7"/>
      <c r="E373" s="7"/>
      <c r="F373" s="7"/>
      <c r="G373" s="7"/>
      <c r="H373" s="7"/>
      <c r="I373" s="7"/>
      <c r="J373" s="7"/>
      <c r="K373" s="7"/>
      <c r="L373" s="7"/>
      <c r="M373" s="7"/>
      <c r="N373" s="7"/>
      <c r="O373" s="2"/>
      <c r="P373" s="2"/>
      <c r="Q373" s="2"/>
      <c r="R373" s="2"/>
      <c r="S373" s="2"/>
      <c r="T373" s="2"/>
      <c r="U373" s="2"/>
      <c r="V373" s="2"/>
      <c r="W373" s="2"/>
      <c r="X373" s="2"/>
      <c r="Y373" s="2"/>
      <c r="Z373" s="2"/>
    </row>
    <row r="374">
      <c r="A374" s="2"/>
      <c r="B374" s="7"/>
      <c r="C374" s="7"/>
      <c r="D374" s="7"/>
      <c r="E374" s="7"/>
      <c r="F374" s="7"/>
      <c r="G374" s="7"/>
      <c r="H374" s="7"/>
      <c r="I374" s="7"/>
      <c r="J374" s="7"/>
      <c r="K374" s="7"/>
      <c r="L374" s="7"/>
      <c r="M374" s="7"/>
      <c r="N374" s="7"/>
      <c r="O374" s="2"/>
      <c r="P374" s="2"/>
      <c r="Q374" s="2"/>
      <c r="R374" s="2"/>
      <c r="S374" s="2"/>
      <c r="T374" s="2"/>
      <c r="U374" s="2"/>
      <c r="V374" s="2"/>
      <c r="W374" s="2"/>
      <c r="X374" s="2"/>
      <c r="Y374" s="2"/>
      <c r="Z374" s="2"/>
    </row>
    <row r="375">
      <c r="A375" s="2"/>
      <c r="B375" s="7"/>
      <c r="C375" s="7"/>
      <c r="D375" s="7"/>
      <c r="E375" s="7"/>
      <c r="F375" s="7"/>
      <c r="G375" s="7"/>
      <c r="H375" s="7"/>
      <c r="I375" s="7"/>
      <c r="J375" s="7"/>
      <c r="K375" s="7"/>
      <c r="L375" s="7"/>
      <c r="M375" s="7"/>
      <c r="N375" s="7"/>
      <c r="O375" s="2"/>
      <c r="P375" s="2"/>
      <c r="Q375" s="2"/>
      <c r="R375" s="2"/>
      <c r="S375" s="2"/>
      <c r="T375" s="2"/>
      <c r="U375" s="2"/>
      <c r="V375" s="2"/>
      <c r="W375" s="2"/>
      <c r="X375" s="2"/>
      <c r="Y375" s="2"/>
      <c r="Z375" s="2"/>
    </row>
    <row r="376">
      <c r="A376" s="2"/>
      <c r="B376" s="7"/>
      <c r="C376" s="7"/>
      <c r="D376" s="7"/>
      <c r="E376" s="7"/>
      <c r="F376" s="7"/>
      <c r="G376" s="7"/>
      <c r="H376" s="7"/>
      <c r="I376" s="7"/>
      <c r="J376" s="7"/>
      <c r="K376" s="7"/>
      <c r="L376" s="7"/>
      <c r="M376" s="7"/>
      <c r="N376" s="7"/>
      <c r="O376" s="2"/>
      <c r="P376" s="2"/>
      <c r="Q376" s="2"/>
      <c r="R376" s="2"/>
      <c r="S376" s="2"/>
      <c r="T376" s="2"/>
      <c r="U376" s="2"/>
      <c r="V376" s="2"/>
      <c r="W376" s="2"/>
      <c r="X376" s="2"/>
      <c r="Y376" s="2"/>
      <c r="Z376" s="2"/>
    </row>
    <row r="377">
      <c r="A377" s="2"/>
      <c r="B377" s="7"/>
      <c r="C377" s="7"/>
      <c r="D377" s="7"/>
      <c r="E377" s="7"/>
      <c r="F377" s="7"/>
      <c r="G377" s="7"/>
      <c r="H377" s="7"/>
      <c r="I377" s="7"/>
      <c r="J377" s="7"/>
      <c r="K377" s="7"/>
      <c r="L377" s="7"/>
      <c r="M377" s="7"/>
      <c r="N377" s="7"/>
      <c r="O377" s="2"/>
      <c r="P377" s="2"/>
      <c r="Q377" s="2"/>
      <c r="R377" s="2"/>
      <c r="S377" s="2"/>
      <c r="T377" s="2"/>
      <c r="U377" s="2"/>
      <c r="V377" s="2"/>
      <c r="W377" s="2"/>
      <c r="X377" s="2"/>
      <c r="Y377" s="2"/>
      <c r="Z377" s="2"/>
    </row>
    <row r="378">
      <c r="A378" s="2"/>
      <c r="B378" s="7"/>
      <c r="C378" s="7"/>
      <c r="D378" s="7"/>
      <c r="E378" s="7"/>
      <c r="F378" s="7"/>
      <c r="G378" s="7"/>
      <c r="H378" s="7"/>
      <c r="I378" s="7"/>
      <c r="J378" s="7"/>
      <c r="K378" s="7"/>
      <c r="L378" s="7"/>
      <c r="M378" s="7"/>
      <c r="N378" s="7"/>
      <c r="O378" s="2"/>
      <c r="P378" s="2"/>
      <c r="Q378" s="2"/>
      <c r="R378" s="2"/>
      <c r="S378" s="2"/>
      <c r="T378" s="2"/>
      <c r="U378" s="2"/>
      <c r="V378" s="2"/>
      <c r="W378" s="2"/>
      <c r="X378" s="2"/>
      <c r="Y378" s="2"/>
      <c r="Z378" s="2"/>
    </row>
    <row r="379">
      <c r="A379" s="2"/>
      <c r="B379" s="7"/>
      <c r="C379" s="7"/>
      <c r="D379" s="7"/>
      <c r="E379" s="7"/>
      <c r="F379" s="7"/>
      <c r="G379" s="7"/>
      <c r="H379" s="7"/>
      <c r="I379" s="7"/>
      <c r="J379" s="7"/>
      <c r="K379" s="7"/>
      <c r="L379" s="7"/>
      <c r="M379" s="7"/>
      <c r="N379" s="7"/>
      <c r="O379" s="2"/>
      <c r="P379" s="2"/>
      <c r="Q379" s="2"/>
      <c r="R379" s="2"/>
      <c r="S379" s="2"/>
      <c r="T379" s="2"/>
      <c r="U379" s="2"/>
      <c r="V379" s="2"/>
      <c r="W379" s="2"/>
      <c r="X379" s="2"/>
      <c r="Y379" s="2"/>
      <c r="Z379" s="2"/>
    </row>
    <row r="380">
      <c r="A380" s="2"/>
      <c r="B380" s="7"/>
      <c r="C380" s="7"/>
      <c r="D380" s="7"/>
      <c r="E380" s="7"/>
      <c r="F380" s="7"/>
      <c r="G380" s="7"/>
      <c r="H380" s="7"/>
      <c r="I380" s="7"/>
      <c r="J380" s="7"/>
      <c r="K380" s="7"/>
      <c r="L380" s="7"/>
      <c r="M380" s="7"/>
      <c r="N380" s="7"/>
      <c r="O380" s="2"/>
      <c r="P380" s="2"/>
      <c r="Q380" s="2"/>
      <c r="R380" s="2"/>
      <c r="S380" s="2"/>
      <c r="T380" s="2"/>
      <c r="U380" s="2"/>
      <c r="V380" s="2"/>
      <c r="W380" s="2"/>
      <c r="X380" s="2"/>
      <c r="Y380" s="2"/>
      <c r="Z380" s="2"/>
    </row>
    <row r="381">
      <c r="A381" s="2"/>
      <c r="B381" s="7"/>
      <c r="C381" s="7"/>
      <c r="D381" s="7"/>
      <c r="E381" s="7"/>
      <c r="F381" s="7"/>
      <c r="G381" s="7"/>
      <c r="H381" s="7"/>
      <c r="I381" s="7"/>
      <c r="J381" s="7"/>
      <c r="K381" s="7"/>
      <c r="L381" s="7"/>
      <c r="M381" s="7"/>
      <c r="N381" s="7"/>
      <c r="O381" s="2"/>
      <c r="P381" s="2"/>
      <c r="Q381" s="2"/>
      <c r="R381" s="2"/>
      <c r="S381" s="2"/>
      <c r="T381" s="2"/>
      <c r="U381" s="2"/>
      <c r="V381" s="2"/>
      <c r="W381" s="2"/>
      <c r="X381" s="2"/>
      <c r="Y381" s="2"/>
      <c r="Z381" s="2"/>
    </row>
    <row r="382">
      <c r="A382" s="2"/>
      <c r="B382" s="7"/>
      <c r="C382" s="7"/>
      <c r="D382" s="7"/>
      <c r="E382" s="7"/>
      <c r="F382" s="7"/>
      <c r="G382" s="7"/>
      <c r="H382" s="7"/>
      <c r="I382" s="7"/>
      <c r="J382" s="7"/>
      <c r="K382" s="7"/>
      <c r="L382" s="7"/>
      <c r="M382" s="7"/>
      <c r="N382" s="7"/>
      <c r="O382" s="2"/>
      <c r="P382" s="2"/>
      <c r="Q382" s="2"/>
      <c r="R382" s="2"/>
      <c r="S382" s="2"/>
      <c r="T382" s="2"/>
      <c r="U382" s="2"/>
      <c r="V382" s="2"/>
      <c r="W382" s="2"/>
      <c r="X382" s="2"/>
      <c r="Y382" s="2"/>
      <c r="Z382" s="2"/>
    </row>
    <row r="383">
      <c r="A383" s="2"/>
      <c r="B383" s="7"/>
      <c r="C383" s="7"/>
      <c r="D383" s="7"/>
      <c r="E383" s="7"/>
      <c r="F383" s="7"/>
      <c r="G383" s="7"/>
      <c r="H383" s="7"/>
      <c r="I383" s="7"/>
      <c r="J383" s="7"/>
      <c r="K383" s="7"/>
      <c r="L383" s="7"/>
      <c r="M383" s="7"/>
      <c r="N383" s="7"/>
      <c r="O383" s="2"/>
      <c r="P383" s="2"/>
      <c r="Q383" s="2"/>
      <c r="R383" s="2"/>
      <c r="S383" s="2"/>
      <c r="T383" s="2"/>
      <c r="U383" s="2"/>
      <c r="V383" s="2"/>
      <c r="W383" s="2"/>
      <c r="X383" s="2"/>
      <c r="Y383" s="2"/>
      <c r="Z383" s="2"/>
    </row>
    <row r="384">
      <c r="A384" s="2"/>
      <c r="B384" s="7"/>
      <c r="C384" s="7"/>
      <c r="D384" s="7"/>
      <c r="E384" s="7"/>
      <c r="F384" s="7"/>
      <c r="G384" s="7"/>
      <c r="H384" s="7"/>
      <c r="I384" s="7"/>
      <c r="J384" s="7"/>
      <c r="K384" s="7"/>
      <c r="L384" s="7"/>
      <c r="M384" s="7"/>
      <c r="N384" s="7"/>
      <c r="O384" s="2"/>
      <c r="P384" s="2"/>
      <c r="Q384" s="2"/>
      <c r="R384" s="2"/>
      <c r="S384" s="2"/>
      <c r="T384" s="2"/>
      <c r="U384" s="2"/>
      <c r="V384" s="2"/>
      <c r="W384" s="2"/>
      <c r="X384" s="2"/>
      <c r="Y384" s="2"/>
      <c r="Z384" s="2"/>
    </row>
    <row r="385">
      <c r="A385" s="2"/>
      <c r="B385" s="7"/>
      <c r="C385" s="7"/>
      <c r="D385" s="7"/>
      <c r="E385" s="7"/>
      <c r="F385" s="7"/>
      <c r="G385" s="7"/>
      <c r="H385" s="7"/>
      <c r="I385" s="7"/>
      <c r="J385" s="7"/>
      <c r="K385" s="7"/>
      <c r="L385" s="7"/>
      <c r="M385" s="7"/>
      <c r="N385" s="7"/>
      <c r="O385" s="2"/>
      <c r="P385" s="2"/>
      <c r="Q385" s="2"/>
      <c r="R385" s="2"/>
      <c r="S385" s="2"/>
      <c r="T385" s="2"/>
      <c r="U385" s="2"/>
      <c r="V385" s="2"/>
      <c r="W385" s="2"/>
      <c r="X385" s="2"/>
      <c r="Y385" s="2"/>
      <c r="Z385" s="2"/>
    </row>
    <row r="386">
      <c r="A386" s="2"/>
      <c r="B386" s="7"/>
      <c r="C386" s="7"/>
      <c r="D386" s="7"/>
      <c r="E386" s="7"/>
      <c r="F386" s="7"/>
      <c r="G386" s="7"/>
      <c r="H386" s="7"/>
      <c r="I386" s="7"/>
      <c r="J386" s="7"/>
      <c r="K386" s="7"/>
      <c r="L386" s="7"/>
      <c r="M386" s="7"/>
      <c r="N386" s="7"/>
      <c r="O386" s="2"/>
      <c r="P386" s="2"/>
      <c r="Q386" s="2"/>
      <c r="R386" s="2"/>
      <c r="S386" s="2"/>
      <c r="T386" s="2"/>
      <c r="U386" s="2"/>
      <c r="V386" s="2"/>
      <c r="W386" s="2"/>
      <c r="X386" s="2"/>
      <c r="Y386" s="2"/>
      <c r="Z386" s="2"/>
    </row>
    <row r="387">
      <c r="A387" s="2"/>
      <c r="B387" s="7"/>
      <c r="C387" s="7"/>
      <c r="D387" s="7"/>
      <c r="E387" s="7"/>
      <c r="F387" s="7"/>
      <c r="G387" s="7"/>
      <c r="H387" s="7"/>
      <c r="I387" s="7"/>
      <c r="J387" s="7"/>
      <c r="K387" s="7"/>
      <c r="L387" s="7"/>
      <c r="M387" s="7"/>
      <c r="N387" s="7"/>
      <c r="O387" s="2"/>
      <c r="P387" s="2"/>
      <c r="Q387" s="2"/>
      <c r="R387" s="2"/>
      <c r="S387" s="2"/>
      <c r="T387" s="2"/>
      <c r="U387" s="2"/>
      <c r="V387" s="2"/>
      <c r="W387" s="2"/>
      <c r="X387" s="2"/>
      <c r="Y387" s="2"/>
      <c r="Z387" s="2"/>
    </row>
    <row r="388">
      <c r="A388" s="2"/>
      <c r="B388" s="7"/>
      <c r="C388" s="7"/>
      <c r="D388" s="7"/>
      <c r="E388" s="7"/>
      <c r="F388" s="7"/>
      <c r="G388" s="7"/>
      <c r="H388" s="7"/>
      <c r="I388" s="7"/>
      <c r="J388" s="7"/>
      <c r="K388" s="7"/>
      <c r="L388" s="7"/>
      <c r="M388" s="7"/>
      <c r="N388" s="7"/>
      <c r="O388" s="2"/>
      <c r="P388" s="2"/>
      <c r="Q388" s="2"/>
      <c r="R388" s="2"/>
      <c r="S388" s="2"/>
      <c r="T388" s="2"/>
      <c r="U388" s="2"/>
      <c r="V388" s="2"/>
      <c r="W388" s="2"/>
      <c r="X388" s="2"/>
      <c r="Y388" s="2"/>
      <c r="Z388" s="2"/>
    </row>
    <row r="389">
      <c r="A389" s="2"/>
      <c r="B389" s="7"/>
      <c r="C389" s="7"/>
      <c r="D389" s="7"/>
      <c r="E389" s="7"/>
      <c r="F389" s="7"/>
      <c r="G389" s="7"/>
      <c r="H389" s="7"/>
      <c r="I389" s="7"/>
      <c r="J389" s="7"/>
      <c r="K389" s="7"/>
      <c r="L389" s="7"/>
      <c r="M389" s="7"/>
      <c r="N389" s="7"/>
      <c r="O389" s="2"/>
      <c r="P389" s="2"/>
      <c r="Q389" s="2"/>
      <c r="R389" s="2"/>
      <c r="S389" s="2"/>
      <c r="T389" s="2"/>
      <c r="U389" s="2"/>
      <c r="V389" s="2"/>
      <c r="W389" s="2"/>
      <c r="X389" s="2"/>
      <c r="Y389" s="2"/>
      <c r="Z389" s="2"/>
    </row>
    <row r="390">
      <c r="A390" s="2"/>
      <c r="B390" s="7"/>
      <c r="C390" s="7"/>
      <c r="D390" s="7"/>
      <c r="E390" s="7"/>
      <c r="F390" s="7"/>
      <c r="G390" s="7"/>
      <c r="H390" s="7"/>
      <c r="I390" s="7"/>
      <c r="J390" s="7"/>
      <c r="K390" s="7"/>
      <c r="L390" s="7"/>
      <c r="M390" s="7"/>
      <c r="N390" s="7"/>
      <c r="O390" s="2"/>
      <c r="P390" s="2"/>
      <c r="Q390" s="2"/>
      <c r="R390" s="2"/>
      <c r="S390" s="2"/>
      <c r="T390" s="2"/>
      <c r="U390" s="2"/>
      <c r="V390" s="2"/>
      <c r="W390" s="2"/>
      <c r="X390" s="2"/>
      <c r="Y390" s="2"/>
      <c r="Z390" s="2"/>
    </row>
    <row r="391">
      <c r="A391" s="2"/>
      <c r="B391" s="7"/>
      <c r="C391" s="7"/>
      <c r="D391" s="7"/>
      <c r="E391" s="7"/>
      <c r="F391" s="7"/>
      <c r="G391" s="7"/>
      <c r="H391" s="7"/>
      <c r="I391" s="7"/>
      <c r="J391" s="7"/>
      <c r="K391" s="7"/>
      <c r="L391" s="7"/>
      <c r="M391" s="7"/>
      <c r="N391" s="7"/>
      <c r="O391" s="2"/>
      <c r="P391" s="2"/>
      <c r="Q391" s="2"/>
      <c r="R391" s="2"/>
      <c r="S391" s="2"/>
      <c r="T391" s="2"/>
      <c r="U391" s="2"/>
      <c r="V391" s="2"/>
      <c r="W391" s="2"/>
      <c r="X391" s="2"/>
      <c r="Y391" s="2"/>
      <c r="Z391" s="2"/>
    </row>
    <row r="392">
      <c r="A392" s="2"/>
      <c r="B392" s="7"/>
      <c r="C392" s="7"/>
      <c r="D392" s="7"/>
      <c r="E392" s="7"/>
      <c r="F392" s="7"/>
      <c r="G392" s="7"/>
      <c r="H392" s="7"/>
      <c r="I392" s="7"/>
      <c r="J392" s="7"/>
      <c r="K392" s="7"/>
      <c r="L392" s="7"/>
      <c r="M392" s="7"/>
      <c r="N392" s="7"/>
      <c r="O392" s="2"/>
      <c r="P392" s="2"/>
      <c r="Q392" s="2"/>
      <c r="R392" s="2"/>
      <c r="S392" s="2"/>
      <c r="T392" s="2"/>
      <c r="U392" s="2"/>
      <c r="V392" s="2"/>
      <c r="W392" s="2"/>
      <c r="X392" s="2"/>
      <c r="Y392" s="2"/>
      <c r="Z392" s="2"/>
    </row>
    <row r="393">
      <c r="A393" s="2"/>
      <c r="B393" s="7"/>
      <c r="C393" s="7"/>
      <c r="D393" s="7"/>
      <c r="E393" s="7"/>
      <c r="F393" s="7"/>
      <c r="G393" s="7"/>
      <c r="H393" s="7"/>
      <c r="I393" s="7"/>
      <c r="J393" s="7"/>
      <c r="K393" s="7"/>
      <c r="L393" s="7"/>
      <c r="M393" s="7"/>
      <c r="N393" s="7"/>
      <c r="O393" s="2"/>
      <c r="P393" s="2"/>
      <c r="Q393" s="2"/>
      <c r="R393" s="2"/>
      <c r="S393" s="2"/>
      <c r="T393" s="2"/>
      <c r="U393" s="2"/>
      <c r="V393" s="2"/>
      <c r="W393" s="2"/>
      <c r="X393" s="2"/>
      <c r="Y393" s="2"/>
      <c r="Z393" s="2"/>
    </row>
    <row r="394">
      <c r="A394" s="2"/>
      <c r="B394" s="7"/>
      <c r="C394" s="7"/>
      <c r="D394" s="7"/>
      <c r="E394" s="7"/>
      <c r="F394" s="7"/>
      <c r="G394" s="7"/>
      <c r="H394" s="7"/>
      <c r="I394" s="7"/>
      <c r="J394" s="7"/>
      <c r="K394" s="7"/>
      <c r="L394" s="7"/>
      <c r="M394" s="7"/>
      <c r="N394" s="7"/>
      <c r="O394" s="2"/>
      <c r="P394" s="2"/>
      <c r="Q394" s="2"/>
      <c r="R394" s="2"/>
      <c r="S394" s="2"/>
      <c r="T394" s="2"/>
      <c r="U394" s="2"/>
      <c r="V394" s="2"/>
      <c r="W394" s="2"/>
      <c r="X394" s="2"/>
      <c r="Y394" s="2"/>
      <c r="Z394" s="2"/>
    </row>
    <row r="395">
      <c r="A395" s="2"/>
      <c r="B395" s="7"/>
      <c r="C395" s="7"/>
      <c r="D395" s="7"/>
      <c r="E395" s="7"/>
      <c r="F395" s="7"/>
      <c r="G395" s="7"/>
      <c r="H395" s="7"/>
      <c r="I395" s="7"/>
      <c r="J395" s="7"/>
      <c r="K395" s="7"/>
      <c r="L395" s="7"/>
      <c r="M395" s="7"/>
      <c r="N395" s="7"/>
      <c r="O395" s="2"/>
      <c r="P395" s="2"/>
      <c r="Q395" s="2"/>
      <c r="R395" s="2"/>
      <c r="S395" s="2"/>
      <c r="T395" s="2"/>
      <c r="U395" s="2"/>
      <c r="V395" s="2"/>
      <c r="W395" s="2"/>
      <c r="X395" s="2"/>
      <c r="Y395" s="2"/>
      <c r="Z395" s="2"/>
    </row>
    <row r="396">
      <c r="A396" s="2"/>
      <c r="B396" s="7"/>
      <c r="C396" s="7"/>
      <c r="D396" s="7"/>
      <c r="E396" s="7"/>
      <c r="F396" s="7"/>
      <c r="G396" s="7"/>
      <c r="H396" s="7"/>
      <c r="I396" s="7"/>
      <c r="J396" s="7"/>
      <c r="K396" s="7"/>
      <c r="L396" s="7"/>
      <c r="M396" s="7"/>
      <c r="N396" s="7"/>
      <c r="O396" s="2"/>
      <c r="P396" s="2"/>
      <c r="Q396" s="2"/>
      <c r="R396" s="2"/>
      <c r="S396" s="2"/>
      <c r="T396" s="2"/>
      <c r="U396" s="2"/>
      <c r="V396" s="2"/>
      <c r="W396" s="2"/>
      <c r="X396" s="2"/>
      <c r="Y396" s="2"/>
      <c r="Z396" s="2"/>
    </row>
    <row r="397">
      <c r="A397" s="2"/>
      <c r="B397" s="7"/>
      <c r="C397" s="7"/>
      <c r="D397" s="7"/>
      <c r="E397" s="7"/>
      <c r="F397" s="7"/>
      <c r="G397" s="7"/>
      <c r="H397" s="7"/>
      <c r="I397" s="7"/>
      <c r="J397" s="7"/>
      <c r="K397" s="7"/>
      <c r="L397" s="7"/>
      <c r="M397" s="7"/>
      <c r="N397" s="7"/>
      <c r="O397" s="2"/>
      <c r="P397" s="2"/>
      <c r="Q397" s="2"/>
      <c r="R397" s="2"/>
      <c r="S397" s="2"/>
      <c r="T397" s="2"/>
      <c r="U397" s="2"/>
      <c r="V397" s="2"/>
      <c r="W397" s="2"/>
      <c r="X397" s="2"/>
      <c r="Y397" s="2"/>
      <c r="Z397" s="2"/>
    </row>
    <row r="398">
      <c r="A398" s="2"/>
      <c r="B398" s="7"/>
      <c r="C398" s="7"/>
      <c r="D398" s="7"/>
      <c r="E398" s="7"/>
      <c r="F398" s="7"/>
      <c r="G398" s="7"/>
      <c r="H398" s="7"/>
      <c r="I398" s="7"/>
      <c r="J398" s="7"/>
      <c r="K398" s="7"/>
      <c r="L398" s="7"/>
      <c r="M398" s="7"/>
      <c r="N398" s="7"/>
      <c r="O398" s="2"/>
      <c r="P398" s="2"/>
      <c r="Q398" s="2"/>
      <c r="R398" s="2"/>
      <c r="S398" s="2"/>
      <c r="T398" s="2"/>
      <c r="U398" s="2"/>
      <c r="V398" s="2"/>
      <c r="W398" s="2"/>
      <c r="X398" s="2"/>
      <c r="Y398" s="2"/>
      <c r="Z398" s="2"/>
    </row>
    <row r="399">
      <c r="A399" s="2"/>
      <c r="B399" s="7"/>
      <c r="C399" s="7"/>
      <c r="D399" s="7"/>
      <c r="E399" s="7"/>
      <c r="F399" s="7"/>
      <c r="G399" s="7"/>
      <c r="H399" s="7"/>
      <c r="I399" s="7"/>
      <c r="J399" s="7"/>
      <c r="K399" s="7"/>
      <c r="L399" s="7"/>
      <c r="M399" s="7"/>
      <c r="N399" s="7"/>
      <c r="O399" s="2"/>
      <c r="P399" s="2"/>
      <c r="Q399" s="2"/>
      <c r="R399" s="2"/>
      <c r="S399" s="2"/>
      <c r="T399" s="2"/>
      <c r="U399" s="2"/>
      <c r="V399" s="2"/>
      <c r="W399" s="2"/>
      <c r="X399" s="2"/>
      <c r="Y399" s="2"/>
      <c r="Z399" s="2"/>
    </row>
    <row r="400">
      <c r="A400" s="2"/>
      <c r="B400" s="7"/>
      <c r="C400" s="7"/>
      <c r="D400" s="7"/>
      <c r="E400" s="7"/>
      <c r="F400" s="7"/>
      <c r="G400" s="7"/>
      <c r="H400" s="7"/>
      <c r="I400" s="7"/>
      <c r="J400" s="7"/>
      <c r="K400" s="7"/>
      <c r="L400" s="7"/>
      <c r="M400" s="7"/>
      <c r="N400" s="7"/>
      <c r="O400" s="2"/>
      <c r="P400" s="2"/>
      <c r="Q400" s="2"/>
      <c r="R400" s="2"/>
      <c r="S400" s="2"/>
      <c r="T400" s="2"/>
      <c r="U400" s="2"/>
      <c r="V400" s="2"/>
      <c r="W400" s="2"/>
      <c r="X400" s="2"/>
      <c r="Y400" s="2"/>
      <c r="Z400" s="2"/>
    </row>
    <row r="401">
      <c r="A401" s="2"/>
      <c r="B401" s="7"/>
      <c r="C401" s="7"/>
      <c r="D401" s="7"/>
      <c r="E401" s="7"/>
      <c r="F401" s="7"/>
      <c r="G401" s="7"/>
      <c r="H401" s="7"/>
      <c r="I401" s="7"/>
      <c r="J401" s="7"/>
      <c r="K401" s="7"/>
      <c r="L401" s="7"/>
      <c r="M401" s="7"/>
      <c r="N401" s="7"/>
      <c r="O401" s="2"/>
      <c r="P401" s="2"/>
      <c r="Q401" s="2"/>
      <c r="R401" s="2"/>
      <c r="S401" s="2"/>
      <c r="T401" s="2"/>
      <c r="U401" s="2"/>
      <c r="V401" s="2"/>
      <c r="W401" s="2"/>
      <c r="X401" s="2"/>
      <c r="Y401" s="2"/>
      <c r="Z401" s="2"/>
    </row>
    <row r="402">
      <c r="A402" s="2"/>
      <c r="B402" s="7"/>
      <c r="C402" s="7"/>
      <c r="D402" s="7"/>
      <c r="E402" s="7"/>
      <c r="F402" s="7"/>
      <c r="G402" s="7"/>
      <c r="H402" s="7"/>
      <c r="I402" s="7"/>
      <c r="J402" s="7"/>
      <c r="K402" s="7"/>
      <c r="L402" s="7"/>
      <c r="M402" s="7"/>
      <c r="N402" s="7"/>
      <c r="O402" s="2"/>
      <c r="P402" s="2"/>
      <c r="Q402" s="2"/>
      <c r="R402" s="2"/>
      <c r="S402" s="2"/>
      <c r="T402" s="2"/>
      <c r="U402" s="2"/>
      <c r="V402" s="2"/>
      <c r="W402" s="2"/>
      <c r="X402" s="2"/>
      <c r="Y402" s="2"/>
      <c r="Z402" s="2"/>
    </row>
    <row r="403">
      <c r="A403" s="2"/>
      <c r="B403" s="7"/>
      <c r="C403" s="7"/>
      <c r="D403" s="7"/>
      <c r="E403" s="7"/>
      <c r="F403" s="7"/>
      <c r="G403" s="7"/>
      <c r="H403" s="7"/>
      <c r="I403" s="7"/>
      <c r="J403" s="7"/>
      <c r="K403" s="7"/>
      <c r="L403" s="7"/>
      <c r="M403" s="7"/>
      <c r="N403" s="7"/>
      <c r="O403" s="2"/>
      <c r="P403" s="2"/>
      <c r="Q403" s="2"/>
      <c r="R403" s="2"/>
      <c r="S403" s="2"/>
      <c r="T403" s="2"/>
      <c r="U403" s="2"/>
      <c r="V403" s="2"/>
      <c r="W403" s="2"/>
      <c r="X403" s="2"/>
      <c r="Y403" s="2"/>
      <c r="Z403" s="2"/>
    </row>
    <row r="404">
      <c r="A404" s="2"/>
      <c r="B404" s="7"/>
      <c r="C404" s="7"/>
      <c r="D404" s="7"/>
      <c r="E404" s="7"/>
      <c r="F404" s="7"/>
      <c r="G404" s="7"/>
      <c r="H404" s="7"/>
      <c r="I404" s="7"/>
      <c r="J404" s="7"/>
      <c r="K404" s="7"/>
      <c r="L404" s="7"/>
      <c r="M404" s="7"/>
      <c r="N404" s="7"/>
      <c r="O404" s="2"/>
      <c r="P404" s="2"/>
      <c r="Q404" s="2"/>
      <c r="R404" s="2"/>
      <c r="S404" s="2"/>
      <c r="T404" s="2"/>
      <c r="U404" s="2"/>
      <c r="V404" s="2"/>
      <c r="W404" s="2"/>
      <c r="X404" s="2"/>
      <c r="Y404" s="2"/>
      <c r="Z404" s="2"/>
    </row>
    <row r="405">
      <c r="A405" s="2"/>
      <c r="B405" s="7"/>
      <c r="C405" s="7"/>
      <c r="D405" s="7"/>
      <c r="E405" s="7"/>
      <c r="F405" s="7"/>
      <c r="G405" s="7"/>
      <c r="H405" s="7"/>
      <c r="I405" s="7"/>
      <c r="J405" s="7"/>
      <c r="K405" s="7"/>
      <c r="L405" s="7"/>
      <c r="M405" s="7"/>
      <c r="N405" s="7"/>
      <c r="O405" s="2"/>
      <c r="P405" s="2"/>
      <c r="Q405" s="2"/>
      <c r="R405" s="2"/>
      <c r="S405" s="2"/>
      <c r="T405" s="2"/>
      <c r="U405" s="2"/>
      <c r="V405" s="2"/>
      <c r="W405" s="2"/>
      <c r="X405" s="2"/>
      <c r="Y405" s="2"/>
      <c r="Z405" s="2"/>
    </row>
    <row r="406">
      <c r="A406" s="2"/>
      <c r="B406" s="7"/>
      <c r="C406" s="7"/>
      <c r="D406" s="7"/>
      <c r="E406" s="7"/>
      <c r="F406" s="7"/>
      <c r="G406" s="7"/>
      <c r="H406" s="7"/>
      <c r="I406" s="7"/>
      <c r="J406" s="7"/>
      <c r="K406" s="7"/>
      <c r="L406" s="7"/>
      <c r="M406" s="7"/>
      <c r="N406" s="7"/>
      <c r="O406" s="2"/>
      <c r="P406" s="2"/>
      <c r="Q406" s="2"/>
      <c r="R406" s="2"/>
      <c r="S406" s="2"/>
      <c r="T406" s="2"/>
      <c r="U406" s="2"/>
      <c r="V406" s="2"/>
      <c r="W406" s="2"/>
      <c r="X406" s="2"/>
      <c r="Y406" s="2"/>
      <c r="Z406" s="2"/>
    </row>
    <row r="407">
      <c r="A407" s="2"/>
      <c r="B407" s="7"/>
      <c r="C407" s="7"/>
      <c r="D407" s="7"/>
      <c r="E407" s="7"/>
      <c r="F407" s="7"/>
      <c r="G407" s="7"/>
      <c r="H407" s="7"/>
      <c r="I407" s="7"/>
      <c r="J407" s="7"/>
      <c r="K407" s="7"/>
      <c r="L407" s="7"/>
      <c r="M407" s="7"/>
      <c r="N407" s="7"/>
      <c r="O407" s="2"/>
      <c r="P407" s="2"/>
      <c r="Q407" s="2"/>
      <c r="R407" s="2"/>
      <c r="S407" s="2"/>
      <c r="T407" s="2"/>
      <c r="U407" s="2"/>
      <c r="V407" s="2"/>
      <c r="W407" s="2"/>
      <c r="X407" s="2"/>
      <c r="Y407" s="2"/>
      <c r="Z407" s="2"/>
    </row>
    <row r="408">
      <c r="A408" s="2"/>
      <c r="B408" s="7"/>
      <c r="C408" s="7"/>
      <c r="D408" s="7"/>
      <c r="E408" s="7"/>
      <c r="F408" s="7"/>
      <c r="G408" s="7"/>
      <c r="H408" s="7"/>
      <c r="I408" s="7"/>
      <c r="J408" s="7"/>
      <c r="K408" s="7"/>
      <c r="L408" s="7"/>
      <c r="M408" s="7"/>
      <c r="N408" s="7"/>
      <c r="O408" s="2"/>
      <c r="P408" s="2"/>
      <c r="Q408" s="2"/>
      <c r="R408" s="2"/>
      <c r="S408" s="2"/>
      <c r="T408" s="2"/>
      <c r="U408" s="2"/>
      <c r="V408" s="2"/>
      <c r="W408" s="2"/>
      <c r="X408" s="2"/>
      <c r="Y408" s="2"/>
      <c r="Z408" s="2"/>
    </row>
    <row r="409">
      <c r="A409" s="2"/>
      <c r="B409" s="7"/>
      <c r="C409" s="7"/>
      <c r="D409" s="7"/>
      <c r="E409" s="7"/>
      <c r="F409" s="7"/>
      <c r="G409" s="7"/>
      <c r="H409" s="7"/>
      <c r="I409" s="7"/>
      <c r="J409" s="7"/>
      <c r="K409" s="7"/>
      <c r="L409" s="7"/>
      <c r="M409" s="7"/>
      <c r="N409" s="7"/>
      <c r="O409" s="2"/>
      <c r="P409" s="2"/>
      <c r="Q409" s="2"/>
      <c r="R409" s="2"/>
      <c r="S409" s="2"/>
      <c r="T409" s="2"/>
      <c r="U409" s="2"/>
      <c r="V409" s="2"/>
      <c r="W409" s="2"/>
      <c r="X409" s="2"/>
      <c r="Y409" s="2"/>
      <c r="Z409" s="2"/>
    </row>
    <row r="410">
      <c r="A410" s="2"/>
      <c r="B410" s="7"/>
      <c r="C410" s="7"/>
      <c r="D410" s="7"/>
      <c r="E410" s="7"/>
      <c r="F410" s="7"/>
      <c r="G410" s="7"/>
      <c r="H410" s="7"/>
      <c r="I410" s="7"/>
      <c r="J410" s="7"/>
      <c r="K410" s="7"/>
      <c r="L410" s="7"/>
      <c r="M410" s="7"/>
      <c r="N410" s="7"/>
      <c r="O410" s="2"/>
      <c r="P410" s="2"/>
      <c r="Q410" s="2"/>
      <c r="R410" s="2"/>
      <c r="S410" s="2"/>
      <c r="T410" s="2"/>
      <c r="U410" s="2"/>
      <c r="V410" s="2"/>
      <c r="W410" s="2"/>
      <c r="X410" s="2"/>
      <c r="Y410" s="2"/>
      <c r="Z410" s="2"/>
    </row>
    <row r="411">
      <c r="A411" s="2"/>
      <c r="B411" s="7"/>
      <c r="C411" s="7"/>
      <c r="D411" s="7"/>
      <c r="E411" s="7"/>
      <c r="F411" s="7"/>
      <c r="G411" s="7"/>
      <c r="H411" s="7"/>
      <c r="I411" s="7"/>
      <c r="J411" s="7"/>
      <c r="K411" s="7"/>
      <c r="L411" s="7"/>
      <c r="M411" s="7"/>
      <c r="N411" s="7"/>
      <c r="O411" s="2"/>
      <c r="P411" s="2"/>
      <c r="Q411" s="2"/>
      <c r="R411" s="2"/>
      <c r="S411" s="2"/>
      <c r="T411" s="2"/>
      <c r="U411" s="2"/>
      <c r="V411" s="2"/>
      <c r="W411" s="2"/>
      <c r="X411" s="2"/>
      <c r="Y411" s="2"/>
      <c r="Z411" s="2"/>
    </row>
    <row r="412">
      <c r="A412" s="2"/>
      <c r="B412" s="7"/>
      <c r="C412" s="7"/>
      <c r="D412" s="7"/>
      <c r="E412" s="7"/>
      <c r="F412" s="7"/>
      <c r="G412" s="7"/>
      <c r="H412" s="7"/>
      <c r="I412" s="7"/>
      <c r="J412" s="7"/>
      <c r="K412" s="7"/>
      <c r="L412" s="7"/>
      <c r="M412" s="7"/>
      <c r="N412" s="7"/>
      <c r="O412" s="2"/>
      <c r="P412" s="2"/>
      <c r="Q412" s="2"/>
      <c r="R412" s="2"/>
      <c r="S412" s="2"/>
      <c r="T412" s="2"/>
      <c r="U412" s="2"/>
      <c r="V412" s="2"/>
      <c r="W412" s="2"/>
      <c r="X412" s="2"/>
      <c r="Y412" s="2"/>
      <c r="Z412" s="2"/>
    </row>
    <row r="413">
      <c r="A413" s="2"/>
      <c r="B413" s="7"/>
      <c r="C413" s="7"/>
      <c r="D413" s="7"/>
      <c r="E413" s="7"/>
      <c r="F413" s="7"/>
      <c r="G413" s="7"/>
      <c r="H413" s="7"/>
      <c r="I413" s="7"/>
      <c r="J413" s="7"/>
      <c r="K413" s="7"/>
      <c r="L413" s="7"/>
      <c r="M413" s="7"/>
      <c r="N413" s="7"/>
      <c r="O413" s="2"/>
      <c r="P413" s="2"/>
      <c r="Q413" s="2"/>
      <c r="R413" s="2"/>
      <c r="S413" s="2"/>
      <c r="T413" s="2"/>
      <c r="U413" s="2"/>
      <c r="V413" s="2"/>
      <c r="W413" s="2"/>
      <c r="X413" s="2"/>
      <c r="Y413" s="2"/>
      <c r="Z413" s="2"/>
    </row>
    <row r="414">
      <c r="A414" s="2"/>
      <c r="B414" s="7"/>
      <c r="C414" s="7"/>
      <c r="D414" s="7"/>
      <c r="E414" s="7"/>
      <c r="F414" s="7"/>
      <c r="G414" s="7"/>
      <c r="H414" s="7"/>
      <c r="I414" s="7"/>
      <c r="J414" s="7"/>
      <c r="K414" s="7"/>
      <c r="L414" s="7"/>
      <c r="M414" s="7"/>
      <c r="N414" s="7"/>
      <c r="O414" s="2"/>
      <c r="P414" s="2"/>
      <c r="Q414" s="2"/>
      <c r="R414" s="2"/>
      <c r="S414" s="2"/>
      <c r="T414" s="2"/>
      <c r="U414" s="2"/>
      <c r="V414" s="2"/>
      <c r="W414" s="2"/>
      <c r="X414" s="2"/>
      <c r="Y414" s="2"/>
      <c r="Z414" s="2"/>
    </row>
    <row r="415">
      <c r="A415" s="2"/>
      <c r="B415" s="7"/>
      <c r="C415" s="7"/>
      <c r="D415" s="7"/>
      <c r="E415" s="7"/>
      <c r="F415" s="7"/>
      <c r="G415" s="7"/>
      <c r="H415" s="7"/>
      <c r="I415" s="7"/>
      <c r="J415" s="7"/>
      <c r="K415" s="7"/>
      <c r="L415" s="7"/>
      <c r="M415" s="7"/>
      <c r="N415" s="7"/>
      <c r="O415" s="2"/>
      <c r="P415" s="2"/>
      <c r="Q415" s="2"/>
      <c r="R415" s="2"/>
      <c r="S415" s="2"/>
      <c r="T415" s="2"/>
      <c r="U415" s="2"/>
      <c r="V415" s="2"/>
      <c r="W415" s="2"/>
      <c r="X415" s="2"/>
      <c r="Y415" s="2"/>
      <c r="Z415" s="2"/>
    </row>
    <row r="416">
      <c r="A416" s="2"/>
      <c r="B416" s="7"/>
      <c r="C416" s="7"/>
      <c r="D416" s="7"/>
      <c r="E416" s="7"/>
      <c r="F416" s="7"/>
      <c r="G416" s="7"/>
      <c r="H416" s="7"/>
      <c r="I416" s="7"/>
      <c r="J416" s="7"/>
      <c r="K416" s="7"/>
      <c r="L416" s="7"/>
      <c r="M416" s="7"/>
      <c r="N416" s="7"/>
      <c r="O416" s="2"/>
      <c r="P416" s="2"/>
      <c r="Q416" s="2"/>
      <c r="R416" s="2"/>
      <c r="S416" s="2"/>
      <c r="T416" s="2"/>
      <c r="U416" s="2"/>
      <c r="V416" s="2"/>
      <c r="W416" s="2"/>
      <c r="X416" s="2"/>
      <c r="Y416" s="2"/>
      <c r="Z416" s="2"/>
    </row>
    <row r="417">
      <c r="A417" s="2"/>
      <c r="B417" s="7"/>
      <c r="C417" s="7"/>
      <c r="D417" s="7"/>
      <c r="E417" s="7"/>
      <c r="F417" s="7"/>
      <c r="G417" s="7"/>
      <c r="H417" s="7"/>
      <c r="I417" s="7"/>
      <c r="J417" s="7"/>
      <c r="K417" s="7"/>
      <c r="L417" s="7"/>
      <c r="M417" s="7"/>
      <c r="N417" s="7"/>
      <c r="O417" s="2"/>
      <c r="P417" s="2"/>
      <c r="Q417" s="2"/>
      <c r="R417" s="2"/>
      <c r="S417" s="2"/>
      <c r="T417" s="2"/>
      <c r="U417" s="2"/>
      <c r="V417" s="2"/>
      <c r="W417" s="2"/>
      <c r="X417" s="2"/>
      <c r="Y417" s="2"/>
      <c r="Z417" s="2"/>
    </row>
    <row r="418">
      <c r="A418" s="2"/>
      <c r="B418" s="7"/>
      <c r="C418" s="7"/>
      <c r="D418" s="7"/>
      <c r="E418" s="7"/>
      <c r="F418" s="7"/>
      <c r="G418" s="7"/>
      <c r="H418" s="7"/>
      <c r="I418" s="7"/>
      <c r="J418" s="7"/>
      <c r="K418" s="7"/>
      <c r="L418" s="7"/>
      <c r="M418" s="7"/>
      <c r="N418" s="7"/>
      <c r="O418" s="2"/>
      <c r="P418" s="2"/>
      <c r="Q418" s="2"/>
      <c r="R418" s="2"/>
      <c r="S418" s="2"/>
      <c r="T418" s="2"/>
      <c r="U418" s="2"/>
      <c r="V418" s="2"/>
      <c r="W418" s="2"/>
      <c r="X418" s="2"/>
      <c r="Y418" s="2"/>
      <c r="Z418" s="2"/>
    </row>
    <row r="419">
      <c r="A419" s="2"/>
      <c r="B419" s="7"/>
      <c r="C419" s="7"/>
      <c r="D419" s="7"/>
      <c r="E419" s="7"/>
      <c r="F419" s="7"/>
      <c r="G419" s="7"/>
      <c r="H419" s="7"/>
      <c r="I419" s="7"/>
      <c r="J419" s="7"/>
      <c r="K419" s="7"/>
      <c r="L419" s="7"/>
      <c r="M419" s="7"/>
      <c r="N419" s="7"/>
      <c r="O419" s="2"/>
      <c r="P419" s="2"/>
      <c r="Q419" s="2"/>
      <c r="R419" s="2"/>
      <c r="S419" s="2"/>
      <c r="T419" s="2"/>
      <c r="U419" s="2"/>
      <c r="V419" s="2"/>
      <c r="W419" s="2"/>
      <c r="X419" s="2"/>
      <c r="Y419" s="2"/>
      <c r="Z419" s="2"/>
    </row>
    <row r="420">
      <c r="A420" s="2"/>
      <c r="B420" s="7"/>
      <c r="C420" s="7"/>
      <c r="D420" s="7"/>
      <c r="E420" s="7"/>
      <c r="F420" s="7"/>
      <c r="G420" s="7"/>
      <c r="H420" s="7"/>
      <c r="I420" s="7"/>
      <c r="J420" s="7"/>
      <c r="K420" s="7"/>
      <c r="L420" s="7"/>
      <c r="M420" s="7"/>
      <c r="N420" s="7"/>
      <c r="O420" s="2"/>
      <c r="P420" s="2"/>
      <c r="Q420" s="2"/>
      <c r="R420" s="2"/>
      <c r="S420" s="2"/>
      <c r="T420" s="2"/>
      <c r="U420" s="2"/>
      <c r="V420" s="2"/>
      <c r="W420" s="2"/>
      <c r="X420" s="2"/>
      <c r="Y420" s="2"/>
      <c r="Z420" s="2"/>
    </row>
    <row r="421">
      <c r="A421" s="2"/>
      <c r="B421" s="7"/>
      <c r="C421" s="7"/>
      <c r="D421" s="7"/>
      <c r="E421" s="7"/>
      <c r="F421" s="7"/>
      <c r="G421" s="7"/>
      <c r="H421" s="7"/>
      <c r="I421" s="7"/>
      <c r="J421" s="7"/>
      <c r="K421" s="7"/>
      <c r="L421" s="7"/>
      <c r="M421" s="7"/>
      <c r="N421" s="7"/>
      <c r="O421" s="2"/>
      <c r="P421" s="2"/>
      <c r="Q421" s="2"/>
      <c r="R421" s="2"/>
      <c r="S421" s="2"/>
      <c r="T421" s="2"/>
      <c r="U421" s="2"/>
      <c r="V421" s="2"/>
      <c r="W421" s="2"/>
      <c r="X421" s="2"/>
      <c r="Y421" s="2"/>
      <c r="Z421" s="2"/>
    </row>
    <row r="422">
      <c r="A422" s="2"/>
      <c r="B422" s="7"/>
      <c r="C422" s="7"/>
      <c r="D422" s="7"/>
      <c r="E422" s="7"/>
      <c r="F422" s="7"/>
      <c r="G422" s="7"/>
      <c r="H422" s="7"/>
      <c r="I422" s="7"/>
      <c r="J422" s="7"/>
      <c r="K422" s="7"/>
      <c r="L422" s="7"/>
      <c r="M422" s="7"/>
      <c r="N422" s="7"/>
      <c r="O422" s="2"/>
      <c r="P422" s="2"/>
      <c r="Q422" s="2"/>
      <c r="R422" s="2"/>
      <c r="S422" s="2"/>
      <c r="T422" s="2"/>
      <c r="U422" s="2"/>
      <c r="V422" s="2"/>
      <c r="W422" s="2"/>
      <c r="X422" s="2"/>
      <c r="Y422" s="2"/>
      <c r="Z422" s="2"/>
    </row>
    <row r="423">
      <c r="A423" s="2"/>
      <c r="B423" s="7"/>
      <c r="C423" s="7"/>
      <c r="D423" s="7"/>
      <c r="E423" s="7"/>
      <c r="F423" s="7"/>
      <c r="G423" s="7"/>
      <c r="H423" s="7"/>
      <c r="I423" s="7"/>
      <c r="J423" s="7"/>
      <c r="K423" s="7"/>
      <c r="L423" s="7"/>
      <c r="M423" s="7"/>
      <c r="N423" s="7"/>
      <c r="O423" s="2"/>
      <c r="P423" s="2"/>
      <c r="Q423" s="2"/>
      <c r="R423" s="2"/>
      <c r="S423" s="2"/>
      <c r="T423" s="2"/>
      <c r="U423" s="2"/>
      <c r="V423" s="2"/>
      <c r="W423" s="2"/>
      <c r="X423" s="2"/>
      <c r="Y423" s="2"/>
      <c r="Z423" s="2"/>
    </row>
    <row r="424">
      <c r="A424" s="2"/>
      <c r="B424" s="7"/>
      <c r="C424" s="7"/>
      <c r="D424" s="7"/>
      <c r="E424" s="7"/>
      <c r="F424" s="7"/>
      <c r="G424" s="7"/>
      <c r="H424" s="7"/>
      <c r="I424" s="7"/>
      <c r="J424" s="7"/>
      <c r="K424" s="7"/>
      <c r="L424" s="7"/>
      <c r="M424" s="7"/>
      <c r="N424" s="7"/>
      <c r="O424" s="2"/>
      <c r="P424" s="2"/>
      <c r="Q424" s="2"/>
      <c r="R424" s="2"/>
      <c r="S424" s="2"/>
      <c r="T424" s="2"/>
      <c r="U424" s="2"/>
      <c r="V424" s="2"/>
      <c r="W424" s="2"/>
      <c r="X424" s="2"/>
      <c r="Y424" s="2"/>
      <c r="Z424" s="2"/>
    </row>
    <row r="425">
      <c r="A425" s="2"/>
      <c r="B425" s="7"/>
      <c r="C425" s="7"/>
      <c r="D425" s="7"/>
      <c r="E425" s="7"/>
      <c r="F425" s="7"/>
      <c r="G425" s="7"/>
      <c r="H425" s="7"/>
      <c r="I425" s="7"/>
      <c r="J425" s="7"/>
      <c r="K425" s="7"/>
      <c r="L425" s="7"/>
      <c r="M425" s="7"/>
      <c r="N425" s="7"/>
      <c r="O425" s="2"/>
      <c r="P425" s="2"/>
      <c r="Q425" s="2"/>
      <c r="R425" s="2"/>
      <c r="S425" s="2"/>
      <c r="T425" s="2"/>
      <c r="U425" s="2"/>
      <c r="V425" s="2"/>
      <c r="W425" s="2"/>
      <c r="X425" s="2"/>
      <c r="Y425" s="2"/>
      <c r="Z425" s="2"/>
    </row>
    <row r="426">
      <c r="A426" s="2"/>
      <c r="B426" s="7"/>
      <c r="C426" s="7"/>
      <c r="D426" s="7"/>
      <c r="E426" s="7"/>
      <c r="F426" s="7"/>
      <c r="G426" s="7"/>
      <c r="H426" s="7"/>
      <c r="I426" s="7"/>
      <c r="J426" s="7"/>
      <c r="K426" s="7"/>
      <c r="L426" s="7"/>
      <c r="M426" s="7"/>
      <c r="N426" s="7"/>
      <c r="O426" s="2"/>
      <c r="P426" s="2"/>
      <c r="Q426" s="2"/>
      <c r="R426" s="2"/>
      <c r="S426" s="2"/>
      <c r="T426" s="2"/>
      <c r="U426" s="2"/>
      <c r="V426" s="2"/>
      <c r="W426" s="2"/>
      <c r="X426" s="2"/>
      <c r="Y426" s="2"/>
      <c r="Z426" s="2"/>
    </row>
    <row r="427">
      <c r="A427" s="2"/>
      <c r="B427" s="7"/>
      <c r="C427" s="7"/>
      <c r="D427" s="7"/>
      <c r="E427" s="7"/>
      <c r="F427" s="7"/>
      <c r="G427" s="7"/>
      <c r="H427" s="7"/>
      <c r="I427" s="7"/>
      <c r="J427" s="7"/>
      <c r="K427" s="7"/>
      <c r="L427" s="7"/>
      <c r="M427" s="7"/>
      <c r="N427" s="7"/>
      <c r="O427" s="2"/>
      <c r="P427" s="2"/>
      <c r="Q427" s="2"/>
      <c r="R427" s="2"/>
      <c r="S427" s="2"/>
      <c r="T427" s="2"/>
      <c r="U427" s="2"/>
      <c r="V427" s="2"/>
      <c r="W427" s="2"/>
      <c r="X427" s="2"/>
      <c r="Y427" s="2"/>
      <c r="Z427" s="2"/>
    </row>
    <row r="428">
      <c r="A428" s="2"/>
      <c r="B428" s="7"/>
      <c r="C428" s="7"/>
      <c r="D428" s="7"/>
      <c r="E428" s="7"/>
      <c r="F428" s="7"/>
      <c r="G428" s="7"/>
      <c r="H428" s="7"/>
      <c r="I428" s="7"/>
      <c r="J428" s="7"/>
      <c r="K428" s="7"/>
      <c r="L428" s="7"/>
      <c r="M428" s="7"/>
      <c r="N428" s="7"/>
      <c r="O428" s="2"/>
      <c r="P428" s="2"/>
      <c r="Q428" s="2"/>
      <c r="R428" s="2"/>
      <c r="S428" s="2"/>
      <c r="T428" s="2"/>
      <c r="U428" s="2"/>
      <c r="V428" s="2"/>
      <c r="W428" s="2"/>
      <c r="X428" s="2"/>
      <c r="Y428" s="2"/>
      <c r="Z428" s="2"/>
    </row>
    <row r="429">
      <c r="A429" s="2"/>
      <c r="B429" s="7"/>
      <c r="C429" s="7"/>
      <c r="D429" s="7"/>
      <c r="E429" s="7"/>
      <c r="F429" s="7"/>
      <c r="G429" s="7"/>
      <c r="H429" s="7"/>
      <c r="I429" s="7"/>
      <c r="J429" s="7"/>
      <c r="K429" s="7"/>
      <c r="L429" s="7"/>
      <c r="M429" s="7"/>
      <c r="N429" s="7"/>
      <c r="O429" s="2"/>
      <c r="P429" s="2"/>
      <c r="Q429" s="2"/>
      <c r="R429" s="2"/>
      <c r="S429" s="2"/>
      <c r="T429" s="2"/>
      <c r="U429" s="2"/>
      <c r="V429" s="2"/>
      <c r="W429" s="2"/>
      <c r="X429" s="2"/>
      <c r="Y429" s="2"/>
      <c r="Z429" s="2"/>
    </row>
    <row r="430">
      <c r="A430" s="2"/>
      <c r="B430" s="7"/>
      <c r="C430" s="7"/>
      <c r="D430" s="7"/>
      <c r="E430" s="7"/>
      <c r="F430" s="7"/>
      <c r="G430" s="7"/>
      <c r="H430" s="7"/>
      <c r="I430" s="7"/>
      <c r="J430" s="7"/>
      <c r="K430" s="7"/>
      <c r="L430" s="7"/>
      <c r="M430" s="7"/>
      <c r="N430" s="7"/>
      <c r="O430" s="2"/>
      <c r="P430" s="2"/>
      <c r="Q430" s="2"/>
      <c r="R430" s="2"/>
      <c r="S430" s="2"/>
      <c r="T430" s="2"/>
      <c r="U430" s="2"/>
      <c r="V430" s="2"/>
      <c r="W430" s="2"/>
      <c r="X430" s="2"/>
      <c r="Y430" s="2"/>
      <c r="Z430" s="2"/>
    </row>
    <row r="431">
      <c r="A431" s="2"/>
      <c r="B431" s="7"/>
      <c r="C431" s="7"/>
      <c r="D431" s="7"/>
      <c r="E431" s="7"/>
      <c r="F431" s="7"/>
      <c r="G431" s="7"/>
      <c r="H431" s="7"/>
      <c r="I431" s="7"/>
      <c r="J431" s="7"/>
      <c r="K431" s="7"/>
      <c r="L431" s="7"/>
      <c r="M431" s="7"/>
      <c r="N431" s="7"/>
      <c r="O431" s="2"/>
      <c r="P431" s="2"/>
      <c r="Q431" s="2"/>
      <c r="R431" s="2"/>
      <c r="S431" s="2"/>
      <c r="T431" s="2"/>
      <c r="U431" s="2"/>
      <c r="V431" s="2"/>
      <c r="W431" s="2"/>
      <c r="X431" s="2"/>
      <c r="Y431" s="2"/>
      <c r="Z431" s="2"/>
    </row>
    <row r="432">
      <c r="A432" s="2"/>
      <c r="B432" s="7"/>
      <c r="C432" s="7"/>
      <c r="D432" s="7"/>
      <c r="E432" s="7"/>
      <c r="F432" s="7"/>
      <c r="G432" s="7"/>
      <c r="H432" s="7"/>
      <c r="I432" s="7"/>
      <c r="J432" s="7"/>
      <c r="K432" s="7"/>
      <c r="L432" s="7"/>
      <c r="M432" s="7"/>
      <c r="N432" s="7"/>
      <c r="O432" s="2"/>
      <c r="P432" s="2"/>
      <c r="Q432" s="2"/>
      <c r="R432" s="2"/>
      <c r="S432" s="2"/>
      <c r="T432" s="2"/>
      <c r="U432" s="2"/>
      <c r="V432" s="2"/>
      <c r="W432" s="2"/>
      <c r="X432" s="2"/>
      <c r="Y432" s="2"/>
      <c r="Z432" s="2"/>
    </row>
    <row r="433">
      <c r="A433" s="2"/>
      <c r="B433" s="7"/>
      <c r="C433" s="7"/>
      <c r="D433" s="7"/>
      <c r="E433" s="7"/>
      <c r="F433" s="7"/>
      <c r="G433" s="7"/>
      <c r="H433" s="7"/>
      <c r="I433" s="7"/>
      <c r="J433" s="7"/>
      <c r="K433" s="7"/>
      <c r="L433" s="7"/>
      <c r="M433" s="7"/>
      <c r="N433" s="7"/>
      <c r="O433" s="2"/>
      <c r="P433" s="2"/>
      <c r="Q433" s="2"/>
      <c r="R433" s="2"/>
      <c r="S433" s="2"/>
      <c r="T433" s="2"/>
      <c r="U433" s="2"/>
      <c r="V433" s="2"/>
      <c r="W433" s="2"/>
      <c r="X433" s="2"/>
      <c r="Y433" s="2"/>
      <c r="Z433" s="2"/>
    </row>
    <row r="434">
      <c r="A434" s="2"/>
      <c r="B434" s="7"/>
      <c r="C434" s="7"/>
      <c r="D434" s="7"/>
      <c r="E434" s="7"/>
      <c r="F434" s="7"/>
      <c r="G434" s="7"/>
      <c r="H434" s="7"/>
      <c r="I434" s="7"/>
      <c r="J434" s="7"/>
      <c r="K434" s="7"/>
      <c r="L434" s="7"/>
      <c r="M434" s="7"/>
      <c r="N434" s="7"/>
      <c r="O434" s="2"/>
      <c r="P434" s="2"/>
      <c r="Q434" s="2"/>
      <c r="R434" s="2"/>
      <c r="S434" s="2"/>
      <c r="T434" s="2"/>
      <c r="U434" s="2"/>
      <c r="V434" s="2"/>
      <c r="W434" s="2"/>
      <c r="X434" s="2"/>
      <c r="Y434" s="2"/>
      <c r="Z434" s="2"/>
    </row>
    <row r="435">
      <c r="A435" s="2"/>
      <c r="B435" s="7"/>
      <c r="C435" s="7"/>
      <c r="D435" s="7"/>
      <c r="E435" s="7"/>
      <c r="F435" s="7"/>
      <c r="G435" s="7"/>
      <c r="H435" s="7"/>
      <c r="I435" s="7"/>
      <c r="J435" s="7"/>
      <c r="K435" s="7"/>
      <c r="L435" s="7"/>
      <c r="M435" s="7"/>
      <c r="N435" s="7"/>
      <c r="O435" s="2"/>
      <c r="P435" s="2"/>
      <c r="Q435" s="2"/>
      <c r="R435" s="2"/>
      <c r="S435" s="2"/>
      <c r="T435" s="2"/>
      <c r="U435" s="2"/>
      <c r="V435" s="2"/>
      <c r="W435" s="2"/>
      <c r="X435" s="2"/>
      <c r="Y435" s="2"/>
      <c r="Z435" s="2"/>
    </row>
    <row r="436">
      <c r="A436" s="2"/>
      <c r="B436" s="7"/>
      <c r="C436" s="7"/>
      <c r="D436" s="7"/>
      <c r="E436" s="7"/>
      <c r="F436" s="7"/>
      <c r="G436" s="7"/>
      <c r="H436" s="7"/>
      <c r="I436" s="7"/>
      <c r="J436" s="7"/>
      <c r="K436" s="7"/>
      <c r="L436" s="7"/>
      <c r="M436" s="7"/>
      <c r="N436" s="7"/>
      <c r="O436" s="2"/>
      <c r="P436" s="2"/>
      <c r="Q436" s="2"/>
      <c r="R436" s="2"/>
      <c r="S436" s="2"/>
      <c r="T436" s="2"/>
      <c r="U436" s="2"/>
      <c r="V436" s="2"/>
      <c r="W436" s="2"/>
      <c r="X436" s="2"/>
      <c r="Y436" s="2"/>
      <c r="Z436" s="2"/>
    </row>
    <row r="437">
      <c r="A437" s="2"/>
      <c r="B437" s="7"/>
      <c r="C437" s="7"/>
      <c r="D437" s="7"/>
      <c r="E437" s="7"/>
      <c r="F437" s="7"/>
      <c r="G437" s="7"/>
      <c r="H437" s="7"/>
      <c r="I437" s="7"/>
      <c r="J437" s="7"/>
      <c r="K437" s="7"/>
      <c r="L437" s="7"/>
      <c r="M437" s="7"/>
      <c r="N437" s="7"/>
      <c r="O437" s="2"/>
      <c r="P437" s="2"/>
      <c r="Q437" s="2"/>
      <c r="R437" s="2"/>
      <c r="S437" s="2"/>
      <c r="T437" s="2"/>
      <c r="U437" s="2"/>
      <c r="V437" s="2"/>
      <c r="W437" s="2"/>
      <c r="X437" s="2"/>
      <c r="Y437" s="2"/>
      <c r="Z437" s="2"/>
    </row>
    <row r="438">
      <c r="A438" s="2"/>
      <c r="B438" s="7"/>
      <c r="C438" s="7"/>
      <c r="D438" s="7"/>
      <c r="E438" s="7"/>
      <c r="F438" s="7"/>
      <c r="G438" s="7"/>
      <c r="H438" s="7"/>
      <c r="I438" s="7"/>
      <c r="J438" s="7"/>
      <c r="K438" s="7"/>
      <c r="L438" s="7"/>
      <c r="M438" s="7"/>
      <c r="N438" s="7"/>
      <c r="O438" s="2"/>
      <c r="P438" s="2"/>
      <c r="Q438" s="2"/>
      <c r="R438" s="2"/>
      <c r="S438" s="2"/>
      <c r="T438" s="2"/>
      <c r="U438" s="2"/>
      <c r="V438" s="2"/>
      <c r="W438" s="2"/>
      <c r="X438" s="2"/>
      <c r="Y438" s="2"/>
      <c r="Z438" s="2"/>
    </row>
    <row r="439">
      <c r="A439" s="2"/>
      <c r="B439" s="7"/>
      <c r="C439" s="7"/>
      <c r="D439" s="7"/>
      <c r="E439" s="7"/>
      <c r="F439" s="7"/>
      <c r="G439" s="7"/>
      <c r="H439" s="7"/>
      <c r="I439" s="7"/>
      <c r="J439" s="7"/>
      <c r="K439" s="7"/>
      <c r="L439" s="7"/>
      <c r="M439" s="7"/>
      <c r="N439" s="7"/>
      <c r="O439" s="2"/>
      <c r="P439" s="2"/>
      <c r="Q439" s="2"/>
      <c r="R439" s="2"/>
      <c r="S439" s="2"/>
      <c r="T439" s="2"/>
      <c r="U439" s="2"/>
      <c r="V439" s="2"/>
      <c r="W439" s="2"/>
      <c r="X439" s="2"/>
      <c r="Y439" s="2"/>
      <c r="Z439" s="2"/>
    </row>
    <row r="440">
      <c r="A440" s="2"/>
      <c r="B440" s="7"/>
      <c r="C440" s="7"/>
      <c r="D440" s="7"/>
      <c r="E440" s="7"/>
      <c r="F440" s="7"/>
      <c r="G440" s="7"/>
      <c r="H440" s="7"/>
      <c r="I440" s="7"/>
      <c r="J440" s="7"/>
      <c r="K440" s="7"/>
      <c r="L440" s="7"/>
      <c r="M440" s="7"/>
      <c r="N440" s="7"/>
      <c r="O440" s="2"/>
      <c r="P440" s="2"/>
      <c r="Q440" s="2"/>
      <c r="R440" s="2"/>
      <c r="S440" s="2"/>
      <c r="T440" s="2"/>
      <c r="U440" s="2"/>
      <c r="V440" s="2"/>
      <c r="W440" s="2"/>
      <c r="X440" s="2"/>
      <c r="Y440" s="2"/>
      <c r="Z440" s="2"/>
    </row>
    <row r="441">
      <c r="A441" s="2"/>
      <c r="B441" s="7"/>
      <c r="C441" s="7"/>
      <c r="D441" s="7"/>
      <c r="E441" s="7"/>
      <c r="F441" s="7"/>
      <c r="G441" s="7"/>
      <c r="H441" s="7"/>
      <c r="I441" s="7"/>
      <c r="J441" s="7"/>
      <c r="K441" s="7"/>
      <c r="L441" s="7"/>
      <c r="M441" s="7"/>
      <c r="N441" s="7"/>
      <c r="O441" s="2"/>
      <c r="P441" s="2"/>
      <c r="Q441" s="2"/>
      <c r="R441" s="2"/>
      <c r="S441" s="2"/>
      <c r="T441" s="2"/>
      <c r="U441" s="2"/>
      <c r="V441" s="2"/>
      <c r="W441" s="2"/>
      <c r="X441" s="2"/>
      <c r="Y441" s="2"/>
      <c r="Z441" s="2"/>
    </row>
    <row r="442">
      <c r="A442" s="2"/>
      <c r="B442" s="7"/>
      <c r="C442" s="7"/>
      <c r="D442" s="7"/>
      <c r="E442" s="7"/>
      <c r="F442" s="7"/>
      <c r="G442" s="7"/>
      <c r="H442" s="7"/>
      <c r="I442" s="7"/>
      <c r="J442" s="7"/>
      <c r="K442" s="7"/>
      <c r="L442" s="7"/>
      <c r="M442" s="7"/>
      <c r="N442" s="7"/>
      <c r="O442" s="2"/>
      <c r="P442" s="2"/>
      <c r="Q442" s="2"/>
      <c r="R442" s="2"/>
      <c r="S442" s="2"/>
      <c r="T442" s="2"/>
      <c r="U442" s="2"/>
      <c r="V442" s="2"/>
      <c r="W442" s="2"/>
      <c r="X442" s="2"/>
      <c r="Y442" s="2"/>
      <c r="Z442" s="2"/>
    </row>
    <row r="443">
      <c r="A443" s="2"/>
      <c r="B443" s="7"/>
      <c r="C443" s="7"/>
      <c r="D443" s="7"/>
      <c r="E443" s="7"/>
      <c r="F443" s="7"/>
      <c r="G443" s="7"/>
      <c r="H443" s="7"/>
      <c r="I443" s="7"/>
      <c r="J443" s="7"/>
      <c r="K443" s="7"/>
      <c r="L443" s="7"/>
      <c r="M443" s="7"/>
      <c r="N443" s="7"/>
      <c r="O443" s="2"/>
      <c r="P443" s="2"/>
      <c r="Q443" s="2"/>
      <c r="R443" s="2"/>
      <c r="S443" s="2"/>
      <c r="T443" s="2"/>
      <c r="U443" s="2"/>
      <c r="V443" s="2"/>
      <c r="W443" s="2"/>
      <c r="X443" s="2"/>
      <c r="Y443" s="2"/>
      <c r="Z443" s="2"/>
    </row>
    <row r="444">
      <c r="A444" s="2"/>
      <c r="B444" s="7"/>
      <c r="C444" s="7"/>
      <c r="D444" s="7"/>
      <c r="E444" s="7"/>
      <c r="F444" s="7"/>
      <c r="G444" s="7"/>
      <c r="H444" s="7"/>
      <c r="I444" s="7"/>
      <c r="J444" s="7"/>
      <c r="K444" s="7"/>
      <c r="L444" s="7"/>
      <c r="M444" s="7"/>
      <c r="N444" s="7"/>
      <c r="O444" s="2"/>
      <c r="P444" s="2"/>
      <c r="Q444" s="2"/>
      <c r="R444" s="2"/>
      <c r="S444" s="2"/>
      <c r="T444" s="2"/>
      <c r="U444" s="2"/>
      <c r="V444" s="2"/>
      <c r="W444" s="2"/>
      <c r="X444" s="2"/>
      <c r="Y444" s="2"/>
      <c r="Z444" s="2"/>
    </row>
    <row r="445">
      <c r="A445" s="2"/>
      <c r="B445" s="7"/>
      <c r="C445" s="7"/>
      <c r="D445" s="7"/>
      <c r="E445" s="7"/>
      <c r="F445" s="7"/>
      <c r="G445" s="7"/>
      <c r="H445" s="7"/>
      <c r="I445" s="7"/>
      <c r="J445" s="7"/>
      <c r="K445" s="7"/>
      <c r="L445" s="7"/>
      <c r="M445" s="7"/>
      <c r="N445" s="7"/>
      <c r="O445" s="2"/>
      <c r="P445" s="2"/>
      <c r="Q445" s="2"/>
      <c r="R445" s="2"/>
      <c r="S445" s="2"/>
      <c r="T445" s="2"/>
      <c r="U445" s="2"/>
      <c r="V445" s="2"/>
      <c r="W445" s="2"/>
      <c r="X445" s="2"/>
      <c r="Y445" s="2"/>
      <c r="Z445" s="2"/>
    </row>
    <row r="446">
      <c r="A446" s="2"/>
      <c r="B446" s="7"/>
      <c r="C446" s="7"/>
      <c r="D446" s="7"/>
      <c r="E446" s="7"/>
      <c r="F446" s="7"/>
      <c r="G446" s="7"/>
      <c r="H446" s="7"/>
      <c r="I446" s="7"/>
      <c r="J446" s="7"/>
      <c r="K446" s="7"/>
      <c r="L446" s="7"/>
      <c r="M446" s="7"/>
      <c r="N446" s="7"/>
      <c r="O446" s="2"/>
      <c r="P446" s="2"/>
      <c r="Q446" s="2"/>
      <c r="R446" s="2"/>
      <c r="S446" s="2"/>
      <c r="T446" s="2"/>
      <c r="U446" s="2"/>
      <c r="V446" s="2"/>
      <c r="W446" s="2"/>
      <c r="X446" s="2"/>
      <c r="Y446" s="2"/>
      <c r="Z446" s="2"/>
    </row>
    <row r="447">
      <c r="A447" s="2"/>
      <c r="B447" s="7"/>
      <c r="C447" s="7"/>
      <c r="D447" s="7"/>
      <c r="E447" s="7"/>
      <c r="F447" s="7"/>
      <c r="G447" s="7"/>
      <c r="H447" s="7"/>
      <c r="I447" s="7"/>
      <c r="J447" s="7"/>
      <c r="K447" s="7"/>
      <c r="L447" s="7"/>
      <c r="M447" s="7"/>
      <c r="N447" s="7"/>
      <c r="O447" s="2"/>
      <c r="P447" s="2"/>
      <c r="Q447" s="2"/>
      <c r="R447" s="2"/>
      <c r="S447" s="2"/>
      <c r="T447" s="2"/>
      <c r="U447" s="2"/>
      <c r="V447" s="2"/>
      <c r="W447" s="2"/>
      <c r="X447" s="2"/>
      <c r="Y447" s="2"/>
      <c r="Z447" s="2"/>
    </row>
    <row r="448">
      <c r="A448" s="2"/>
      <c r="B448" s="7"/>
      <c r="C448" s="7"/>
      <c r="D448" s="7"/>
      <c r="E448" s="7"/>
      <c r="F448" s="7"/>
      <c r="G448" s="7"/>
      <c r="H448" s="7"/>
      <c r="I448" s="7"/>
      <c r="J448" s="7"/>
      <c r="K448" s="7"/>
      <c r="L448" s="7"/>
      <c r="M448" s="7"/>
      <c r="N448" s="7"/>
      <c r="O448" s="2"/>
      <c r="P448" s="2"/>
      <c r="Q448" s="2"/>
      <c r="R448" s="2"/>
      <c r="S448" s="2"/>
      <c r="T448" s="2"/>
      <c r="U448" s="2"/>
      <c r="V448" s="2"/>
      <c r="W448" s="2"/>
      <c r="X448" s="2"/>
      <c r="Y448" s="2"/>
      <c r="Z448" s="2"/>
    </row>
    <row r="449">
      <c r="A449" s="2"/>
      <c r="B449" s="7"/>
      <c r="C449" s="7"/>
      <c r="D449" s="7"/>
      <c r="E449" s="7"/>
      <c r="F449" s="7"/>
      <c r="G449" s="7"/>
      <c r="H449" s="7"/>
      <c r="I449" s="7"/>
      <c r="J449" s="7"/>
      <c r="K449" s="7"/>
      <c r="L449" s="7"/>
      <c r="M449" s="7"/>
      <c r="N449" s="7"/>
      <c r="O449" s="2"/>
      <c r="P449" s="2"/>
      <c r="Q449" s="2"/>
      <c r="R449" s="2"/>
      <c r="S449" s="2"/>
      <c r="T449" s="2"/>
      <c r="U449" s="2"/>
      <c r="V449" s="2"/>
      <c r="W449" s="2"/>
      <c r="X449" s="2"/>
      <c r="Y449" s="2"/>
      <c r="Z449" s="2"/>
    </row>
    <row r="450">
      <c r="A450" s="2"/>
      <c r="B450" s="7"/>
      <c r="C450" s="7"/>
      <c r="D450" s="7"/>
      <c r="E450" s="7"/>
      <c r="F450" s="7"/>
      <c r="G450" s="7"/>
      <c r="H450" s="7"/>
      <c r="I450" s="7"/>
      <c r="J450" s="7"/>
      <c r="K450" s="7"/>
      <c r="L450" s="7"/>
      <c r="M450" s="7"/>
      <c r="N450" s="7"/>
      <c r="O450" s="2"/>
      <c r="P450" s="2"/>
      <c r="Q450" s="2"/>
      <c r="R450" s="2"/>
      <c r="S450" s="2"/>
      <c r="T450" s="2"/>
      <c r="U450" s="2"/>
      <c r="V450" s="2"/>
      <c r="W450" s="2"/>
      <c r="X450" s="2"/>
      <c r="Y450" s="2"/>
      <c r="Z450" s="2"/>
    </row>
    <row r="451">
      <c r="A451" s="2"/>
      <c r="B451" s="7"/>
      <c r="C451" s="7"/>
      <c r="D451" s="7"/>
      <c r="E451" s="7"/>
      <c r="F451" s="7"/>
      <c r="G451" s="7"/>
      <c r="H451" s="7"/>
      <c r="I451" s="7"/>
      <c r="J451" s="7"/>
      <c r="K451" s="7"/>
      <c r="L451" s="7"/>
      <c r="M451" s="7"/>
      <c r="N451" s="7"/>
      <c r="O451" s="2"/>
      <c r="P451" s="2"/>
      <c r="Q451" s="2"/>
      <c r="R451" s="2"/>
      <c r="S451" s="2"/>
      <c r="T451" s="2"/>
      <c r="U451" s="2"/>
      <c r="V451" s="2"/>
      <c r="W451" s="2"/>
      <c r="X451" s="2"/>
      <c r="Y451" s="2"/>
      <c r="Z451" s="2"/>
    </row>
    <row r="452">
      <c r="A452" s="2"/>
      <c r="B452" s="7"/>
      <c r="C452" s="7"/>
      <c r="D452" s="7"/>
      <c r="E452" s="7"/>
      <c r="F452" s="7"/>
      <c r="G452" s="7"/>
      <c r="H452" s="7"/>
      <c r="I452" s="7"/>
      <c r="J452" s="7"/>
      <c r="K452" s="7"/>
      <c r="L452" s="7"/>
      <c r="M452" s="7"/>
      <c r="N452" s="7"/>
      <c r="O452" s="2"/>
      <c r="P452" s="2"/>
      <c r="Q452" s="2"/>
      <c r="R452" s="2"/>
      <c r="S452" s="2"/>
      <c r="T452" s="2"/>
      <c r="U452" s="2"/>
      <c r="V452" s="2"/>
      <c r="W452" s="2"/>
      <c r="X452" s="2"/>
      <c r="Y452" s="2"/>
      <c r="Z452" s="2"/>
    </row>
    <row r="453">
      <c r="A453" s="2"/>
      <c r="B453" s="7"/>
      <c r="C453" s="7"/>
      <c r="D453" s="7"/>
      <c r="E453" s="7"/>
      <c r="F453" s="7"/>
      <c r="G453" s="7"/>
      <c r="H453" s="7"/>
      <c r="I453" s="7"/>
      <c r="J453" s="7"/>
      <c r="K453" s="7"/>
      <c r="L453" s="7"/>
      <c r="M453" s="7"/>
      <c r="N453" s="7"/>
      <c r="O453" s="2"/>
      <c r="P453" s="2"/>
      <c r="Q453" s="2"/>
      <c r="R453" s="2"/>
      <c r="S453" s="2"/>
      <c r="T453" s="2"/>
      <c r="U453" s="2"/>
      <c r="V453" s="2"/>
      <c r="W453" s="2"/>
      <c r="X453" s="2"/>
      <c r="Y453" s="2"/>
      <c r="Z453" s="2"/>
    </row>
    <row r="454">
      <c r="A454" s="2"/>
      <c r="B454" s="7"/>
      <c r="C454" s="7"/>
      <c r="D454" s="7"/>
      <c r="E454" s="7"/>
      <c r="F454" s="7"/>
      <c r="G454" s="7"/>
      <c r="H454" s="7"/>
      <c r="I454" s="7"/>
      <c r="J454" s="7"/>
      <c r="K454" s="7"/>
      <c r="L454" s="7"/>
      <c r="M454" s="7"/>
      <c r="N454" s="7"/>
      <c r="O454" s="2"/>
      <c r="P454" s="2"/>
      <c r="Q454" s="2"/>
      <c r="R454" s="2"/>
      <c r="S454" s="2"/>
      <c r="T454" s="2"/>
      <c r="U454" s="2"/>
      <c r="V454" s="2"/>
      <c r="W454" s="2"/>
      <c r="X454" s="2"/>
      <c r="Y454" s="2"/>
      <c r="Z454" s="2"/>
    </row>
    <row r="455">
      <c r="A455" s="2"/>
      <c r="B455" s="7"/>
      <c r="C455" s="7"/>
      <c r="D455" s="7"/>
      <c r="E455" s="7"/>
      <c r="F455" s="7"/>
      <c r="G455" s="7"/>
      <c r="H455" s="7"/>
      <c r="I455" s="7"/>
      <c r="J455" s="7"/>
      <c r="K455" s="7"/>
      <c r="L455" s="7"/>
      <c r="M455" s="7"/>
      <c r="N455" s="7"/>
      <c r="O455" s="2"/>
      <c r="P455" s="2"/>
      <c r="Q455" s="2"/>
      <c r="R455" s="2"/>
      <c r="S455" s="2"/>
      <c r="T455" s="2"/>
      <c r="U455" s="2"/>
      <c r="V455" s="2"/>
      <c r="W455" s="2"/>
      <c r="X455" s="2"/>
      <c r="Y455" s="2"/>
      <c r="Z455" s="2"/>
    </row>
    <row r="456">
      <c r="A456" s="2"/>
      <c r="B456" s="7"/>
      <c r="C456" s="7"/>
      <c r="D456" s="7"/>
      <c r="E456" s="7"/>
      <c r="F456" s="7"/>
      <c r="G456" s="7"/>
      <c r="H456" s="7"/>
      <c r="I456" s="7"/>
      <c r="J456" s="7"/>
      <c r="K456" s="7"/>
      <c r="L456" s="7"/>
      <c r="M456" s="7"/>
      <c r="N456" s="7"/>
      <c r="O456" s="2"/>
      <c r="P456" s="2"/>
      <c r="Q456" s="2"/>
      <c r="R456" s="2"/>
      <c r="S456" s="2"/>
      <c r="T456" s="2"/>
      <c r="U456" s="2"/>
      <c r="V456" s="2"/>
      <c r="W456" s="2"/>
      <c r="X456" s="2"/>
      <c r="Y456" s="2"/>
      <c r="Z456" s="2"/>
    </row>
    <row r="457">
      <c r="A457" s="2"/>
      <c r="B457" s="7"/>
      <c r="C457" s="7"/>
      <c r="D457" s="7"/>
      <c r="E457" s="7"/>
      <c r="F457" s="7"/>
      <c r="G457" s="7"/>
      <c r="H457" s="7"/>
      <c r="I457" s="7"/>
      <c r="J457" s="7"/>
      <c r="K457" s="7"/>
      <c r="L457" s="7"/>
      <c r="M457" s="7"/>
      <c r="N457" s="7"/>
      <c r="O457" s="2"/>
      <c r="P457" s="2"/>
      <c r="Q457" s="2"/>
      <c r="R457" s="2"/>
      <c r="S457" s="2"/>
      <c r="T457" s="2"/>
      <c r="U457" s="2"/>
      <c r="V457" s="2"/>
      <c r="W457" s="2"/>
      <c r="X457" s="2"/>
      <c r="Y457" s="2"/>
      <c r="Z457" s="2"/>
    </row>
    <row r="458">
      <c r="A458" s="2"/>
      <c r="B458" s="7"/>
      <c r="C458" s="7"/>
      <c r="D458" s="7"/>
      <c r="E458" s="7"/>
      <c r="F458" s="7"/>
      <c r="G458" s="7"/>
      <c r="H458" s="7"/>
      <c r="I458" s="7"/>
      <c r="J458" s="7"/>
      <c r="K458" s="7"/>
      <c r="L458" s="7"/>
      <c r="M458" s="7"/>
      <c r="N458" s="7"/>
      <c r="O458" s="2"/>
      <c r="P458" s="2"/>
      <c r="Q458" s="2"/>
      <c r="R458" s="2"/>
      <c r="S458" s="2"/>
      <c r="T458" s="2"/>
      <c r="U458" s="2"/>
      <c r="V458" s="2"/>
      <c r="W458" s="2"/>
      <c r="X458" s="2"/>
      <c r="Y458" s="2"/>
      <c r="Z458" s="2"/>
    </row>
    <row r="459">
      <c r="A459" s="2"/>
      <c r="B459" s="7"/>
      <c r="C459" s="7"/>
      <c r="D459" s="7"/>
      <c r="E459" s="7"/>
      <c r="F459" s="7"/>
      <c r="G459" s="7"/>
      <c r="H459" s="7"/>
      <c r="I459" s="7"/>
      <c r="J459" s="7"/>
      <c r="K459" s="7"/>
      <c r="L459" s="7"/>
      <c r="M459" s="7"/>
      <c r="N459" s="7"/>
      <c r="O459" s="2"/>
      <c r="P459" s="2"/>
      <c r="Q459" s="2"/>
      <c r="R459" s="2"/>
      <c r="S459" s="2"/>
      <c r="T459" s="2"/>
      <c r="U459" s="2"/>
      <c r="V459" s="2"/>
      <c r="W459" s="2"/>
      <c r="X459" s="2"/>
      <c r="Y459" s="2"/>
      <c r="Z459" s="2"/>
    </row>
    <row r="460">
      <c r="A460" s="2"/>
      <c r="B460" s="7"/>
      <c r="C460" s="7"/>
      <c r="D460" s="7"/>
      <c r="E460" s="7"/>
      <c r="F460" s="7"/>
      <c r="G460" s="7"/>
      <c r="H460" s="7"/>
      <c r="I460" s="7"/>
      <c r="J460" s="7"/>
      <c r="K460" s="7"/>
      <c r="L460" s="7"/>
      <c r="M460" s="7"/>
      <c r="N460" s="7"/>
      <c r="O460" s="2"/>
      <c r="P460" s="2"/>
      <c r="Q460" s="2"/>
      <c r="R460" s="2"/>
      <c r="S460" s="2"/>
      <c r="T460" s="2"/>
      <c r="U460" s="2"/>
      <c r="V460" s="2"/>
      <c r="W460" s="2"/>
      <c r="X460" s="2"/>
      <c r="Y460" s="2"/>
      <c r="Z460" s="2"/>
    </row>
    <row r="461">
      <c r="A461" s="2"/>
      <c r="B461" s="7"/>
      <c r="C461" s="7"/>
      <c r="D461" s="7"/>
      <c r="E461" s="7"/>
      <c r="F461" s="7"/>
      <c r="G461" s="7"/>
      <c r="H461" s="7"/>
      <c r="I461" s="7"/>
      <c r="J461" s="7"/>
      <c r="K461" s="7"/>
      <c r="L461" s="7"/>
      <c r="M461" s="7"/>
      <c r="N461" s="7"/>
      <c r="O461" s="2"/>
      <c r="P461" s="2"/>
      <c r="Q461" s="2"/>
      <c r="R461" s="2"/>
      <c r="S461" s="2"/>
      <c r="T461" s="2"/>
      <c r="U461" s="2"/>
      <c r="V461" s="2"/>
      <c r="W461" s="2"/>
      <c r="X461" s="2"/>
      <c r="Y461" s="2"/>
      <c r="Z461" s="2"/>
    </row>
    <row r="462">
      <c r="A462" s="2"/>
      <c r="B462" s="7"/>
      <c r="C462" s="7"/>
      <c r="D462" s="7"/>
      <c r="E462" s="7"/>
      <c r="F462" s="7"/>
      <c r="G462" s="7"/>
      <c r="H462" s="7"/>
      <c r="I462" s="7"/>
      <c r="J462" s="7"/>
      <c r="K462" s="7"/>
      <c r="L462" s="7"/>
      <c r="M462" s="7"/>
      <c r="N462" s="7"/>
      <c r="O462" s="2"/>
      <c r="P462" s="2"/>
      <c r="Q462" s="2"/>
      <c r="R462" s="2"/>
      <c r="S462" s="2"/>
      <c r="T462" s="2"/>
      <c r="U462" s="2"/>
      <c r="V462" s="2"/>
      <c r="W462" s="2"/>
      <c r="X462" s="2"/>
      <c r="Y462" s="2"/>
      <c r="Z462" s="2"/>
    </row>
    <row r="463">
      <c r="A463" s="2"/>
      <c r="B463" s="7"/>
      <c r="C463" s="7"/>
      <c r="D463" s="7"/>
      <c r="E463" s="7"/>
      <c r="F463" s="7"/>
      <c r="G463" s="7"/>
      <c r="H463" s="7"/>
      <c r="I463" s="7"/>
      <c r="J463" s="7"/>
      <c r="K463" s="7"/>
      <c r="L463" s="7"/>
      <c r="M463" s="7"/>
      <c r="N463" s="7"/>
      <c r="O463" s="2"/>
      <c r="P463" s="2"/>
      <c r="Q463" s="2"/>
      <c r="R463" s="2"/>
      <c r="S463" s="2"/>
      <c r="T463" s="2"/>
      <c r="U463" s="2"/>
      <c r="V463" s="2"/>
      <c r="W463" s="2"/>
      <c r="X463" s="2"/>
      <c r="Y463" s="2"/>
      <c r="Z463" s="2"/>
    </row>
    <row r="464">
      <c r="A464" s="2"/>
      <c r="B464" s="7"/>
      <c r="C464" s="7"/>
      <c r="D464" s="7"/>
      <c r="E464" s="7"/>
      <c r="F464" s="7"/>
      <c r="G464" s="7"/>
      <c r="H464" s="7"/>
      <c r="I464" s="7"/>
      <c r="J464" s="7"/>
      <c r="K464" s="7"/>
      <c r="L464" s="7"/>
      <c r="M464" s="7"/>
      <c r="N464" s="7"/>
      <c r="O464" s="2"/>
      <c r="P464" s="2"/>
      <c r="Q464" s="2"/>
      <c r="R464" s="2"/>
      <c r="S464" s="2"/>
      <c r="T464" s="2"/>
      <c r="U464" s="2"/>
      <c r="V464" s="2"/>
      <c r="W464" s="2"/>
      <c r="X464" s="2"/>
      <c r="Y464" s="2"/>
      <c r="Z464" s="2"/>
    </row>
    <row r="465">
      <c r="A465" s="2"/>
      <c r="B465" s="7"/>
      <c r="C465" s="7"/>
      <c r="D465" s="7"/>
      <c r="E465" s="7"/>
      <c r="F465" s="7"/>
      <c r="G465" s="7"/>
      <c r="H465" s="7"/>
      <c r="I465" s="7"/>
      <c r="J465" s="7"/>
      <c r="K465" s="7"/>
      <c r="L465" s="7"/>
      <c r="M465" s="7"/>
      <c r="N465" s="7"/>
      <c r="O465" s="2"/>
      <c r="P465" s="2"/>
      <c r="Q465" s="2"/>
      <c r="R465" s="2"/>
      <c r="S465" s="2"/>
      <c r="T465" s="2"/>
      <c r="U465" s="2"/>
      <c r="V465" s="2"/>
      <c r="W465" s="2"/>
      <c r="X465" s="2"/>
      <c r="Y465" s="2"/>
      <c r="Z465" s="2"/>
    </row>
    <row r="466">
      <c r="A466" s="2"/>
      <c r="B466" s="7"/>
      <c r="C466" s="7"/>
      <c r="D466" s="7"/>
      <c r="E466" s="7"/>
      <c r="F466" s="7"/>
      <c r="G466" s="7"/>
      <c r="H466" s="7"/>
      <c r="I466" s="7"/>
      <c r="J466" s="7"/>
      <c r="K466" s="7"/>
      <c r="L466" s="7"/>
      <c r="M466" s="7"/>
      <c r="N466" s="7"/>
      <c r="O466" s="2"/>
      <c r="P466" s="2"/>
      <c r="Q466" s="2"/>
      <c r="R466" s="2"/>
      <c r="S466" s="2"/>
      <c r="T466" s="2"/>
      <c r="U466" s="2"/>
      <c r="V466" s="2"/>
      <c r="W466" s="2"/>
      <c r="X466" s="2"/>
      <c r="Y466" s="2"/>
      <c r="Z466" s="2"/>
    </row>
    <row r="467">
      <c r="A467" s="2"/>
      <c r="B467" s="7"/>
      <c r="C467" s="7"/>
      <c r="D467" s="7"/>
      <c r="E467" s="7"/>
      <c r="F467" s="7"/>
      <c r="G467" s="7"/>
      <c r="H467" s="7"/>
      <c r="I467" s="7"/>
      <c r="J467" s="7"/>
      <c r="K467" s="7"/>
      <c r="L467" s="7"/>
      <c r="M467" s="7"/>
      <c r="N467" s="7"/>
      <c r="O467" s="2"/>
      <c r="P467" s="2"/>
      <c r="Q467" s="2"/>
      <c r="R467" s="2"/>
      <c r="S467" s="2"/>
      <c r="T467" s="2"/>
      <c r="U467" s="2"/>
      <c r="V467" s="2"/>
      <c r="W467" s="2"/>
      <c r="X467" s="2"/>
      <c r="Y467" s="2"/>
      <c r="Z467" s="2"/>
    </row>
    <row r="468">
      <c r="A468" s="2"/>
      <c r="B468" s="7"/>
      <c r="C468" s="7"/>
      <c r="D468" s="7"/>
      <c r="E468" s="7"/>
      <c r="F468" s="7"/>
      <c r="G468" s="7"/>
      <c r="H468" s="7"/>
      <c r="I468" s="7"/>
      <c r="J468" s="7"/>
      <c r="K468" s="7"/>
      <c r="L468" s="7"/>
      <c r="M468" s="7"/>
      <c r="N468" s="7"/>
      <c r="O468" s="2"/>
      <c r="P468" s="2"/>
      <c r="Q468" s="2"/>
      <c r="R468" s="2"/>
      <c r="S468" s="2"/>
      <c r="T468" s="2"/>
      <c r="U468" s="2"/>
      <c r="V468" s="2"/>
      <c r="W468" s="2"/>
      <c r="X468" s="2"/>
      <c r="Y468" s="2"/>
      <c r="Z468" s="2"/>
    </row>
    <row r="469">
      <c r="A469" s="2"/>
      <c r="B469" s="7"/>
      <c r="C469" s="7"/>
      <c r="D469" s="7"/>
      <c r="E469" s="7"/>
      <c r="F469" s="7"/>
      <c r="G469" s="7"/>
      <c r="H469" s="7"/>
      <c r="I469" s="7"/>
      <c r="J469" s="7"/>
      <c r="K469" s="7"/>
      <c r="L469" s="7"/>
      <c r="M469" s="7"/>
      <c r="N469" s="7"/>
      <c r="O469" s="2"/>
      <c r="P469" s="2"/>
      <c r="Q469" s="2"/>
      <c r="R469" s="2"/>
      <c r="S469" s="2"/>
      <c r="T469" s="2"/>
      <c r="U469" s="2"/>
      <c r="V469" s="2"/>
      <c r="W469" s="2"/>
      <c r="X469" s="2"/>
      <c r="Y469" s="2"/>
      <c r="Z469" s="2"/>
    </row>
    <row r="470">
      <c r="A470" s="2"/>
      <c r="B470" s="7"/>
      <c r="C470" s="7"/>
      <c r="D470" s="7"/>
      <c r="E470" s="7"/>
      <c r="F470" s="7"/>
      <c r="G470" s="7"/>
      <c r="H470" s="7"/>
      <c r="I470" s="7"/>
      <c r="J470" s="7"/>
      <c r="K470" s="7"/>
      <c r="L470" s="7"/>
      <c r="M470" s="7"/>
      <c r="N470" s="7"/>
      <c r="O470" s="2"/>
      <c r="P470" s="2"/>
      <c r="Q470" s="2"/>
      <c r="R470" s="2"/>
      <c r="S470" s="2"/>
      <c r="T470" s="2"/>
      <c r="U470" s="2"/>
      <c r="V470" s="2"/>
      <c r="W470" s="2"/>
      <c r="X470" s="2"/>
      <c r="Y470" s="2"/>
      <c r="Z470" s="2"/>
    </row>
    <row r="471">
      <c r="A471" s="2"/>
      <c r="B471" s="7"/>
      <c r="C471" s="7"/>
      <c r="D471" s="7"/>
      <c r="E471" s="7"/>
      <c r="F471" s="7"/>
      <c r="G471" s="7"/>
      <c r="H471" s="7"/>
      <c r="I471" s="7"/>
      <c r="J471" s="7"/>
      <c r="K471" s="7"/>
      <c r="L471" s="7"/>
      <c r="M471" s="7"/>
      <c r="N471" s="7"/>
      <c r="O471" s="2"/>
      <c r="P471" s="2"/>
      <c r="Q471" s="2"/>
      <c r="R471" s="2"/>
      <c r="S471" s="2"/>
      <c r="T471" s="2"/>
      <c r="U471" s="2"/>
      <c r="V471" s="2"/>
      <c r="W471" s="2"/>
      <c r="X471" s="2"/>
      <c r="Y471" s="2"/>
      <c r="Z471" s="2"/>
    </row>
    <row r="472">
      <c r="A472" s="2"/>
      <c r="B472" s="7"/>
      <c r="C472" s="7"/>
      <c r="D472" s="7"/>
      <c r="E472" s="7"/>
      <c r="F472" s="7"/>
      <c r="G472" s="7"/>
      <c r="H472" s="7"/>
      <c r="I472" s="7"/>
      <c r="J472" s="7"/>
      <c r="K472" s="7"/>
      <c r="L472" s="7"/>
      <c r="M472" s="7"/>
      <c r="N472" s="7"/>
      <c r="O472" s="2"/>
      <c r="P472" s="2"/>
      <c r="Q472" s="2"/>
      <c r="R472" s="2"/>
      <c r="S472" s="2"/>
      <c r="T472" s="2"/>
      <c r="U472" s="2"/>
      <c r="V472" s="2"/>
      <c r="W472" s="2"/>
      <c r="X472" s="2"/>
      <c r="Y472" s="2"/>
      <c r="Z472" s="2"/>
    </row>
    <row r="473">
      <c r="A473" s="2"/>
      <c r="B473" s="7"/>
      <c r="C473" s="7"/>
      <c r="D473" s="7"/>
      <c r="E473" s="7"/>
      <c r="F473" s="7"/>
      <c r="G473" s="7"/>
      <c r="H473" s="7"/>
      <c r="I473" s="7"/>
      <c r="J473" s="7"/>
      <c r="K473" s="7"/>
      <c r="L473" s="7"/>
      <c r="M473" s="7"/>
      <c r="N473" s="7"/>
      <c r="O473" s="2"/>
      <c r="P473" s="2"/>
      <c r="Q473" s="2"/>
      <c r="R473" s="2"/>
      <c r="S473" s="2"/>
      <c r="T473" s="2"/>
      <c r="U473" s="2"/>
      <c r="V473" s="2"/>
      <c r="W473" s="2"/>
      <c r="X473" s="2"/>
      <c r="Y473" s="2"/>
      <c r="Z473" s="2"/>
    </row>
    <row r="474">
      <c r="A474" s="2"/>
      <c r="B474" s="7"/>
      <c r="C474" s="7"/>
      <c r="D474" s="7"/>
      <c r="E474" s="7"/>
      <c r="F474" s="7"/>
      <c r="G474" s="7"/>
      <c r="H474" s="7"/>
      <c r="I474" s="7"/>
      <c r="J474" s="7"/>
      <c r="K474" s="7"/>
      <c r="L474" s="7"/>
      <c r="M474" s="7"/>
      <c r="N474" s="7"/>
      <c r="O474" s="2"/>
      <c r="P474" s="2"/>
      <c r="Q474" s="2"/>
      <c r="R474" s="2"/>
      <c r="S474" s="2"/>
      <c r="T474" s="2"/>
      <c r="U474" s="2"/>
      <c r="V474" s="2"/>
      <c r="W474" s="2"/>
      <c r="X474" s="2"/>
      <c r="Y474" s="2"/>
      <c r="Z474" s="2"/>
    </row>
    <row r="475">
      <c r="A475" s="2"/>
      <c r="B475" s="7"/>
      <c r="C475" s="7"/>
      <c r="D475" s="7"/>
      <c r="E475" s="7"/>
      <c r="F475" s="7"/>
      <c r="G475" s="7"/>
      <c r="H475" s="7"/>
      <c r="I475" s="7"/>
      <c r="J475" s="7"/>
      <c r="K475" s="7"/>
      <c r="L475" s="7"/>
      <c r="M475" s="7"/>
      <c r="N475" s="7"/>
      <c r="O475" s="2"/>
      <c r="P475" s="2"/>
      <c r="Q475" s="2"/>
      <c r="R475" s="2"/>
      <c r="S475" s="2"/>
      <c r="T475" s="2"/>
      <c r="U475" s="2"/>
      <c r="V475" s="2"/>
      <c r="W475" s="2"/>
      <c r="X475" s="2"/>
      <c r="Y475" s="2"/>
      <c r="Z475" s="2"/>
    </row>
    <row r="476">
      <c r="A476" s="2"/>
      <c r="B476" s="7"/>
      <c r="C476" s="7"/>
      <c r="D476" s="7"/>
      <c r="E476" s="7"/>
      <c r="F476" s="7"/>
      <c r="G476" s="7"/>
      <c r="H476" s="7"/>
      <c r="I476" s="7"/>
      <c r="J476" s="7"/>
      <c r="K476" s="7"/>
      <c r="L476" s="7"/>
      <c r="M476" s="7"/>
      <c r="N476" s="7"/>
      <c r="O476" s="2"/>
      <c r="P476" s="2"/>
      <c r="Q476" s="2"/>
      <c r="R476" s="2"/>
      <c r="S476" s="2"/>
      <c r="T476" s="2"/>
      <c r="U476" s="2"/>
      <c r="V476" s="2"/>
      <c r="W476" s="2"/>
      <c r="X476" s="2"/>
      <c r="Y476" s="2"/>
      <c r="Z476" s="2"/>
    </row>
    <row r="477">
      <c r="A477" s="2"/>
      <c r="B477" s="7"/>
      <c r="C477" s="7"/>
      <c r="D477" s="7"/>
      <c r="E477" s="7"/>
      <c r="F477" s="7"/>
      <c r="G477" s="7"/>
      <c r="H477" s="7"/>
      <c r="I477" s="7"/>
      <c r="J477" s="7"/>
      <c r="K477" s="7"/>
      <c r="L477" s="7"/>
      <c r="M477" s="7"/>
      <c r="N477" s="7"/>
      <c r="O477" s="2"/>
      <c r="P477" s="2"/>
      <c r="Q477" s="2"/>
      <c r="R477" s="2"/>
      <c r="S477" s="2"/>
      <c r="T477" s="2"/>
      <c r="U477" s="2"/>
      <c r="V477" s="2"/>
      <c r="W477" s="2"/>
      <c r="X477" s="2"/>
      <c r="Y477" s="2"/>
      <c r="Z477" s="2"/>
    </row>
    <row r="478">
      <c r="A478" s="2"/>
      <c r="B478" s="7"/>
      <c r="C478" s="7"/>
      <c r="D478" s="7"/>
      <c r="E478" s="7"/>
      <c r="F478" s="7"/>
      <c r="G478" s="7"/>
      <c r="H478" s="7"/>
      <c r="I478" s="7"/>
      <c r="J478" s="7"/>
      <c r="K478" s="7"/>
      <c r="L478" s="7"/>
      <c r="M478" s="7"/>
      <c r="N478" s="7"/>
      <c r="O478" s="2"/>
      <c r="P478" s="2"/>
      <c r="Q478" s="2"/>
      <c r="R478" s="2"/>
      <c r="S478" s="2"/>
      <c r="T478" s="2"/>
      <c r="U478" s="2"/>
      <c r="V478" s="2"/>
      <c r="W478" s="2"/>
      <c r="X478" s="2"/>
      <c r="Y478" s="2"/>
      <c r="Z478" s="2"/>
    </row>
    <row r="479">
      <c r="A479" s="2"/>
      <c r="B479" s="7"/>
      <c r="C479" s="7"/>
      <c r="D479" s="7"/>
      <c r="E479" s="7"/>
      <c r="F479" s="7"/>
      <c r="G479" s="7"/>
      <c r="H479" s="7"/>
      <c r="I479" s="7"/>
      <c r="J479" s="7"/>
      <c r="K479" s="7"/>
      <c r="L479" s="7"/>
      <c r="M479" s="7"/>
      <c r="N479" s="7"/>
      <c r="O479" s="2"/>
      <c r="P479" s="2"/>
      <c r="Q479" s="2"/>
      <c r="R479" s="2"/>
      <c r="S479" s="2"/>
      <c r="T479" s="2"/>
      <c r="U479" s="2"/>
      <c r="V479" s="2"/>
      <c r="W479" s="2"/>
      <c r="X479" s="2"/>
      <c r="Y479" s="2"/>
      <c r="Z479" s="2"/>
    </row>
    <row r="480">
      <c r="A480" s="2"/>
      <c r="B480" s="7"/>
      <c r="C480" s="7"/>
      <c r="D480" s="7"/>
      <c r="E480" s="7"/>
      <c r="F480" s="7"/>
      <c r="G480" s="7"/>
      <c r="H480" s="7"/>
      <c r="I480" s="7"/>
      <c r="J480" s="7"/>
      <c r="K480" s="7"/>
      <c r="L480" s="7"/>
      <c r="M480" s="7"/>
      <c r="N480" s="7"/>
      <c r="O480" s="2"/>
      <c r="P480" s="2"/>
      <c r="Q480" s="2"/>
      <c r="R480" s="2"/>
      <c r="S480" s="2"/>
      <c r="T480" s="2"/>
      <c r="U480" s="2"/>
      <c r="V480" s="2"/>
      <c r="W480" s="2"/>
      <c r="X480" s="2"/>
      <c r="Y480" s="2"/>
      <c r="Z480" s="2"/>
    </row>
    <row r="481">
      <c r="A481" s="2"/>
      <c r="B481" s="7"/>
      <c r="C481" s="7"/>
      <c r="D481" s="7"/>
      <c r="E481" s="7"/>
      <c r="F481" s="7"/>
      <c r="G481" s="7"/>
      <c r="H481" s="7"/>
      <c r="I481" s="7"/>
      <c r="J481" s="7"/>
      <c r="K481" s="7"/>
      <c r="L481" s="7"/>
      <c r="M481" s="7"/>
      <c r="N481" s="7"/>
      <c r="O481" s="2"/>
      <c r="P481" s="2"/>
      <c r="Q481" s="2"/>
      <c r="R481" s="2"/>
      <c r="S481" s="2"/>
      <c r="T481" s="2"/>
      <c r="U481" s="2"/>
      <c r="V481" s="2"/>
      <c r="W481" s="2"/>
      <c r="X481" s="2"/>
      <c r="Y481" s="2"/>
      <c r="Z481" s="2"/>
    </row>
    <row r="482">
      <c r="A482" s="2"/>
      <c r="B482" s="7"/>
      <c r="C482" s="7"/>
      <c r="D482" s="7"/>
      <c r="E482" s="7"/>
      <c r="F482" s="7"/>
      <c r="G482" s="7"/>
      <c r="H482" s="7"/>
      <c r="I482" s="7"/>
      <c r="J482" s="7"/>
      <c r="K482" s="7"/>
      <c r="L482" s="7"/>
      <c r="M482" s="7"/>
      <c r="N482" s="7"/>
      <c r="O482" s="2"/>
      <c r="P482" s="2"/>
      <c r="Q482" s="2"/>
      <c r="R482" s="2"/>
      <c r="S482" s="2"/>
      <c r="T482" s="2"/>
      <c r="U482" s="2"/>
      <c r="V482" s="2"/>
      <c r="W482" s="2"/>
      <c r="X482" s="2"/>
      <c r="Y482" s="2"/>
      <c r="Z482" s="2"/>
    </row>
    <row r="483">
      <c r="A483" s="2"/>
      <c r="B483" s="7"/>
      <c r="C483" s="7"/>
      <c r="D483" s="7"/>
      <c r="E483" s="7"/>
      <c r="F483" s="7"/>
      <c r="G483" s="7"/>
      <c r="H483" s="7"/>
      <c r="I483" s="7"/>
      <c r="J483" s="7"/>
      <c r="K483" s="7"/>
      <c r="L483" s="7"/>
      <c r="M483" s="7"/>
      <c r="N483" s="7"/>
      <c r="O483" s="2"/>
      <c r="P483" s="2"/>
      <c r="Q483" s="2"/>
      <c r="R483" s="2"/>
      <c r="S483" s="2"/>
      <c r="T483" s="2"/>
      <c r="U483" s="2"/>
      <c r="V483" s="2"/>
      <c r="W483" s="2"/>
      <c r="X483" s="2"/>
      <c r="Y483" s="2"/>
      <c r="Z483" s="2"/>
    </row>
    <row r="484">
      <c r="A484" s="2"/>
      <c r="B484" s="7"/>
      <c r="C484" s="7"/>
      <c r="D484" s="7"/>
      <c r="E484" s="7"/>
      <c r="F484" s="7"/>
      <c r="G484" s="7"/>
      <c r="H484" s="7"/>
      <c r="I484" s="7"/>
      <c r="J484" s="7"/>
      <c r="K484" s="7"/>
      <c r="L484" s="7"/>
      <c r="M484" s="7"/>
      <c r="N484" s="7"/>
      <c r="O484" s="2"/>
      <c r="P484" s="2"/>
      <c r="Q484" s="2"/>
      <c r="R484" s="2"/>
      <c r="S484" s="2"/>
      <c r="T484" s="2"/>
      <c r="U484" s="2"/>
      <c r="V484" s="2"/>
      <c r="W484" s="2"/>
      <c r="X484" s="2"/>
      <c r="Y484" s="2"/>
      <c r="Z484" s="2"/>
    </row>
    <row r="485">
      <c r="A485" s="2"/>
      <c r="B485" s="7"/>
      <c r="C485" s="7"/>
      <c r="D485" s="7"/>
      <c r="E485" s="7"/>
      <c r="F485" s="7"/>
      <c r="G485" s="7"/>
      <c r="H485" s="7"/>
      <c r="I485" s="7"/>
      <c r="J485" s="7"/>
      <c r="K485" s="7"/>
      <c r="L485" s="7"/>
      <c r="M485" s="7"/>
      <c r="N485" s="7"/>
      <c r="O485" s="2"/>
      <c r="P485" s="2"/>
      <c r="Q485" s="2"/>
      <c r="R485" s="2"/>
      <c r="S485" s="2"/>
      <c r="T485" s="2"/>
      <c r="U485" s="2"/>
      <c r="V485" s="2"/>
      <c r="W485" s="2"/>
      <c r="X485" s="2"/>
      <c r="Y485" s="2"/>
      <c r="Z485" s="2"/>
    </row>
    <row r="486">
      <c r="A486" s="2"/>
      <c r="B486" s="7"/>
      <c r="C486" s="7"/>
      <c r="D486" s="7"/>
      <c r="E486" s="7"/>
      <c r="F486" s="7"/>
      <c r="G486" s="7"/>
      <c r="H486" s="7"/>
      <c r="I486" s="7"/>
      <c r="J486" s="7"/>
      <c r="K486" s="7"/>
      <c r="L486" s="7"/>
      <c r="M486" s="7"/>
      <c r="N486" s="7"/>
      <c r="O486" s="2"/>
      <c r="P486" s="2"/>
      <c r="Q486" s="2"/>
      <c r="R486" s="2"/>
      <c r="S486" s="2"/>
      <c r="T486" s="2"/>
      <c r="U486" s="2"/>
      <c r="V486" s="2"/>
      <c r="W486" s="2"/>
      <c r="X486" s="2"/>
      <c r="Y486" s="2"/>
      <c r="Z486" s="2"/>
    </row>
    <row r="487">
      <c r="A487" s="2"/>
      <c r="B487" s="7"/>
      <c r="C487" s="7"/>
      <c r="D487" s="7"/>
      <c r="E487" s="7"/>
      <c r="F487" s="7"/>
      <c r="G487" s="7"/>
      <c r="H487" s="7"/>
      <c r="I487" s="7"/>
      <c r="J487" s="7"/>
      <c r="K487" s="7"/>
      <c r="L487" s="7"/>
      <c r="M487" s="7"/>
      <c r="N487" s="7"/>
      <c r="O487" s="2"/>
      <c r="P487" s="2"/>
      <c r="Q487" s="2"/>
      <c r="R487" s="2"/>
      <c r="S487" s="2"/>
      <c r="T487" s="2"/>
      <c r="U487" s="2"/>
      <c r="V487" s="2"/>
      <c r="W487" s="2"/>
      <c r="X487" s="2"/>
      <c r="Y487" s="2"/>
      <c r="Z487" s="2"/>
    </row>
    <row r="488">
      <c r="A488" s="2"/>
      <c r="B488" s="7"/>
      <c r="C488" s="7"/>
      <c r="D488" s="7"/>
      <c r="E488" s="7"/>
      <c r="F488" s="7"/>
      <c r="G488" s="7"/>
      <c r="H488" s="7"/>
      <c r="I488" s="7"/>
      <c r="J488" s="7"/>
      <c r="K488" s="7"/>
      <c r="L488" s="7"/>
      <c r="M488" s="7"/>
      <c r="N488" s="7"/>
      <c r="O488" s="2"/>
      <c r="P488" s="2"/>
      <c r="Q488" s="2"/>
      <c r="R488" s="2"/>
      <c r="S488" s="2"/>
      <c r="T488" s="2"/>
      <c r="U488" s="2"/>
      <c r="V488" s="2"/>
      <c r="W488" s="2"/>
      <c r="X488" s="2"/>
      <c r="Y488" s="2"/>
      <c r="Z488" s="2"/>
    </row>
    <row r="489">
      <c r="A489" s="2"/>
      <c r="B489" s="7"/>
      <c r="C489" s="7"/>
      <c r="D489" s="7"/>
      <c r="E489" s="7"/>
      <c r="F489" s="7"/>
      <c r="G489" s="7"/>
      <c r="H489" s="7"/>
      <c r="I489" s="7"/>
      <c r="J489" s="7"/>
      <c r="K489" s="7"/>
      <c r="L489" s="7"/>
      <c r="M489" s="7"/>
      <c r="N489" s="7"/>
      <c r="O489" s="2"/>
      <c r="P489" s="2"/>
      <c r="Q489" s="2"/>
      <c r="R489" s="2"/>
      <c r="S489" s="2"/>
      <c r="T489" s="2"/>
      <c r="U489" s="2"/>
      <c r="V489" s="2"/>
      <c r="W489" s="2"/>
      <c r="X489" s="2"/>
      <c r="Y489" s="2"/>
      <c r="Z489" s="2"/>
    </row>
    <row r="490">
      <c r="A490" s="2"/>
      <c r="B490" s="7"/>
      <c r="C490" s="7"/>
      <c r="D490" s="7"/>
      <c r="E490" s="7"/>
      <c r="F490" s="7"/>
      <c r="G490" s="7"/>
      <c r="H490" s="7"/>
      <c r="I490" s="7"/>
      <c r="J490" s="7"/>
      <c r="K490" s="7"/>
      <c r="L490" s="7"/>
      <c r="M490" s="7"/>
      <c r="N490" s="7"/>
      <c r="O490" s="2"/>
      <c r="P490" s="2"/>
      <c r="Q490" s="2"/>
      <c r="R490" s="2"/>
      <c r="S490" s="2"/>
      <c r="T490" s="2"/>
      <c r="U490" s="2"/>
      <c r="V490" s="2"/>
      <c r="W490" s="2"/>
      <c r="X490" s="2"/>
      <c r="Y490" s="2"/>
      <c r="Z490" s="2"/>
    </row>
    <row r="491">
      <c r="A491" s="2"/>
      <c r="B491" s="7"/>
      <c r="C491" s="7"/>
      <c r="D491" s="7"/>
      <c r="E491" s="7"/>
      <c r="F491" s="7"/>
      <c r="G491" s="7"/>
      <c r="H491" s="7"/>
      <c r="I491" s="7"/>
      <c r="J491" s="7"/>
      <c r="K491" s="7"/>
      <c r="L491" s="7"/>
      <c r="M491" s="7"/>
      <c r="N491" s="7"/>
      <c r="O491" s="2"/>
      <c r="P491" s="2"/>
      <c r="Q491" s="2"/>
      <c r="R491" s="2"/>
      <c r="S491" s="2"/>
      <c r="T491" s="2"/>
      <c r="U491" s="2"/>
      <c r="V491" s="2"/>
      <c r="W491" s="2"/>
      <c r="X491" s="2"/>
      <c r="Y491" s="2"/>
      <c r="Z491" s="2"/>
    </row>
    <row r="492">
      <c r="A492" s="2"/>
      <c r="B492" s="7"/>
      <c r="C492" s="7"/>
      <c r="D492" s="7"/>
      <c r="E492" s="7"/>
      <c r="F492" s="7"/>
      <c r="G492" s="7"/>
      <c r="H492" s="7"/>
      <c r="I492" s="7"/>
      <c r="J492" s="7"/>
      <c r="K492" s="7"/>
      <c r="L492" s="7"/>
      <c r="M492" s="7"/>
      <c r="N492" s="7"/>
      <c r="O492" s="2"/>
      <c r="P492" s="2"/>
      <c r="Q492" s="2"/>
      <c r="R492" s="2"/>
      <c r="S492" s="2"/>
      <c r="T492" s="2"/>
      <c r="U492" s="2"/>
      <c r="V492" s="2"/>
      <c r="W492" s="2"/>
      <c r="X492" s="2"/>
      <c r="Y492" s="2"/>
      <c r="Z492" s="2"/>
    </row>
    <row r="493">
      <c r="A493" s="2"/>
      <c r="B493" s="7"/>
      <c r="C493" s="7"/>
      <c r="D493" s="7"/>
      <c r="E493" s="7"/>
      <c r="F493" s="7"/>
      <c r="G493" s="7"/>
      <c r="H493" s="7"/>
      <c r="I493" s="7"/>
      <c r="J493" s="7"/>
      <c r="K493" s="7"/>
      <c r="L493" s="7"/>
      <c r="M493" s="7"/>
      <c r="N493" s="7"/>
      <c r="O493" s="2"/>
      <c r="P493" s="2"/>
      <c r="Q493" s="2"/>
      <c r="R493" s="2"/>
      <c r="S493" s="2"/>
      <c r="T493" s="2"/>
      <c r="U493" s="2"/>
      <c r="V493" s="2"/>
      <c r="W493" s="2"/>
      <c r="X493" s="2"/>
      <c r="Y493" s="2"/>
      <c r="Z493" s="2"/>
    </row>
    <row r="494">
      <c r="A494" s="2"/>
      <c r="B494" s="7"/>
      <c r="C494" s="7"/>
      <c r="D494" s="7"/>
      <c r="E494" s="7"/>
      <c r="F494" s="7"/>
      <c r="G494" s="7"/>
      <c r="H494" s="7"/>
      <c r="I494" s="7"/>
      <c r="J494" s="7"/>
      <c r="K494" s="7"/>
      <c r="L494" s="7"/>
      <c r="M494" s="7"/>
      <c r="N494" s="7"/>
      <c r="O494" s="2"/>
      <c r="P494" s="2"/>
      <c r="Q494" s="2"/>
      <c r="R494" s="2"/>
      <c r="S494" s="2"/>
      <c r="T494" s="2"/>
      <c r="U494" s="2"/>
      <c r="V494" s="2"/>
      <c r="W494" s="2"/>
      <c r="X494" s="2"/>
      <c r="Y494" s="2"/>
      <c r="Z494" s="2"/>
    </row>
    <row r="495">
      <c r="A495" s="2"/>
      <c r="B495" s="7"/>
      <c r="C495" s="7"/>
      <c r="D495" s="7"/>
      <c r="E495" s="7"/>
      <c r="F495" s="7"/>
      <c r="G495" s="7"/>
      <c r="H495" s="7"/>
      <c r="I495" s="7"/>
      <c r="J495" s="7"/>
      <c r="K495" s="7"/>
      <c r="L495" s="7"/>
      <c r="M495" s="7"/>
      <c r="N495" s="7"/>
      <c r="O495" s="2"/>
      <c r="P495" s="2"/>
      <c r="Q495" s="2"/>
      <c r="R495" s="2"/>
      <c r="S495" s="2"/>
      <c r="T495" s="2"/>
      <c r="U495" s="2"/>
      <c r="V495" s="2"/>
      <c r="W495" s="2"/>
      <c r="X495" s="2"/>
      <c r="Y495" s="2"/>
      <c r="Z495" s="2"/>
    </row>
    <row r="496">
      <c r="A496" s="2"/>
      <c r="B496" s="7"/>
      <c r="C496" s="7"/>
      <c r="D496" s="7"/>
      <c r="E496" s="7"/>
      <c r="F496" s="7"/>
      <c r="G496" s="7"/>
      <c r="H496" s="7"/>
      <c r="I496" s="7"/>
      <c r="J496" s="7"/>
      <c r="K496" s="7"/>
      <c r="L496" s="7"/>
      <c r="M496" s="7"/>
      <c r="N496" s="7"/>
      <c r="O496" s="2"/>
      <c r="P496" s="2"/>
      <c r="Q496" s="2"/>
      <c r="R496" s="2"/>
      <c r="S496" s="2"/>
      <c r="T496" s="2"/>
      <c r="U496" s="2"/>
      <c r="V496" s="2"/>
      <c r="W496" s="2"/>
      <c r="X496" s="2"/>
      <c r="Y496" s="2"/>
      <c r="Z496" s="2"/>
    </row>
    <row r="497">
      <c r="A497" s="2"/>
      <c r="B497" s="7"/>
      <c r="C497" s="7"/>
      <c r="D497" s="7"/>
      <c r="E497" s="7"/>
      <c r="F497" s="7"/>
      <c r="G497" s="7"/>
      <c r="H497" s="7"/>
      <c r="I497" s="7"/>
      <c r="J497" s="7"/>
      <c r="K497" s="7"/>
      <c r="L497" s="7"/>
      <c r="M497" s="7"/>
      <c r="N497" s="7"/>
      <c r="O497" s="2"/>
      <c r="P497" s="2"/>
      <c r="Q497" s="2"/>
      <c r="R497" s="2"/>
      <c r="S497" s="2"/>
      <c r="T497" s="2"/>
      <c r="U497" s="2"/>
      <c r="V497" s="2"/>
      <c r="W497" s="2"/>
      <c r="X497" s="2"/>
      <c r="Y497" s="2"/>
      <c r="Z497" s="2"/>
    </row>
    <row r="498">
      <c r="A498" s="2"/>
      <c r="B498" s="7"/>
      <c r="C498" s="7"/>
      <c r="D498" s="7"/>
      <c r="E498" s="7"/>
      <c r="F498" s="7"/>
      <c r="G498" s="7"/>
      <c r="H498" s="7"/>
      <c r="I498" s="7"/>
      <c r="J498" s="7"/>
      <c r="K498" s="7"/>
      <c r="L498" s="7"/>
      <c r="M498" s="7"/>
      <c r="N498" s="7"/>
      <c r="O498" s="2"/>
      <c r="P498" s="2"/>
      <c r="Q498" s="2"/>
      <c r="R498" s="2"/>
      <c r="S498" s="2"/>
      <c r="T498" s="2"/>
      <c r="U498" s="2"/>
      <c r="V498" s="2"/>
      <c r="W498" s="2"/>
      <c r="X498" s="2"/>
      <c r="Y498" s="2"/>
      <c r="Z498" s="2"/>
    </row>
    <row r="499">
      <c r="A499" s="2"/>
      <c r="B499" s="7"/>
      <c r="C499" s="7"/>
      <c r="D499" s="7"/>
      <c r="E499" s="7"/>
      <c r="F499" s="7"/>
      <c r="G499" s="7"/>
      <c r="H499" s="7"/>
      <c r="I499" s="7"/>
      <c r="J499" s="7"/>
      <c r="K499" s="7"/>
      <c r="L499" s="7"/>
      <c r="M499" s="7"/>
      <c r="N499" s="7"/>
      <c r="O499" s="2"/>
      <c r="P499" s="2"/>
      <c r="Q499" s="2"/>
      <c r="R499" s="2"/>
      <c r="S499" s="2"/>
      <c r="T499" s="2"/>
      <c r="U499" s="2"/>
      <c r="V499" s="2"/>
      <c r="W499" s="2"/>
      <c r="X499" s="2"/>
      <c r="Y499" s="2"/>
      <c r="Z499" s="2"/>
    </row>
    <row r="500">
      <c r="A500" s="2"/>
      <c r="B500" s="7"/>
      <c r="C500" s="7"/>
      <c r="D500" s="7"/>
      <c r="E500" s="7"/>
      <c r="F500" s="7"/>
      <c r="G500" s="7"/>
      <c r="H500" s="7"/>
      <c r="I500" s="7"/>
      <c r="J500" s="7"/>
      <c r="K500" s="7"/>
      <c r="L500" s="7"/>
      <c r="M500" s="7"/>
      <c r="N500" s="7"/>
      <c r="O500" s="2"/>
      <c r="P500" s="2"/>
      <c r="Q500" s="2"/>
      <c r="R500" s="2"/>
      <c r="S500" s="2"/>
      <c r="T500" s="2"/>
      <c r="U500" s="2"/>
      <c r="V500" s="2"/>
      <c r="W500" s="2"/>
      <c r="X500" s="2"/>
      <c r="Y500" s="2"/>
      <c r="Z500" s="2"/>
    </row>
    <row r="501">
      <c r="A501" s="2"/>
      <c r="B501" s="7"/>
      <c r="C501" s="7"/>
      <c r="D501" s="7"/>
      <c r="E501" s="7"/>
      <c r="F501" s="7"/>
      <c r="G501" s="7"/>
      <c r="H501" s="7"/>
      <c r="I501" s="7"/>
      <c r="J501" s="7"/>
      <c r="K501" s="7"/>
      <c r="L501" s="7"/>
      <c r="M501" s="7"/>
      <c r="N501" s="7"/>
      <c r="O501" s="2"/>
      <c r="P501" s="2"/>
      <c r="Q501" s="2"/>
      <c r="R501" s="2"/>
      <c r="S501" s="2"/>
      <c r="T501" s="2"/>
      <c r="U501" s="2"/>
      <c r="V501" s="2"/>
      <c r="W501" s="2"/>
      <c r="X501" s="2"/>
      <c r="Y501" s="2"/>
      <c r="Z501" s="2"/>
    </row>
    <row r="502">
      <c r="A502" s="2"/>
      <c r="B502" s="7"/>
      <c r="C502" s="7"/>
      <c r="D502" s="7"/>
      <c r="E502" s="7"/>
      <c r="F502" s="7"/>
      <c r="G502" s="7"/>
      <c r="H502" s="7"/>
      <c r="I502" s="7"/>
      <c r="J502" s="7"/>
      <c r="K502" s="7"/>
      <c r="L502" s="7"/>
      <c r="M502" s="7"/>
      <c r="N502" s="7"/>
      <c r="O502" s="2"/>
      <c r="P502" s="2"/>
      <c r="Q502" s="2"/>
      <c r="R502" s="2"/>
      <c r="S502" s="2"/>
      <c r="T502" s="2"/>
      <c r="U502" s="2"/>
      <c r="V502" s="2"/>
      <c r="W502" s="2"/>
      <c r="X502" s="2"/>
      <c r="Y502" s="2"/>
      <c r="Z502" s="2"/>
    </row>
    <row r="503">
      <c r="A503" s="2"/>
      <c r="B503" s="7"/>
      <c r="C503" s="7"/>
      <c r="D503" s="7"/>
      <c r="E503" s="7"/>
      <c r="F503" s="7"/>
      <c r="G503" s="7"/>
      <c r="H503" s="7"/>
      <c r="I503" s="7"/>
      <c r="J503" s="7"/>
      <c r="K503" s="7"/>
      <c r="L503" s="7"/>
      <c r="M503" s="7"/>
      <c r="N503" s="7"/>
      <c r="O503" s="2"/>
      <c r="P503" s="2"/>
      <c r="Q503" s="2"/>
      <c r="R503" s="2"/>
      <c r="S503" s="2"/>
      <c r="T503" s="2"/>
      <c r="U503" s="2"/>
      <c r="V503" s="2"/>
      <c r="W503" s="2"/>
      <c r="X503" s="2"/>
      <c r="Y503" s="2"/>
      <c r="Z503" s="2"/>
    </row>
    <row r="504">
      <c r="A504" s="2"/>
      <c r="B504" s="7"/>
      <c r="C504" s="7"/>
      <c r="D504" s="7"/>
      <c r="E504" s="7"/>
      <c r="F504" s="7"/>
      <c r="G504" s="7"/>
      <c r="H504" s="7"/>
      <c r="I504" s="7"/>
      <c r="J504" s="7"/>
      <c r="K504" s="7"/>
      <c r="L504" s="7"/>
      <c r="M504" s="7"/>
      <c r="N504" s="7"/>
      <c r="O504" s="2"/>
      <c r="P504" s="2"/>
      <c r="Q504" s="2"/>
      <c r="R504" s="2"/>
      <c r="S504" s="2"/>
      <c r="T504" s="2"/>
      <c r="U504" s="2"/>
      <c r="V504" s="2"/>
      <c r="W504" s="2"/>
      <c r="X504" s="2"/>
      <c r="Y504" s="2"/>
      <c r="Z504" s="2"/>
    </row>
    <row r="505">
      <c r="A505" s="2"/>
      <c r="B505" s="7"/>
      <c r="C505" s="7"/>
      <c r="D505" s="7"/>
      <c r="E505" s="7"/>
      <c r="F505" s="7"/>
      <c r="G505" s="7"/>
      <c r="H505" s="7"/>
      <c r="I505" s="7"/>
      <c r="J505" s="7"/>
      <c r="K505" s="7"/>
      <c r="L505" s="7"/>
      <c r="M505" s="7"/>
      <c r="N505" s="7"/>
      <c r="O505" s="2"/>
      <c r="P505" s="2"/>
      <c r="Q505" s="2"/>
      <c r="R505" s="2"/>
      <c r="S505" s="2"/>
      <c r="T505" s="2"/>
      <c r="U505" s="2"/>
      <c r="V505" s="2"/>
      <c r="W505" s="2"/>
      <c r="X505" s="2"/>
      <c r="Y505" s="2"/>
      <c r="Z505" s="2"/>
    </row>
    <row r="506">
      <c r="A506" s="2"/>
      <c r="B506" s="7"/>
      <c r="C506" s="7"/>
      <c r="D506" s="7"/>
      <c r="E506" s="7"/>
      <c r="F506" s="7"/>
      <c r="G506" s="7"/>
      <c r="H506" s="7"/>
      <c r="I506" s="7"/>
      <c r="J506" s="7"/>
      <c r="K506" s="7"/>
      <c r="L506" s="7"/>
      <c r="M506" s="7"/>
      <c r="N506" s="7"/>
      <c r="O506" s="2"/>
      <c r="P506" s="2"/>
      <c r="Q506" s="2"/>
      <c r="R506" s="2"/>
      <c r="S506" s="2"/>
      <c r="T506" s="2"/>
      <c r="U506" s="2"/>
      <c r="V506" s="2"/>
      <c r="W506" s="2"/>
      <c r="X506" s="2"/>
      <c r="Y506" s="2"/>
      <c r="Z506" s="2"/>
    </row>
    <row r="507">
      <c r="A507" s="2"/>
      <c r="B507" s="7"/>
      <c r="C507" s="7"/>
      <c r="D507" s="7"/>
      <c r="E507" s="7"/>
      <c r="F507" s="7"/>
      <c r="G507" s="7"/>
      <c r="H507" s="7"/>
      <c r="I507" s="7"/>
      <c r="J507" s="7"/>
      <c r="K507" s="7"/>
      <c r="L507" s="7"/>
      <c r="M507" s="7"/>
      <c r="N507" s="7"/>
      <c r="O507" s="2"/>
      <c r="P507" s="2"/>
      <c r="Q507" s="2"/>
      <c r="R507" s="2"/>
      <c r="S507" s="2"/>
      <c r="T507" s="2"/>
      <c r="U507" s="2"/>
      <c r="V507" s="2"/>
      <c r="W507" s="2"/>
      <c r="X507" s="2"/>
      <c r="Y507" s="2"/>
      <c r="Z507" s="2"/>
    </row>
    <row r="508">
      <c r="A508" s="2"/>
      <c r="B508" s="7"/>
      <c r="C508" s="7"/>
      <c r="D508" s="7"/>
      <c r="E508" s="7"/>
      <c r="F508" s="7"/>
      <c r="G508" s="7"/>
      <c r="H508" s="7"/>
      <c r="I508" s="7"/>
      <c r="J508" s="7"/>
      <c r="K508" s="7"/>
      <c r="L508" s="7"/>
      <c r="M508" s="7"/>
      <c r="N508" s="7"/>
      <c r="O508" s="2"/>
      <c r="P508" s="2"/>
      <c r="Q508" s="2"/>
      <c r="R508" s="2"/>
      <c r="S508" s="2"/>
      <c r="T508" s="2"/>
      <c r="U508" s="2"/>
      <c r="V508" s="2"/>
      <c r="W508" s="2"/>
      <c r="X508" s="2"/>
      <c r="Y508" s="2"/>
      <c r="Z508" s="2"/>
    </row>
    <row r="509">
      <c r="A509" s="2"/>
      <c r="B509" s="7"/>
      <c r="C509" s="7"/>
      <c r="D509" s="7"/>
      <c r="E509" s="7"/>
      <c r="F509" s="7"/>
      <c r="G509" s="7"/>
      <c r="H509" s="7"/>
      <c r="I509" s="7"/>
      <c r="J509" s="7"/>
      <c r="K509" s="7"/>
      <c r="L509" s="7"/>
      <c r="M509" s="7"/>
      <c r="N509" s="7"/>
      <c r="O509" s="2"/>
      <c r="P509" s="2"/>
      <c r="Q509" s="2"/>
      <c r="R509" s="2"/>
      <c r="S509" s="2"/>
      <c r="T509" s="2"/>
      <c r="U509" s="2"/>
      <c r="V509" s="2"/>
      <c r="W509" s="2"/>
      <c r="X509" s="2"/>
      <c r="Y509" s="2"/>
      <c r="Z509" s="2"/>
    </row>
    <row r="510">
      <c r="A510" s="2"/>
      <c r="B510" s="7"/>
      <c r="C510" s="7"/>
      <c r="D510" s="7"/>
      <c r="E510" s="7"/>
      <c r="F510" s="7"/>
      <c r="G510" s="7"/>
      <c r="H510" s="7"/>
      <c r="I510" s="7"/>
      <c r="J510" s="7"/>
      <c r="K510" s="7"/>
      <c r="L510" s="7"/>
      <c r="M510" s="7"/>
      <c r="N510" s="7"/>
      <c r="O510" s="2"/>
      <c r="P510" s="2"/>
      <c r="Q510" s="2"/>
      <c r="R510" s="2"/>
      <c r="S510" s="2"/>
      <c r="T510" s="2"/>
      <c r="U510" s="2"/>
      <c r="V510" s="2"/>
      <c r="W510" s="2"/>
      <c r="X510" s="2"/>
      <c r="Y510" s="2"/>
      <c r="Z510" s="2"/>
    </row>
    <row r="511">
      <c r="A511" s="2"/>
      <c r="B511" s="7"/>
      <c r="C511" s="7"/>
      <c r="D511" s="7"/>
      <c r="E511" s="7"/>
      <c r="F511" s="7"/>
      <c r="G511" s="7"/>
      <c r="H511" s="7"/>
      <c r="I511" s="7"/>
      <c r="J511" s="7"/>
      <c r="K511" s="7"/>
      <c r="L511" s="7"/>
      <c r="M511" s="7"/>
      <c r="N511" s="7"/>
      <c r="O511" s="2"/>
      <c r="P511" s="2"/>
      <c r="Q511" s="2"/>
      <c r="R511" s="2"/>
      <c r="S511" s="2"/>
      <c r="T511" s="2"/>
      <c r="U511" s="2"/>
      <c r="V511" s="2"/>
      <c r="W511" s="2"/>
      <c r="X511" s="2"/>
      <c r="Y511" s="2"/>
      <c r="Z511" s="2"/>
    </row>
    <row r="512">
      <c r="A512" s="2"/>
      <c r="B512" s="7"/>
      <c r="C512" s="7"/>
      <c r="D512" s="7"/>
      <c r="E512" s="7"/>
      <c r="F512" s="7"/>
      <c r="G512" s="7"/>
      <c r="H512" s="7"/>
      <c r="I512" s="7"/>
      <c r="J512" s="7"/>
      <c r="K512" s="7"/>
      <c r="L512" s="7"/>
      <c r="M512" s="7"/>
      <c r="N512" s="7"/>
      <c r="O512" s="2"/>
      <c r="P512" s="2"/>
      <c r="Q512" s="2"/>
      <c r="R512" s="2"/>
      <c r="S512" s="2"/>
      <c r="T512" s="2"/>
      <c r="U512" s="2"/>
      <c r="V512" s="2"/>
      <c r="W512" s="2"/>
      <c r="X512" s="2"/>
      <c r="Y512" s="2"/>
      <c r="Z512" s="2"/>
    </row>
    <row r="513">
      <c r="A513" s="2"/>
      <c r="B513" s="7"/>
      <c r="C513" s="7"/>
      <c r="D513" s="7"/>
      <c r="E513" s="7"/>
      <c r="F513" s="7"/>
      <c r="G513" s="7"/>
      <c r="H513" s="7"/>
      <c r="I513" s="7"/>
      <c r="J513" s="7"/>
      <c r="K513" s="7"/>
      <c r="L513" s="7"/>
      <c r="M513" s="7"/>
      <c r="N513" s="7"/>
      <c r="O513" s="2"/>
      <c r="P513" s="2"/>
      <c r="Q513" s="2"/>
      <c r="R513" s="2"/>
      <c r="S513" s="2"/>
      <c r="T513" s="2"/>
      <c r="U513" s="2"/>
      <c r="V513" s="2"/>
      <c r="W513" s="2"/>
      <c r="X513" s="2"/>
      <c r="Y513" s="2"/>
      <c r="Z513" s="2"/>
    </row>
    <row r="514">
      <c r="A514" s="2"/>
      <c r="B514" s="7"/>
      <c r="C514" s="7"/>
      <c r="D514" s="7"/>
      <c r="E514" s="7"/>
      <c r="F514" s="7"/>
      <c r="G514" s="7"/>
      <c r="H514" s="7"/>
      <c r="I514" s="7"/>
      <c r="J514" s="7"/>
      <c r="K514" s="7"/>
      <c r="L514" s="7"/>
      <c r="M514" s="7"/>
      <c r="N514" s="7"/>
      <c r="O514" s="2"/>
      <c r="P514" s="2"/>
      <c r="Q514" s="2"/>
      <c r="R514" s="2"/>
      <c r="S514" s="2"/>
      <c r="T514" s="2"/>
      <c r="U514" s="2"/>
      <c r="V514" s="2"/>
      <c r="W514" s="2"/>
      <c r="X514" s="2"/>
      <c r="Y514" s="2"/>
      <c r="Z514" s="2"/>
    </row>
    <row r="515">
      <c r="A515" s="2"/>
      <c r="B515" s="7"/>
      <c r="C515" s="7"/>
      <c r="D515" s="7"/>
      <c r="E515" s="7"/>
      <c r="F515" s="7"/>
      <c r="G515" s="7"/>
      <c r="H515" s="7"/>
      <c r="I515" s="7"/>
      <c r="J515" s="7"/>
      <c r="K515" s="7"/>
      <c r="L515" s="7"/>
      <c r="M515" s="7"/>
      <c r="N515" s="7"/>
      <c r="O515" s="2"/>
      <c r="P515" s="2"/>
      <c r="Q515" s="2"/>
      <c r="R515" s="2"/>
      <c r="S515" s="2"/>
      <c r="T515" s="2"/>
      <c r="U515" s="2"/>
      <c r="V515" s="2"/>
      <c r="W515" s="2"/>
      <c r="X515" s="2"/>
      <c r="Y515" s="2"/>
      <c r="Z515" s="2"/>
    </row>
    <row r="516">
      <c r="A516" s="2"/>
      <c r="B516" s="7"/>
      <c r="C516" s="7"/>
      <c r="D516" s="7"/>
      <c r="E516" s="7"/>
      <c r="F516" s="7"/>
      <c r="G516" s="7"/>
      <c r="H516" s="7"/>
      <c r="I516" s="7"/>
      <c r="J516" s="7"/>
      <c r="K516" s="7"/>
      <c r="L516" s="7"/>
      <c r="M516" s="7"/>
      <c r="N516" s="7"/>
      <c r="O516" s="2"/>
      <c r="P516" s="2"/>
      <c r="Q516" s="2"/>
      <c r="R516" s="2"/>
      <c r="S516" s="2"/>
      <c r="T516" s="2"/>
      <c r="U516" s="2"/>
      <c r="V516" s="2"/>
      <c r="W516" s="2"/>
      <c r="X516" s="2"/>
      <c r="Y516" s="2"/>
      <c r="Z516" s="2"/>
    </row>
    <row r="517">
      <c r="A517" s="2"/>
      <c r="B517" s="7"/>
      <c r="C517" s="7"/>
      <c r="D517" s="7"/>
      <c r="E517" s="7"/>
      <c r="F517" s="7"/>
      <c r="G517" s="7"/>
      <c r="H517" s="7"/>
      <c r="I517" s="7"/>
      <c r="J517" s="7"/>
      <c r="K517" s="7"/>
      <c r="L517" s="7"/>
      <c r="M517" s="7"/>
      <c r="N517" s="7"/>
      <c r="O517" s="2"/>
      <c r="P517" s="2"/>
      <c r="Q517" s="2"/>
      <c r="R517" s="2"/>
      <c r="S517" s="2"/>
      <c r="T517" s="2"/>
      <c r="U517" s="2"/>
      <c r="V517" s="2"/>
      <c r="W517" s="2"/>
      <c r="X517" s="2"/>
      <c r="Y517" s="2"/>
      <c r="Z517" s="2"/>
    </row>
    <row r="518">
      <c r="A518" s="2"/>
      <c r="B518" s="7"/>
      <c r="C518" s="7"/>
      <c r="D518" s="7"/>
      <c r="E518" s="7"/>
      <c r="F518" s="7"/>
      <c r="G518" s="7"/>
      <c r="H518" s="7"/>
      <c r="I518" s="7"/>
      <c r="J518" s="7"/>
      <c r="K518" s="7"/>
      <c r="L518" s="7"/>
      <c r="M518" s="7"/>
      <c r="N518" s="7"/>
      <c r="O518" s="2"/>
      <c r="P518" s="2"/>
      <c r="Q518" s="2"/>
      <c r="R518" s="2"/>
      <c r="S518" s="2"/>
      <c r="T518" s="2"/>
      <c r="U518" s="2"/>
      <c r="V518" s="2"/>
      <c r="W518" s="2"/>
      <c r="X518" s="2"/>
      <c r="Y518" s="2"/>
      <c r="Z518" s="2"/>
    </row>
    <row r="519">
      <c r="A519" s="2"/>
      <c r="B519" s="7"/>
      <c r="C519" s="7"/>
      <c r="D519" s="7"/>
      <c r="E519" s="7"/>
      <c r="F519" s="7"/>
      <c r="G519" s="7"/>
      <c r="H519" s="7"/>
      <c r="I519" s="7"/>
      <c r="J519" s="7"/>
      <c r="K519" s="7"/>
      <c r="L519" s="7"/>
      <c r="M519" s="7"/>
      <c r="N519" s="7"/>
      <c r="O519" s="2"/>
      <c r="P519" s="2"/>
      <c r="Q519" s="2"/>
      <c r="R519" s="2"/>
      <c r="S519" s="2"/>
      <c r="T519" s="2"/>
      <c r="U519" s="2"/>
      <c r="V519" s="2"/>
      <c r="W519" s="2"/>
      <c r="X519" s="2"/>
      <c r="Y519" s="2"/>
      <c r="Z519" s="2"/>
    </row>
    <row r="520">
      <c r="A520" s="2"/>
      <c r="B520" s="7"/>
      <c r="C520" s="7"/>
      <c r="D520" s="7"/>
      <c r="E520" s="7"/>
      <c r="F520" s="7"/>
      <c r="G520" s="7"/>
      <c r="H520" s="7"/>
      <c r="I520" s="7"/>
      <c r="J520" s="7"/>
      <c r="K520" s="7"/>
      <c r="L520" s="7"/>
      <c r="M520" s="7"/>
      <c r="N520" s="7"/>
      <c r="O520" s="2"/>
      <c r="P520" s="2"/>
      <c r="Q520" s="2"/>
      <c r="R520" s="2"/>
      <c r="S520" s="2"/>
      <c r="T520" s="2"/>
      <c r="U520" s="2"/>
      <c r="V520" s="2"/>
      <c r="W520" s="2"/>
      <c r="X520" s="2"/>
      <c r="Y520" s="2"/>
      <c r="Z520" s="2"/>
    </row>
    <row r="521">
      <c r="A521" s="2"/>
      <c r="B521" s="7"/>
      <c r="C521" s="7"/>
      <c r="D521" s="7"/>
      <c r="E521" s="7"/>
      <c r="F521" s="7"/>
      <c r="G521" s="7"/>
      <c r="H521" s="7"/>
      <c r="I521" s="7"/>
      <c r="J521" s="7"/>
      <c r="K521" s="7"/>
      <c r="L521" s="7"/>
      <c r="M521" s="7"/>
      <c r="N521" s="7"/>
      <c r="O521" s="2"/>
      <c r="P521" s="2"/>
      <c r="Q521" s="2"/>
      <c r="R521" s="2"/>
      <c r="S521" s="2"/>
      <c r="T521" s="2"/>
      <c r="U521" s="2"/>
      <c r="V521" s="2"/>
      <c r="W521" s="2"/>
      <c r="X521" s="2"/>
      <c r="Y521" s="2"/>
      <c r="Z521" s="2"/>
    </row>
    <row r="522">
      <c r="A522" s="2"/>
      <c r="B522" s="7"/>
      <c r="C522" s="7"/>
      <c r="D522" s="7"/>
      <c r="E522" s="7"/>
      <c r="F522" s="7"/>
      <c r="G522" s="7"/>
      <c r="H522" s="7"/>
      <c r="I522" s="7"/>
      <c r="J522" s="7"/>
      <c r="K522" s="7"/>
      <c r="L522" s="7"/>
      <c r="M522" s="7"/>
      <c r="N522" s="7"/>
      <c r="O522" s="2"/>
      <c r="P522" s="2"/>
      <c r="Q522" s="2"/>
      <c r="R522" s="2"/>
      <c r="S522" s="2"/>
      <c r="T522" s="2"/>
      <c r="U522" s="2"/>
      <c r="V522" s="2"/>
      <c r="W522" s="2"/>
      <c r="X522" s="2"/>
      <c r="Y522" s="2"/>
      <c r="Z522" s="2"/>
    </row>
    <row r="523">
      <c r="A523" s="2"/>
      <c r="B523" s="7"/>
      <c r="C523" s="7"/>
      <c r="D523" s="7"/>
      <c r="E523" s="7"/>
      <c r="F523" s="7"/>
      <c r="G523" s="7"/>
      <c r="H523" s="7"/>
      <c r="I523" s="7"/>
      <c r="J523" s="7"/>
      <c r="K523" s="7"/>
      <c r="L523" s="7"/>
      <c r="M523" s="7"/>
      <c r="N523" s="7"/>
      <c r="O523" s="2"/>
      <c r="P523" s="2"/>
      <c r="Q523" s="2"/>
      <c r="R523" s="2"/>
      <c r="S523" s="2"/>
      <c r="T523" s="2"/>
      <c r="U523" s="2"/>
      <c r="V523" s="2"/>
      <c r="W523" s="2"/>
      <c r="X523" s="2"/>
      <c r="Y523" s="2"/>
      <c r="Z523" s="2"/>
    </row>
    <row r="524">
      <c r="A524" s="2"/>
      <c r="B524" s="7"/>
      <c r="C524" s="7"/>
      <c r="D524" s="7"/>
      <c r="E524" s="7"/>
      <c r="F524" s="7"/>
      <c r="G524" s="7"/>
      <c r="H524" s="7"/>
      <c r="I524" s="7"/>
      <c r="J524" s="7"/>
      <c r="K524" s="7"/>
      <c r="L524" s="7"/>
      <c r="M524" s="7"/>
      <c r="N524" s="7"/>
      <c r="O524" s="2"/>
      <c r="P524" s="2"/>
      <c r="Q524" s="2"/>
      <c r="R524" s="2"/>
      <c r="S524" s="2"/>
      <c r="T524" s="2"/>
      <c r="U524" s="2"/>
      <c r="V524" s="2"/>
      <c r="W524" s="2"/>
      <c r="X524" s="2"/>
      <c r="Y524" s="2"/>
      <c r="Z524" s="2"/>
    </row>
    <row r="525">
      <c r="A525" s="2"/>
      <c r="B525" s="7"/>
      <c r="C525" s="7"/>
      <c r="D525" s="7"/>
      <c r="E525" s="7"/>
      <c r="F525" s="7"/>
      <c r="G525" s="7"/>
      <c r="H525" s="7"/>
      <c r="I525" s="7"/>
      <c r="J525" s="7"/>
      <c r="K525" s="7"/>
      <c r="L525" s="7"/>
      <c r="M525" s="7"/>
      <c r="N525" s="7"/>
      <c r="O525" s="2"/>
      <c r="P525" s="2"/>
      <c r="Q525" s="2"/>
      <c r="R525" s="2"/>
      <c r="S525" s="2"/>
      <c r="T525" s="2"/>
      <c r="U525" s="2"/>
      <c r="V525" s="2"/>
      <c r="W525" s="2"/>
      <c r="X525" s="2"/>
      <c r="Y525" s="2"/>
      <c r="Z525" s="2"/>
    </row>
    <row r="526">
      <c r="A526" s="2"/>
      <c r="B526" s="7"/>
      <c r="C526" s="7"/>
      <c r="D526" s="7"/>
      <c r="E526" s="7"/>
      <c r="F526" s="7"/>
      <c r="G526" s="7"/>
      <c r="H526" s="7"/>
      <c r="I526" s="7"/>
      <c r="J526" s="7"/>
      <c r="K526" s="7"/>
      <c r="L526" s="7"/>
      <c r="M526" s="7"/>
      <c r="N526" s="7"/>
      <c r="O526" s="2"/>
      <c r="P526" s="2"/>
      <c r="Q526" s="2"/>
      <c r="R526" s="2"/>
      <c r="S526" s="2"/>
      <c r="T526" s="2"/>
      <c r="U526" s="2"/>
      <c r="V526" s="2"/>
      <c r="W526" s="2"/>
      <c r="X526" s="2"/>
      <c r="Y526" s="2"/>
      <c r="Z526" s="2"/>
    </row>
    <row r="527">
      <c r="A527" s="2"/>
      <c r="B527" s="7"/>
      <c r="C527" s="7"/>
      <c r="D527" s="7"/>
      <c r="E527" s="7"/>
      <c r="F527" s="7"/>
      <c r="G527" s="7"/>
      <c r="H527" s="7"/>
      <c r="I527" s="7"/>
      <c r="J527" s="7"/>
      <c r="K527" s="7"/>
      <c r="L527" s="7"/>
      <c r="M527" s="7"/>
      <c r="N527" s="7"/>
      <c r="O527" s="2"/>
      <c r="P527" s="2"/>
      <c r="Q527" s="2"/>
      <c r="R527" s="2"/>
      <c r="S527" s="2"/>
      <c r="T527" s="2"/>
      <c r="U527" s="2"/>
      <c r="V527" s="2"/>
      <c r="W527" s="2"/>
      <c r="X527" s="2"/>
      <c r="Y527" s="2"/>
      <c r="Z527" s="2"/>
    </row>
    <row r="528">
      <c r="A528" s="2"/>
      <c r="B528" s="7"/>
      <c r="C528" s="7"/>
      <c r="D528" s="7"/>
      <c r="E528" s="7"/>
      <c r="F528" s="7"/>
      <c r="G528" s="7"/>
      <c r="H528" s="7"/>
      <c r="I528" s="7"/>
      <c r="J528" s="7"/>
      <c r="K528" s="7"/>
      <c r="L528" s="7"/>
      <c r="M528" s="7"/>
      <c r="N528" s="7"/>
      <c r="O528" s="2"/>
      <c r="P528" s="2"/>
      <c r="Q528" s="2"/>
      <c r="R528" s="2"/>
      <c r="S528" s="2"/>
      <c r="T528" s="2"/>
      <c r="U528" s="2"/>
      <c r="V528" s="2"/>
      <c r="W528" s="2"/>
      <c r="X528" s="2"/>
      <c r="Y528" s="2"/>
      <c r="Z528" s="2"/>
    </row>
    <row r="529">
      <c r="A529" s="2"/>
      <c r="B529" s="7"/>
      <c r="C529" s="7"/>
      <c r="D529" s="7"/>
      <c r="E529" s="7"/>
      <c r="F529" s="7"/>
      <c r="G529" s="7"/>
      <c r="H529" s="7"/>
      <c r="I529" s="7"/>
      <c r="J529" s="7"/>
      <c r="K529" s="7"/>
      <c r="L529" s="7"/>
      <c r="M529" s="7"/>
      <c r="N529" s="7"/>
      <c r="O529" s="2"/>
      <c r="P529" s="2"/>
      <c r="Q529" s="2"/>
      <c r="R529" s="2"/>
      <c r="S529" s="2"/>
      <c r="T529" s="2"/>
      <c r="U529" s="2"/>
      <c r="V529" s="2"/>
      <c r="W529" s="2"/>
      <c r="X529" s="2"/>
      <c r="Y529" s="2"/>
      <c r="Z529" s="2"/>
    </row>
    <row r="530">
      <c r="A530" s="2"/>
      <c r="B530" s="7"/>
      <c r="C530" s="7"/>
      <c r="D530" s="7"/>
      <c r="E530" s="7"/>
      <c r="F530" s="7"/>
      <c r="G530" s="7"/>
      <c r="H530" s="7"/>
      <c r="I530" s="7"/>
      <c r="J530" s="7"/>
      <c r="K530" s="7"/>
      <c r="L530" s="7"/>
      <c r="M530" s="7"/>
      <c r="N530" s="7"/>
      <c r="O530" s="2"/>
      <c r="P530" s="2"/>
      <c r="Q530" s="2"/>
      <c r="R530" s="2"/>
      <c r="S530" s="2"/>
      <c r="T530" s="2"/>
      <c r="U530" s="2"/>
      <c r="V530" s="2"/>
      <c r="W530" s="2"/>
      <c r="X530" s="2"/>
      <c r="Y530" s="2"/>
      <c r="Z530" s="2"/>
    </row>
    <row r="531">
      <c r="A531" s="2"/>
      <c r="B531" s="7"/>
      <c r="C531" s="7"/>
      <c r="D531" s="7"/>
      <c r="E531" s="7"/>
      <c r="F531" s="7"/>
      <c r="G531" s="7"/>
      <c r="H531" s="7"/>
      <c r="I531" s="7"/>
      <c r="J531" s="7"/>
      <c r="K531" s="7"/>
      <c r="L531" s="7"/>
      <c r="M531" s="7"/>
      <c r="N531" s="7"/>
      <c r="O531" s="2"/>
      <c r="P531" s="2"/>
      <c r="Q531" s="2"/>
      <c r="R531" s="2"/>
      <c r="S531" s="2"/>
      <c r="T531" s="2"/>
      <c r="U531" s="2"/>
      <c r="V531" s="2"/>
      <c r="W531" s="2"/>
      <c r="X531" s="2"/>
      <c r="Y531" s="2"/>
      <c r="Z531" s="2"/>
    </row>
    <row r="532">
      <c r="A532" s="2"/>
      <c r="B532" s="7"/>
      <c r="C532" s="7"/>
      <c r="D532" s="7"/>
      <c r="E532" s="7"/>
      <c r="F532" s="7"/>
      <c r="G532" s="7"/>
      <c r="H532" s="7"/>
      <c r="I532" s="7"/>
      <c r="J532" s="7"/>
      <c r="K532" s="7"/>
      <c r="L532" s="7"/>
      <c r="M532" s="7"/>
      <c r="N532" s="7"/>
      <c r="O532" s="2"/>
      <c r="P532" s="2"/>
      <c r="Q532" s="2"/>
      <c r="R532" s="2"/>
      <c r="S532" s="2"/>
      <c r="T532" s="2"/>
      <c r="U532" s="2"/>
      <c r="V532" s="2"/>
      <c r="W532" s="2"/>
      <c r="X532" s="2"/>
      <c r="Y532" s="2"/>
      <c r="Z532" s="2"/>
    </row>
    <row r="533">
      <c r="A533" s="2"/>
      <c r="B533" s="7"/>
      <c r="C533" s="7"/>
      <c r="D533" s="7"/>
      <c r="E533" s="7"/>
      <c r="F533" s="7"/>
      <c r="G533" s="7"/>
      <c r="H533" s="7"/>
      <c r="I533" s="7"/>
      <c r="J533" s="7"/>
      <c r="K533" s="7"/>
      <c r="L533" s="7"/>
      <c r="M533" s="7"/>
      <c r="N533" s="7"/>
      <c r="O533" s="2"/>
      <c r="P533" s="2"/>
      <c r="Q533" s="2"/>
      <c r="R533" s="2"/>
      <c r="S533" s="2"/>
      <c r="T533" s="2"/>
      <c r="U533" s="2"/>
      <c r="V533" s="2"/>
      <c r="W533" s="2"/>
      <c r="X533" s="2"/>
      <c r="Y533" s="2"/>
      <c r="Z533" s="2"/>
    </row>
    <row r="534">
      <c r="A534" s="2"/>
      <c r="B534" s="7"/>
      <c r="C534" s="7"/>
      <c r="D534" s="7"/>
      <c r="E534" s="7"/>
      <c r="F534" s="7"/>
      <c r="G534" s="7"/>
      <c r="H534" s="7"/>
      <c r="I534" s="7"/>
      <c r="J534" s="7"/>
      <c r="K534" s="7"/>
      <c r="L534" s="7"/>
      <c r="M534" s="7"/>
      <c r="N534" s="7"/>
      <c r="O534" s="2"/>
      <c r="P534" s="2"/>
      <c r="Q534" s="2"/>
      <c r="R534" s="2"/>
      <c r="S534" s="2"/>
      <c r="T534" s="2"/>
      <c r="U534" s="2"/>
      <c r="V534" s="2"/>
      <c r="W534" s="2"/>
      <c r="X534" s="2"/>
      <c r="Y534" s="2"/>
      <c r="Z534" s="2"/>
    </row>
    <row r="535">
      <c r="A535" s="2"/>
      <c r="B535" s="7"/>
      <c r="C535" s="7"/>
      <c r="D535" s="7"/>
      <c r="E535" s="7"/>
      <c r="F535" s="7"/>
      <c r="G535" s="7"/>
      <c r="H535" s="7"/>
      <c r="I535" s="7"/>
      <c r="J535" s="7"/>
      <c r="K535" s="7"/>
      <c r="L535" s="7"/>
      <c r="M535" s="7"/>
      <c r="N535" s="7"/>
      <c r="O535" s="2"/>
      <c r="P535" s="2"/>
      <c r="Q535" s="2"/>
      <c r="R535" s="2"/>
      <c r="S535" s="2"/>
      <c r="T535" s="2"/>
      <c r="U535" s="2"/>
      <c r="V535" s="2"/>
      <c r="W535" s="2"/>
      <c r="X535" s="2"/>
      <c r="Y535" s="2"/>
      <c r="Z535" s="2"/>
    </row>
    <row r="536">
      <c r="A536" s="2"/>
      <c r="B536" s="7"/>
      <c r="C536" s="7"/>
      <c r="D536" s="7"/>
      <c r="E536" s="7"/>
      <c r="F536" s="7"/>
      <c r="G536" s="7"/>
      <c r="H536" s="7"/>
      <c r="I536" s="7"/>
      <c r="J536" s="7"/>
      <c r="K536" s="7"/>
      <c r="L536" s="7"/>
      <c r="M536" s="7"/>
      <c r="N536" s="7"/>
      <c r="O536" s="2"/>
      <c r="P536" s="2"/>
      <c r="Q536" s="2"/>
      <c r="R536" s="2"/>
      <c r="S536" s="2"/>
      <c r="T536" s="2"/>
      <c r="U536" s="2"/>
      <c r="V536" s="2"/>
      <c r="W536" s="2"/>
      <c r="X536" s="2"/>
      <c r="Y536" s="2"/>
      <c r="Z536" s="2"/>
    </row>
    <row r="537">
      <c r="A537" s="2"/>
      <c r="B537" s="7"/>
      <c r="C537" s="7"/>
      <c r="D537" s="7"/>
      <c r="E537" s="7"/>
      <c r="F537" s="7"/>
      <c r="G537" s="7"/>
      <c r="H537" s="7"/>
      <c r="I537" s="7"/>
      <c r="J537" s="7"/>
      <c r="K537" s="7"/>
      <c r="L537" s="7"/>
      <c r="M537" s="7"/>
      <c r="N537" s="7"/>
      <c r="O537" s="2"/>
      <c r="P537" s="2"/>
      <c r="Q537" s="2"/>
      <c r="R537" s="2"/>
      <c r="S537" s="2"/>
      <c r="T537" s="2"/>
      <c r="U537" s="2"/>
      <c r="V537" s="2"/>
      <c r="W537" s="2"/>
      <c r="X537" s="2"/>
      <c r="Y537" s="2"/>
      <c r="Z537" s="2"/>
    </row>
    <row r="538">
      <c r="A538" s="2"/>
      <c r="B538" s="7"/>
      <c r="C538" s="7"/>
      <c r="D538" s="7"/>
      <c r="E538" s="7"/>
      <c r="F538" s="7"/>
      <c r="G538" s="7"/>
      <c r="H538" s="7"/>
      <c r="I538" s="7"/>
      <c r="J538" s="7"/>
      <c r="K538" s="7"/>
      <c r="L538" s="7"/>
      <c r="M538" s="7"/>
      <c r="N538" s="7"/>
      <c r="O538" s="2"/>
      <c r="P538" s="2"/>
      <c r="Q538" s="2"/>
      <c r="R538" s="2"/>
      <c r="S538" s="2"/>
      <c r="T538" s="2"/>
      <c r="U538" s="2"/>
      <c r="V538" s="2"/>
      <c r="W538" s="2"/>
      <c r="X538" s="2"/>
      <c r="Y538" s="2"/>
      <c r="Z538" s="2"/>
    </row>
    <row r="539">
      <c r="A539" s="2"/>
      <c r="B539" s="7"/>
      <c r="C539" s="7"/>
      <c r="D539" s="7"/>
      <c r="E539" s="7"/>
      <c r="F539" s="7"/>
      <c r="G539" s="7"/>
      <c r="H539" s="7"/>
      <c r="I539" s="7"/>
      <c r="J539" s="7"/>
      <c r="K539" s="7"/>
      <c r="L539" s="7"/>
      <c r="M539" s="7"/>
      <c r="N539" s="7"/>
      <c r="O539" s="2"/>
      <c r="P539" s="2"/>
      <c r="Q539" s="2"/>
      <c r="R539" s="2"/>
      <c r="S539" s="2"/>
      <c r="T539" s="2"/>
      <c r="U539" s="2"/>
      <c r="V539" s="2"/>
      <c r="W539" s="2"/>
      <c r="X539" s="2"/>
      <c r="Y539" s="2"/>
      <c r="Z539" s="2"/>
    </row>
    <row r="540">
      <c r="A540" s="2"/>
      <c r="B540" s="7"/>
      <c r="C540" s="7"/>
      <c r="D540" s="7"/>
      <c r="E540" s="7"/>
      <c r="F540" s="7"/>
      <c r="G540" s="7"/>
      <c r="H540" s="7"/>
      <c r="I540" s="7"/>
      <c r="J540" s="7"/>
      <c r="K540" s="7"/>
      <c r="L540" s="7"/>
      <c r="M540" s="7"/>
      <c r="N540" s="7"/>
      <c r="O540" s="2"/>
      <c r="P540" s="2"/>
      <c r="Q540" s="2"/>
      <c r="R540" s="2"/>
      <c r="S540" s="2"/>
      <c r="T540" s="2"/>
      <c r="U540" s="2"/>
      <c r="V540" s="2"/>
      <c r="W540" s="2"/>
      <c r="X540" s="2"/>
      <c r="Y540" s="2"/>
      <c r="Z540" s="2"/>
    </row>
    <row r="541">
      <c r="A541" s="2"/>
      <c r="B541" s="7"/>
      <c r="C541" s="7"/>
      <c r="D541" s="7"/>
      <c r="E541" s="7"/>
      <c r="F541" s="7"/>
      <c r="G541" s="7"/>
      <c r="H541" s="7"/>
      <c r="I541" s="7"/>
      <c r="J541" s="7"/>
      <c r="K541" s="7"/>
      <c r="L541" s="7"/>
      <c r="M541" s="7"/>
      <c r="N541" s="7"/>
      <c r="O541" s="2"/>
      <c r="P541" s="2"/>
      <c r="Q541" s="2"/>
      <c r="R541" s="2"/>
      <c r="S541" s="2"/>
      <c r="T541" s="2"/>
      <c r="U541" s="2"/>
      <c r="V541" s="2"/>
      <c r="W541" s="2"/>
      <c r="X541" s="2"/>
      <c r="Y541" s="2"/>
      <c r="Z541" s="2"/>
    </row>
    <row r="542">
      <c r="A542" s="2"/>
      <c r="B542" s="7"/>
      <c r="C542" s="7"/>
      <c r="D542" s="7"/>
      <c r="E542" s="7"/>
      <c r="F542" s="7"/>
      <c r="G542" s="7"/>
      <c r="H542" s="7"/>
      <c r="I542" s="7"/>
      <c r="J542" s="7"/>
      <c r="K542" s="7"/>
      <c r="L542" s="7"/>
      <c r="M542" s="7"/>
      <c r="N542" s="7"/>
      <c r="O542" s="2"/>
      <c r="P542" s="2"/>
      <c r="Q542" s="2"/>
      <c r="R542" s="2"/>
      <c r="S542" s="2"/>
      <c r="T542" s="2"/>
      <c r="U542" s="2"/>
      <c r="V542" s="2"/>
      <c r="W542" s="2"/>
      <c r="X542" s="2"/>
      <c r="Y542" s="2"/>
      <c r="Z542" s="2"/>
    </row>
    <row r="543">
      <c r="A543" s="2"/>
      <c r="B543" s="7"/>
      <c r="C543" s="7"/>
      <c r="D543" s="7"/>
      <c r="E543" s="7"/>
      <c r="F543" s="7"/>
      <c r="G543" s="7"/>
      <c r="H543" s="7"/>
      <c r="I543" s="7"/>
      <c r="J543" s="7"/>
      <c r="K543" s="7"/>
      <c r="L543" s="7"/>
      <c r="M543" s="7"/>
      <c r="N543" s="7"/>
      <c r="O543" s="2"/>
      <c r="P543" s="2"/>
      <c r="Q543" s="2"/>
      <c r="R543" s="2"/>
      <c r="S543" s="2"/>
      <c r="T543" s="2"/>
      <c r="U543" s="2"/>
      <c r="V543" s="2"/>
      <c r="W543" s="2"/>
      <c r="X543" s="2"/>
      <c r="Y543" s="2"/>
      <c r="Z543" s="2"/>
    </row>
    <row r="544">
      <c r="A544" s="2"/>
      <c r="B544" s="7"/>
      <c r="C544" s="7"/>
      <c r="D544" s="7"/>
      <c r="E544" s="7"/>
      <c r="F544" s="7"/>
      <c r="G544" s="7"/>
      <c r="H544" s="7"/>
      <c r="I544" s="7"/>
      <c r="J544" s="7"/>
      <c r="K544" s="7"/>
      <c r="L544" s="7"/>
      <c r="M544" s="7"/>
      <c r="N544" s="7"/>
      <c r="O544" s="2"/>
      <c r="P544" s="2"/>
      <c r="Q544" s="2"/>
      <c r="R544" s="2"/>
      <c r="S544" s="2"/>
      <c r="T544" s="2"/>
      <c r="U544" s="2"/>
      <c r="V544" s="2"/>
      <c r="W544" s="2"/>
      <c r="X544" s="2"/>
      <c r="Y544" s="2"/>
      <c r="Z544" s="2"/>
    </row>
    <row r="545">
      <c r="A545" s="2"/>
      <c r="B545" s="7"/>
      <c r="C545" s="7"/>
      <c r="D545" s="7"/>
      <c r="E545" s="7"/>
      <c r="F545" s="7"/>
      <c r="G545" s="7"/>
      <c r="H545" s="7"/>
      <c r="I545" s="7"/>
      <c r="J545" s="7"/>
      <c r="K545" s="7"/>
      <c r="L545" s="7"/>
      <c r="M545" s="7"/>
      <c r="N545" s="7"/>
      <c r="O545" s="2"/>
      <c r="P545" s="2"/>
      <c r="Q545" s="2"/>
      <c r="R545" s="2"/>
      <c r="S545" s="2"/>
      <c r="T545" s="2"/>
      <c r="U545" s="2"/>
      <c r="V545" s="2"/>
      <c r="W545" s="2"/>
      <c r="X545" s="2"/>
      <c r="Y545" s="2"/>
      <c r="Z545" s="2"/>
    </row>
    <row r="546">
      <c r="A546" s="2"/>
      <c r="B546" s="7"/>
      <c r="C546" s="7"/>
      <c r="D546" s="7"/>
      <c r="E546" s="7"/>
      <c r="F546" s="7"/>
      <c r="G546" s="7"/>
      <c r="H546" s="7"/>
      <c r="I546" s="7"/>
      <c r="J546" s="7"/>
      <c r="K546" s="7"/>
      <c r="L546" s="7"/>
      <c r="M546" s="7"/>
      <c r="N546" s="7"/>
      <c r="O546" s="2"/>
      <c r="P546" s="2"/>
      <c r="Q546" s="2"/>
      <c r="R546" s="2"/>
      <c r="S546" s="2"/>
      <c r="T546" s="2"/>
      <c r="U546" s="2"/>
      <c r="V546" s="2"/>
      <c r="W546" s="2"/>
      <c r="X546" s="2"/>
      <c r="Y546" s="2"/>
      <c r="Z546" s="2"/>
    </row>
    <row r="547">
      <c r="A547" s="2"/>
      <c r="B547" s="7"/>
      <c r="C547" s="7"/>
      <c r="D547" s="7"/>
      <c r="E547" s="7"/>
      <c r="F547" s="7"/>
      <c r="G547" s="7"/>
      <c r="H547" s="7"/>
      <c r="I547" s="7"/>
      <c r="J547" s="7"/>
      <c r="K547" s="7"/>
      <c r="L547" s="7"/>
      <c r="M547" s="7"/>
      <c r="N547" s="7"/>
      <c r="O547" s="2"/>
      <c r="P547" s="2"/>
      <c r="Q547" s="2"/>
      <c r="R547" s="2"/>
      <c r="S547" s="2"/>
      <c r="T547" s="2"/>
      <c r="U547" s="2"/>
      <c r="V547" s="2"/>
      <c r="W547" s="2"/>
      <c r="X547" s="2"/>
      <c r="Y547" s="2"/>
      <c r="Z547" s="2"/>
    </row>
    <row r="548">
      <c r="A548" s="2"/>
      <c r="B548" s="7"/>
      <c r="C548" s="7"/>
      <c r="D548" s="7"/>
      <c r="E548" s="7"/>
      <c r="F548" s="7"/>
      <c r="G548" s="7"/>
      <c r="H548" s="7"/>
      <c r="I548" s="7"/>
      <c r="J548" s="7"/>
      <c r="K548" s="7"/>
      <c r="L548" s="7"/>
      <c r="M548" s="7"/>
      <c r="N548" s="7"/>
      <c r="O548" s="2"/>
      <c r="P548" s="2"/>
      <c r="Q548" s="2"/>
      <c r="R548" s="2"/>
      <c r="S548" s="2"/>
      <c r="T548" s="2"/>
      <c r="U548" s="2"/>
      <c r="V548" s="2"/>
      <c r="W548" s="2"/>
      <c r="X548" s="2"/>
      <c r="Y548" s="2"/>
      <c r="Z548" s="2"/>
    </row>
    <row r="549">
      <c r="A549" s="2"/>
      <c r="B549" s="7"/>
      <c r="C549" s="7"/>
      <c r="D549" s="7"/>
      <c r="E549" s="7"/>
      <c r="F549" s="7"/>
      <c r="G549" s="7"/>
      <c r="H549" s="7"/>
      <c r="I549" s="7"/>
      <c r="J549" s="7"/>
      <c r="K549" s="7"/>
      <c r="L549" s="7"/>
      <c r="M549" s="7"/>
      <c r="N549" s="7"/>
      <c r="O549" s="2"/>
      <c r="P549" s="2"/>
      <c r="Q549" s="2"/>
      <c r="R549" s="2"/>
      <c r="S549" s="2"/>
      <c r="T549" s="2"/>
      <c r="U549" s="2"/>
      <c r="V549" s="2"/>
      <c r="W549" s="2"/>
      <c r="X549" s="2"/>
      <c r="Y549" s="2"/>
      <c r="Z549" s="2"/>
    </row>
    <row r="550">
      <c r="A550" s="2"/>
      <c r="B550" s="7"/>
      <c r="C550" s="7"/>
      <c r="D550" s="7"/>
      <c r="E550" s="7"/>
      <c r="F550" s="7"/>
      <c r="G550" s="7"/>
      <c r="H550" s="7"/>
      <c r="I550" s="7"/>
      <c r="J550" s="7"/>
      <c r="K550" s="7"/>
      <c r="L550" s="7"/>
      <c r="M550" s="7"/>
      <c r="N550" s="7"/>
      <c r="O550" s="2"/>
      <c r="P550" s="2"/>
      <c r="Q550" s="2"/>
      <c r="R550" s="2"/>
      <c r="S550" s="2"/>
      <c r="T550" s="2"/>
      <c r="U550" s="2"/>
      <c r="V550" s="2"/>
      <c r="W550" s="2"/>
      <c r="X550" s="2"/>
      <c r="Y550" s="2"/>
      <c r="Z550" s="2"/>
    </row>
    <row r="551">
      <c r="A551" s="2"/>
      <c r="B551" s="7"/>
      <c r="C551" s="7"/>
      <c r="D551" s="7"/>
      <c r="E551" s="7"/>
      <c r="F551" s="7"/>
      <c r="G551" s="7"/>
      <c r="H551" s="7"/>
      <c r="I551" s="7"/>
      <c r="J551" s="7"/>
      <c r="K551" s="7"/>
      <c r="L551" s="7"/>
      <c r="M551" s="7"/>
      <c r="N551" s="7"/>
      <c r="O551" s="2"/>
      <c r="P551" s="2"/>
      <c r="Q551" s="2"/>
      <c r="R551" s="2"/>
      <c r="S551" s="2"/>
      <c r="T551" s="2"/>
      <c r="U551" s="2"/>
      <c r="V551" s="2"/>
      <c r="W551" s="2"/>
      <c r="X551" s="2"/>
      <c r="Y551" s="2"/>
      <c r="Z551" s="2"/>
    </row>
    <row r="552">
      <c r="A552" s="2"/>
      <c r="B552" s="7"/>
      <c r="C552" s="7"/>
      <c r="D552" s="7"/>
      <c r="E552" s="7"/>
      <c r="F552" s="7"/>
      <c r="G552" s="7"/>
      <c r="H552" s="7"/>
      <c r="I552" s="7"/>
      <c r="J552" s="7"/>
      <c r="K552" s="7"/>
      <c r="L552" s="7"/>
      <c r="M552" s="7"/>
      <c r="N552" s="7"/>
      <c r="O552" s="2"/>
      <c r="P552" s="2"/>
      <c r="Q552" s="2"/>
      <c r="R552" s="2"/>
      <c r="S552" s="2"/>
      <c r="T552" s="2"/>
      <c r="U552" s="2"/>
      <c r="V552" s="2"/>
      <c r="W552" s="2"/>
      <c r="X552" s="2"/>
      <c r="Y552" s="2"/>
      <c r="Z552" s="2"/>
    </row>
    <row r="553">
      <c r="A553" s="2"/>
      <c r="B553" s="7"/>
      <c r="C553" s="7"/>
      <c r="D553" s="7"/>
      <c r="E553" s="7"/>
      <c r="F553" s="7"/>
      <c r="G553" s="7"/>
      <c r="H553" s="7"/>
      <c r="I553" s="7"/>
      <c r="J553" s="7"/>
      <c r="K553" s="7"/>
      <c r="L553" s="7"/>
      <c r="M553" s="7"/>
      <c r="N553" s="7"/>
      <c r="O553" s="2"/>
      <c r="P553" s="2"/>
      <c r="Q553" s="2"/>
      <c r="R553" s="2"/>
      <c r="S553" s="2"/>
      <c r="T553" s="2"/>
      <c r="U553" s="2"/>
      <c r="V553" s="2"/>
      <c r="W553" s="2"/>
      <c r="X553" s="2"/>
      <c r="Y553" s="2"/>
      <c r="Z553" s="2"/>
    </row>
    <row r="554">
      <c r="A554" s="2"/>
      <c r="B554" s="7"/>
      <c r="C554" s="7"/>
      <c r="D554" s="7"/>
      <c r="E554" s="7"/>
      <c r="F554" s="7"/>
      <c r="G554" s="7"/>
      <c r="H554" s="7"/>
      <c r="I554" s="7"/>
      <c r="J554" s="7"/>
      <c r="K554" s="7"/>
      <c r="L554" s="7"/>
      <c r="M554" s="7"/>
      <c r="N554" s="7"/>
      <c r="O554" s="2"/>
      <c r="P554" s="2"/>
      <c r="Q554" s="2"/>
      <c r="R554" s="2"/>
      <c r="S554" s="2"/>
      <c r="T554" s="2"/>
      <c r="U554" s="2"/>
      <c r="V554" s="2"/>
      <c r="W554" s="2"/>
      <c r="X554" s="2"/>
      <c r="Y554" s="2"/>
      <c r="Z554" s="2"/>
    </row>
    <row r="555">
      <c r="A555" s="2"/>
      <c r="B555" s="7"/>
      <c r="C555" s="7"/>
      <c r="D555" s="7"/>
      <c r="E555" s="7"/>
      <c r="F555" s="7"/>
      <c r="G555" s="7"/>
      <c r="H555" s="7"/>
      <c r="I555" s="7"/>
      <c r="J555" s="7"/>
      <c r="K555" s="7"/>
      <c r="L555" s="7"/>
      <c r="M555" s="7"/>
      <c r="N555" s="7"/>
      <c r="O555" s="2"/>
      <c r="P555" s="2"/>
      <c r="Q555" s="2"/>
      <c r="R555" s="2"/>
      <c r="S555" s="2"/>
      <c r="T555" s="2"/>
      <c r="U555" s="2"/>
      <c r="V555" s="2"/>
      <c r="W555" s="2"/>
      <c r="X555" s="2"/>
      <c r="Y555" s="2"/>
      <c r="Z555" s="2"/>
    </row>
    <row r="556">
      <c r="A556" s="2"/>
      <c r="B556" s="7"/>
      <c r="C556" s="7"/>
      <c r="D556" s="7"/>
      <c r="E556" s="7"/>
      <c r="F556" s="7"/>
      <c r="G556" s="7"/>
      <c r="H556" s="7"/>
      <c r="I556" s="7"/>
      <c r="J556" s="7"/>
      <c r="K556" s="7"/>
      <c r="L556" s="7"/>
      <c r="M556" s="7"/>
      <c r="N556" s="7"/>
      <c r="O556" s="2"/>
      <c r="P556" s="2"/>
      <c r="Q556" s="2"/>
      <c r="R556" s="2"/>
      <c r="S556" s="2"/>
      <c r="T556" s="2"/>
      <c r="U556" s="2"/>
      <c r="V556" s="2"/>
      <c r="W556" s="2"/>
      <c r="X556" s="2"/>
      <c r="Y556" s="2"/>
      <c r="Z556" s="2"/>
    </row>
    <row r="557">
      <c r="A557" s="2"/>
      <c r="B557" s="7"/>
      <c r="C557" s="7"/>
      <c r="D557" s="7"/>
      <c r="E557" s="7"/>
      <c r="F557" s="7"/>
      <c r="G557" s="7"/>
      <c r="H557" s="7"/>
      <c r="I557" s="7"/>
      <c r="J557" s="7"/>
      <c r="K557" s="7"/>
      <c r="L557" s="7"/>
      <c r="M557" s="7"/>
      <c r="N557" s="7"/>
      <c r="O557" s="2"/>
      <c r="P557" s="2"/>
      <c r="Q557" s="2"/>
      <c r="R557" s="2"/>
      <c r="S557" s="2"/>
      <c r="T557" s="2"/>
      <c r="U557" s="2"/>
      <c r="V557" s="2"/>
      <c r="W557" s="2"/>
      <c r="X557" s="2"/>
      <c r="Y557" s="2"/>
      <c r="Z557" s="2"/>
    </row>
    <row r="558">
      <c r="A558" s="2"/>
      <c r="B558" s="7"/>
      <c r="C558" s="7"/>
      <c r="D558" s="7"/>
      <c r="E558" s="7"/>
      <c r="F558" s="7"/>
      <c r="G558" s="7"/>
      <c r="H558" s="7"/>
      <c r="I558" s="7"/>
      <c r="J558" s="7"/>
      <c r="K558" s="7"/>
      <c r="L558" s="7"/>
      <c r="M558" s="7"/>
      <c r="N558" s="7"/>
      <c r="O558" s="2"/>
      <c r="P558" s="2"/>
      <c r="Q558" s="2"/>
      <c r="R558" s="2"/>
      <c r="S558" s="2"/>
      <c r="T558" s="2"/>
      <c r="U558" s="2"/>
      <c r="V558" s="2"/>
      <c r="W558" s="2"/>
      <c r="X558" s="2"/>
      <c r="Y558" s="2"/>
      <c r="Z558" s="2"/>
    </row>
    <row r="559">
      <c r="A559" s="2"/>
      <c r="B559" s="7"/>
      <c r="C559" s="7"/>
      <c r="D559" s="7"/>
      <c r="E559" s="7"/>
      <c r="F559" s="7"/>
      <c r="G559" s="7"/>
      <c r="H559" s="7"/>
      <c r="I559" s="7"/>
      <c r="J559" s="7"/>
      <c r="K559" s="7"/>
      <c r="L559" s="7"/>
      <c r="M559" s="7"/>
      <c r="N559" s="7"/>
      <c r="O559" s="2"/>
      <c r="P559" s="2"/>
      <c r="Q559" s="2"/>
      <c r="R559" s="2"/>
      <c r="S559" s="2"/>
      <c r="T559" s="2"/>
      <c r="U559" s="2"/>
      <c r="V559" s="2"/>
      <c r="W559" s="2"/>
      <c r="X559" s="2"/>
      <c r="Y559" s="2"/>
      <c r="Z559" s="2"/>
    </row>
    <row r="560">
      <c r="A560" s="2"/>
      <c r="B560" s="7"/>
      <c r="C560" s="7"/>
      <c r="D560" s="7"/>
      <c r="E560" s="7"/>
      <c r="F560" s="7"/>
      <c r="G560" s="7"/>
      <c r="H560" s="7"/>
      <c r="I560" s="7"/>
      <c r="J560" s="7"/>
      <c r="K560" s="7"/>
      <c r="L560" s="7"/>
      <c r="M560" s="7"/>
      <c r="N560" s="7"/>
      <c r="O560" s="2"/>
      <c r="P560" s="2"/>
      <c r="Q560" s="2"/>
      <c r="R560" s="2"/>
      <c r="S560" s="2"/>
      <c r="T560" s="2"/>
      <c r="U560" s="2"/>
      <c r="V560" s="2"/>
      <c r="W560" s="2"/>
      <c r="X560" s="2"/>
      <c r="Y560" s="2"/>
      <c r="Z560" s="2"/>
    </row>
    <row r="561">
      <c r="A561" s="2"/>
      <c r="B561" s="7"/>
      <c r="C561" s="7"/>
      <c r="D561" s="7"/>
      <c r="E561" s="7"/>
      <c r="F561" s="7"/>
      <c r="G561" s="7"/>
      <c r="H561" s="7"/>
      <c r="I561" s="7"/>
      <c r="J561" s="7"/>
      <c r="K561" s="7"/>
      <c r="L561" s="7"/>
      <c r="M561" s="7"/>
      <c r="N561" s="7"/>
      <c r="O561" s="2"/>
      <c r="P561" s="2"/>
      <c r="Q561" s="2"/>
      <c r="R561" s="2"/>
      <c r="S561" s="2"/>
      <c r="T561" s="2"/>
      <c r="U561" s="2"/>
      <c r="V561" s="2"/>
      <c r="W561" s="2"/>
      <c r="X561" s="2"/>
      <c r="Y561" s="2"/>
      <c r="Z561" s="2"/>
    </row>
    <row r="562">
      <c r="A562" s="2"/>
      <c r="B562" s="7"/>
      <c r="C562" s="7"/>
      <c r="D562" s="7"/>
      <c r="E562" s="7"/>
      <c r="F562" s="7"/>
      <c r="G562" s="7"/>
      <c r="H562" s="7"/>
      <c r="I562" s="7"/>
      <c r="J562" s="7"/>
      <c r="K562" s="7"/>
      <c r="L562" s="7"/>
      <c r="M562" s="7"/>
      <c r="N562" s="7"/>
      <c r="O562" s="2"/>
      <c r="P562" s="2"/>
      <c r="Q562" s="2"/>
      <c r="R562" s="2"/>
      <c r="S562" s="2"/>
      <c r="T562" s="2"/>
      <c r="U562" s="2"/>
      <c r="V562" s="2"/>
      <c r="W562" s="2"/>
      <c r="X562" s="2"/>
      <c r="Y562" s="2"/>
      <c r="Z562" s="2"/>
    </row>
    <row r="563">
      <c r="A563" s="2"/>
      <c r="B563" s="7"/>
      <c r="C563" s="7"/>
      <c r="D563" s="7"/>
      <c r="E563" s="7"/>
      <c r="F563" s="7"/>
      <c r="G563" s="7"/>
      <c r="H563" s="7"/>
      <c r="I563" s="7"/>
      <c r="J563" s="7"/>
      <c r="K563" s="7"/>
      <c r="L563" s="7"/>
      <c r="M563" s="7"/>
      <c r="N563" s="7"/>
      <c r="O563" s="2"/>
      <c r="P563" s="2"/>
      <c r="Q563" s="2"/>
      <c r="R563" s="2"/>
      <c r="S563" s="2"/>
      <c r="T563" s="2"/>
      <c r="U563" s="2"/>
      <c r="V563" s="2"/>
      <c r="W563" s="2"/>
      <c r="X563" s="2"/>
      <c r="Y563" s="2"/>
      <c r="Z563" s="2"/>
    </row>
    <row r="564">
      <c r="A564" s="2"/>
      <c r="B564" s="7"/>
      <c r="C564" s="7"/>
      <c r="D564" s="7"/>
      <c r="E564" s="7"/>
      <c r="F564" s="7"/>
      <c r="G564" s="7"/>
      <c r="H564" s="7"/>
      <c r="I564" s="7"/>
      <c r="J564" s="7"/>
      <c r="K564" s="7"/>
      <c r="L564" s="7"/>
      <c r="M564" s="7"/>
      <c r="N564" s="7"/>
      <c r="O564" s="2"/>
      <c r="P564" s="2"/>
      <c r="Q564" s="2"/>
      <c r="R564" s="2"/>
      <c r="S564" s="2"/>
      <c r="T564" s="2"/>
      <c r="U564" s="2"/>
      <c r="V564" s="2"/>
      <c r="W564" s="2"/>
      <c r="X564" s="2"/>
      <c r="Y564" s="2"/>
      <c r="Z564" s="2"/>
    </row>
    <row r="565">
      <c r="A565" s="2"/>
      <c r="B565" s="7"/>
      <c r="C565" s="7"/>
      <c r="D565" s="7"/>
      <c r="E565" s="7"/>
      <c r="F565" s="7"/>
      <c r="G565" s="7"/>
      <c r="H565" s="7"/>
      <c r="I565" s="7"/>
      <c r="J565" s="7"/>
      <c r="K565" s="7"/>
      <c r="L565" s="7"/>
      <c r="M565" s="7"/>
      <c r="N565" s="7"/>
      <c r="O565" s="2"/>
      <c r="P565" s="2"/>
      <c r="Q565" s="2"/>
      <c r="R565" s="2"/>
      <c r="S565" s="2"/>
      <c r="T565" s="2"/>
      <c r="U565" s="2"/>
      <c r="V565" s="2"/>
      <c r="W565" s="2"/>
      <c r="X565" s="2"/>
      <c r="Y565" s="2"/>
      <c r="Z565" s="2"/>
    </row>
    <row r="566">
      <c r="A566" s="2"/>
      <c r="B566" s="7"/>
      <c r="C566" s="7"/>
      <c r="D566" s="7"/>
      <c r="E566" s="7"/>
      <c r="F566" s="7"/>
      <c r="G566" s="7"/>
      <c r="H566" s="7"/>
      <c r="I566" s="7"/>
      <c r="J566" s="7"/>
      <c r="K566" s="7"/>
      <c r="L566" s="7"/>
      <c r="M566" s="7"/>
      <c r="N566" s="7"/>
      <c r="O566" s="2"/>
      <c r="P566" s="2"/>
      <c r="Q566" s="2"/>
      <c r="R566" s="2"/>
      <c r="S566" s="2"/>
      <c r="T566" s="2"/>
      <c r="U566" s="2"/>
      <c r="V566" s="2"/>
      <c r="W566" s="2"/>
      <c r="X566" s="2"/>
      <c r="Y566" s="2"/>
      <c r="Z566" s="2"/>
    </row>
    <row r="567">
      <c r="A567" s="2"/>
      <c r="B567" s="7"/>
      <c r="C567" s="7"/>
      <c r="D567" s="7"/>
      <c r="E567" s="7"/>
      <c r="F567" s="7"/>
      <c r="G567" s="7"/>
      <c r="H567" s="7"/>
      <c r="I567" s="7"/>
      <c r="J567" s="7"/>
      <c r="K567" s="7"/>
      <c r="L567" s="7"/>
      <c r="M567" s="7"/>
      <c r="N567" s="7"/>
      <c r="O567" s="2"/>
      <c r="P567" s="2"/>
      <c r="Q567" s="2"/>
      <c r="R567" s="2"/>
      <c r="S567" s="2"/>
      <c r="T567" s="2"/>
      <c r="U567" s="2"/>
      <c r="V567" s="2"/>
      <c r="W567" s="2"/>
      <c r="X567" s="2"/>
      <c r="Y567" s="2"/>
      <c r="Z567" s="2"/>
    </row>
    <row r="568">
      <c r="A568" s="2"/>
      <c r="B568" s="7"/>
      <c r="C568" s="7"/>
      <c r="D568" s="7"/>
      <c r="E568" s="7"/>
      <c r="F568" s="7"/>
      <c r="G568" s="7"/>
      <c r="H568" s="7"/>
      <c r="I568" s="7"/>
      <c r="J568" s="7"/>
      <c r="K568" s="7"/>
      <c r="L568" s="7"/>
      <c r="M568" s="7"/>
      <c r="N568" s="7"/>
      <c r="O568" s="2"/>
      <c r="P568" s="2"/>
      <c r="Q568" s="2"/>
      <c r="R568" s="2"/>
      <c r="S568" s="2"/>
      <c r="T568" s="2"/>
      <c r="U568" s="2"/>
      <c r="V568" s="2"/>
      <c r="W568" s="2"/>
      <c r="X568" s="2"/>
      <c r="Y568" s="2"/>
      <c r="Z568" s="2"/>
    </row>
    <row r="569">
      <c r="A569" s="2"/>
      <c r="B569" s="7"/>
      <c r="C569" s="7"/>
      <c r="D569" s="7"/>
      <c r="E569" s="7"/>
      <c r="F569" s="7"/>
      <c r="G569" s="7"/>
      <c r="H569" s="7"/>
      <c r="I569" s="7"/>
      <c r="J569" s="7"/>
      <c r="K569" s="7"/>
      <c r="L569" s="7"/>
      <c r="M569" s="7"/>
      <c r="N569" s="7"/>
      <c r="O569" s="2"/>
      <c r="P569" s="2"/>
      <c r="Q569" s="2"/>
      <c r="R569" s="2"/>
      <c r="S569" s="2"/>
      <c r="T569" s="2"/>
      <c r="U569" s="2"/>
      <c r="V569" s="2"/>
      <c r="W569" s="2"/>
      <c r="X569" s="2"/>
      <c r="Y569" s="2"/>
      <c r="Z569" s="2"/>
    </row>
    <row r="570">
      <c r="A570" s="2"/>
      <c r="B570" s="7"/>
      <c r="C570" s="7"/>
      <c r="D570" s="7"/>
      <c r="E570" s="7"/>
      <c r="F570" s="7"/>
      <c r="G570" s="7"/>
      <c r="H570" s="7"/>
      <c r="I570" s="7"/>
      <c r="J570" s="7"/>
      <c r="K570" s="7"/>
      <c r="L570" s="7"/>
      <c r="M570" s="7"/>
      <c r="N570" s="7"/>
      <c r="O570" s="2"/>
      <c r="P570" s="2"/>
      <c r="Q570" s="2"/>
      <c r="R570" s="2"/>
      <c r="S570" s="2"/>
      <c r="T570" s="2"/>
      <c r="U570" s="2"/>
      <c r="V570" s="2"/>
      <c r="W570" s="2"/>
      <c r="X570" s="2"/>
      <c r="Y570" s="2"/>
      <c r="Z570" s="2"/>
    </row>
    <row r="571">
      <c r="A571" s="2"/>
      <c r="B571" s="7"/>
      <c r="C571" s="7"/>
      <c r="D571" s="7"/>
      <c r="E571" s="7"/>
      <c r="F571" s="7"/>
      <c r="G571" s="7"/>
      <c r="H571" s="7"/>
      <c r="I571" s="7"/>
      <c r="J571" s="7"/>
      <c r="K571" s="7"/>
      <c r="L571" s="7"/>
      <c r="M571" s="7"/>
      <c r="N571" s="7"/>
      <c r="O571" s="2"/>
      <c r="P571" s="2"/>
      <c r="Q571" s="2"/>
      <c r="R571" s="2"/>
      <c r="S571" s="2"/>
      <c r="T571" s="2"/>
      <c r="U571" s="2"/>
      <c r="V571" s="2"/>
      <c r="W571" s="2"/>
      <c r="X571" s="2"/>
      <c r="Y571" s="2"/>
      <c r="Z571" s="2"/>
    </row>
    <row r="572">
      <c r="A572" s="2"/>
      <c r="B572" s="7"/>
      <c r="C572" s="7"/>
      <c r="D572" s="7"/>
      <c r="E572" s="7"/>
      <c r="F572" s="7"/>
      <c r="G572" s="7"/>
      <c r="H572" s="7"/>
      <c r="I572" s="7"/>
      <c r="J572" s="7"/>
      <c r="K572" s="7"/>
      <c r="L572" s="7"/>
      <c r="M572" s="7"/>
      <c r="N572" s="7"/>
      <c r="O572" s="2"/>
      <c r="P572" s="2"/>
      <c r="Q572" s="2"/>
      <c r="R572" s="2"/>
      <c r="S572" s="2"/>
      <c r="T572" s="2"/>
      <c r="U572" s="2"/>
      <c r="V572" s="2"/>
      <c r="W572" s="2"/>
      <c r="X572" s="2"/>
      <c r="Y572" s="2"/>
      <c r="Z572" s="2"/>
    </row>
    <row r="573">
      <c r="A573" s="2"/>
      <c r="B573" s="7"/>
      <c r="C573" s="7"/>
      <c r="D573" s="7"/>
      <c r="E573" s="7"/>
      <c r="F573" s="7"/>
      <c r="G573" s="7"/>
      <c r="H573" s="7"/>
      <c r="I573" s="7"/>
      <c r="J573" s="7"/>
      <c r="K573" s="7"/>
      <c r="L573" s="7"/>
      <c r="M573" s="7"/>
      <c r="N573" s="7"/>
      <c r="O573" s="2"/>
      <c r="P573" s="2"/>
      <c r="Q573" s="2"/>
      <c r="R573" s="2"/>
      <c r="S573" s="2"/>
      <c r="T573" s="2"/>
      <c r="U573" s="2"/>
      <c r="V573" s="2"/>
      <c r="W573" s="2"/>
      <c r="X573" s="2"/>
      <c r="Y573" s="2"/>
      <c r="Z573" s="2"/>
    </row>
    <row r="574">
      <c r="A574" s="2"/>
      <c r="B574" s="7"/>
      <c r="C574" s="7"/>
      <c r="D574" s="7"/>
      <c r="E574" s="7"/>
      <c r="F574" s="7"/>
      <c r="G574" s="7"/>
      <c r="H574" s="7"/>
      <c r="I574" s="7"/>
      <c r="J574" s="7"/>
      <c r="K574" s="7"/>
      <c r="L574" s="7"/>
      <c r="M574" s="7"/>
      <c r="N574" s="7"/>
      <c r="O574" s="2"/>
      <c r="P574" s="2"/>
      <c r="Q574" s="2"/>
      <c r="R574" s="2"/>
      <c r="S574" s="2"/>
      <c r="T574" s="2"/>
      <c r="U574" s="2"/>
      <c r="V574" s="2"/>
      <c r="W574" s="2"/>
      <c r="X574" s="2"/>
      <c r="Y574" s="2"/>
      <c r="Z574" s="2"/>
    </row>
    <row r="575">
      <c r="A575" s="2"/>
      <c r="B575" s="7"/>
      <c r="C575" s="7"/>
      <c r="D575" s="7"/>
      <c r="E575" s="7"/>
      <c r="F575" s="7"/>
      <c r="G575" s="7"/>
      <c r="H575" s="7"/>
      <c r="I575" s="7"/>
      <c r="J575" s="7"/>
      <c r="K575" s="7"/>
      <c r="L575" s="7"/>
      <c r="M575" s="7"/>
      <c r="N575" s="7"/>
      <c r="O575" s="2"/>
      <c r="P575" s="2"/>
      <c r="Q575" s="2"/>
      <c r="R575" s="2"/>
      <c r="S575" s="2"/>
      <c r="T575" s="2"/>
      <c r="U575" s="2"/>
      <c r="V575" s="2"/>
      <c r="W575" s="2"/>
      <c r="X575" s="2"/>
      <c r="Y575" s="2"/>
      <c r="Z575" s="2"/>
    </row>
    <row r="576">
      <c r="A576" s="2"/>
      <c r="B576" s="7"/>
      <c r="C576" s="7"/>
      <c r="D576" s="7"/>
      <c r="E576" s="7"/>
      <c r="F576" s="7"/>
      <c r="G576" s="7"/>
      <c r="H576" s="7"/>
      <c r="I576" s="7"/>
      <c r="J576" s="7"/>
      <c r="K576" s="7"/>
      <c r="L576" s="7"/>
      <c r="M576" s="7"/>
      <c r="N576" s="7"/>
      <c r="O576" s="2"/>
      <c r="P576" s="2"/>
      <c r="Q576" s="2"/>
      <c r="R576" s="2"/>
      <c r="S576" s="2"/>
      <c r="T576" s="2"/>
      <c r="U576" s="2"/>
      <c r="V576" s="2"/>
      <c r="W576" s="2"/>
      <c r="X576" s="2"/>
      <c r="Y576" s="2"/>
      <c r="Z576" s="2"/>
    </row>
    <row r="577">
      <c r="A577" s="2"/>
      <c r="B577" s="7"/>
      <c r="C577" s="7"/>
      <c r="D577" s="7"/>
      <c r="E577" s="7"/>
      <c r="F577" s="7"/>
      <c r="G577" s="7"/>
      <c r="H577" s="7"/>
      <c r="I577" s="7"/>
      <c r="J577" s="7"/>
      <c r="K577" s="7"/>
      <c r="L577" s="7"/>
      <c r="M577" s="7"/>
      <c r="N577" s="7"/>
      <c r="O577" s="2"/>
      <c r="P577" s="2"/>
      <c r="Q577" s="2"/>
      <c r="R577" s="2"/>
      <c r="S577" s="2"/>
      <c r="T577" s="2"/>
      <c r="U577" s="2"/>
      <c r="V577" s="2"/>
      <c r="W577" s="2"/>
      <c r="X577" s="2"/>
      <c r="Y577" s="2"/>
      <c r="Z577" s="2"/>
    </row>
    <row r="578">
      <c r="A578" s="2"/>
      <c r="B578" s="7"/>
      <c r="C578" s="7"/>
      <c r="D578" s="7"/>
      <c r="E578" s="7"/>
      <c r="F578" s="7"/>
      <c r="G578" s="7"/>
      <c r="H578" s="7"/>
      <c r="I578" s="7"/>
      <c r="J578" s="7"/>
      <c r="K578" s="7"/>
      <c r="L578" s="7"/>
      <c r="M578" s="7"/>
      <c r="N578" s="7"/>
      <c r="O578" s="2"/>
      <c r="P578" s="2"/>
      <c r="Q578" s="2"/>
      <c r="R578" s="2"/>
      <c r="S578" s="2"/>
      <c r="T578" s="2"/>
      <c r="U578" s="2"/>
      <c r="V578" s="2"/>
      <c r="W578" s="2"/>
      <c r="X578" s="2"/>
      <c r="Y578" s="2"/>
      <c r="Z578" s="2"/>
    </row>
    <row r="579">
      <c r="A579" s="2"/>
      <c r="B579" s="7"/>
      <c r="C579" s="7"/>
      <c r="D579" s="7"/>
      <c r="E579" s="7"/>
      <c r="F579" s="7"/>
      <c r="G579" s="7"/>
      <c r="H579" s="7"/>
      <c r="I579" s="7"/>
      <c r="J579" s="7"/>
      <c r="K579" s="7"/>
      <c r="L579" s="7"/>
      <c r="M579" s="7"/>
      <c r="N579" s="7"/>
      <c r="O579" s="2"/>
      <c r="P579" s="2"/>
      <c r="Q579" s="2"/>
      <c r="R579" s="2"/>
      <c r="S579" s="2"/>
      <c r="T579" s="2"/>
      <c r="U579" s="2"/>
      <c r="V579" s="2"/>
      <c r="W579" s="2"/>
      <c r="X579" s="2"/>
      <c r="Y579" s="2"/>
      <c r="Z579" s="2"/>
    </row>
    <row r="580">
      <c r="A580" s="2"/>
      <c r="B580" s="7"/>
      <c r="C580" s="7"/>
      <c r="D580" s="7"/>
      <c r="E580" s="7"/>
      <c r="F580" s="7"/>
      <c r="G580" s="7"/>
      <c r="H580" s="7"/>
      <c r="I580" s="7"/>
      <c r="J580" s="7"/>
      <c r="K580" s="7"/>
      <c r="L580" s="7"/>
      <c r="M580" s="7"/>
      <c r="N580" s="7"/>
      <c r="O580" s="2"/>
      <c r="P580" s="2"/>
      <c r="Q580" s="2"/>
      <c r="R580" s="2"/>
      <c r="S580" s="2"/>
      <c r="T580" s="2"/>
      <c r="U580" s="2"/>
      <c r="V580" s="2"/>
      <c r="W580" s="2"/>
      <c r="X580" s="2"/>
      <c r="Y580" s="2"/>
      <c r="Z580" s="2"/>
    </row>
    <row r="581">
      <c r="A581" s="2"/>
      <c r="B581" s="7"/>
      <c r="C581" s="7"/>
      <c r="D581" s="7"/>
      <c r="E581" s="7"/>
      <c r="F581" s="7"/>
      <c r="G581" s="7"/>
      <c r="H581" s="7"/>
      <c r="I581" s="7"/>
      <c r="J581" s="7"/>
      <c r="K581" s="7"/>
      <c r="L581" s="7"/>
      <c r="M581" s="7"/>
      <c r="N581" s="7"/>
      <c r="O581" s="2"/>
      <c r="P581" s="2"/>
      <c r="Q581" s="2"/>
      <c r="R581" s="2"/>
      <c r="S581" s="2"/>
      <c r="T581" s="2"/>
      <c r="U581" s="2"/>
      <c r="V581" s="2"/>
      <c r="W581" s="2"/>
      <c r="X581" s="2"/>
      <c r="Y581" s="2"/>
      <c r="Z581" s="2"/>
    </row>
    <row r="582">
      <c r="A582" s="2"/>
      <c r="B582" s="7"/>
      <c r="C582" s="7"/>
      <c r="D582" s="7"/>
      <c r="E582" s="7"/>
      <c r="F582" s="7"/>
      <c r="G582" s="7"/>
      <c r="H582" s="7"/>
      <c r="I582" s="7"/>
      <c r="J582" s="7"/>
      <c r="K582" s="7"/>
      <c r="L582" s="7"/>
      <c r="M582" s="7"/>
      <c r="N582" s="7"/>
      <c r="O582" s="2"/>
      <c r="P582" s="2"/>
      <c r="Q582" s="2"/>
      <c r="R582" s="2"/>
      <c r="S582" s="2"/>
      <c r="T582" s="2"/>
      <c r="U582" s="2"/>
      <c r="V582" s="2"/>
      <c r="W582" s="2"/>
      <c r="X582" s="2"/>
      <c r="Y582" s="2"/>
      <c r="Z582" s="2"/>
    </row>
    <row r="583">
      <c r="A583" s="2"/>
      <c r="B583" s="7"/>
      <c r="C583" s="7"/>
      <c r="D583" s="7"/>
      <c r="E583" s="7"/>
      <c r="F583" s="7"/>
      <c r="G583" s="7"/>
      <c r="H583" s="7"/>
      <c r="I583" s="7"/>
      <c r="J583" s="7"/>
      <c r="K583" s="7"/>
      <c r="L583" s="7"/>
      <c r="M583" s="7"/>
      <c r="N583" s="7"/>
      <c r="O583" s="2"/>
      <c r="P583" s="2"/>
      <c r="Q583" s="2"/>
      <c r="R583" s="2"/>
      <c r="S583" s="2"/>
      <c r="T583" s="2"/>
      <c r="U583" s="2"/>
      <c r="V583" s="2"/>
      <c r="W583" s="2"/>
      <c r="X583" s="2"/>
      <c r="Y583" s="2"/>
      <c r="Z583" s="2"/>
    </row>
    <row r="584">
      <c r="A584" s="2"/>
      <c r="B584" s="7"/>
      <c r="C584" s="7"/>
      <c r="D584" s="7"/>
      <c r="E584" s="7"/>
      <c r="F584" s="7"/>
      <c r="G584" s="7"/>
      <c r="H584" s="7"/>
      <c r="I584" s="7"/>
      <c r="J584" s="7"/>
      <c r="K584" s="7"/>
      <c r="L584" s="7"/>
      <c r="M584" s="7"/>
      <c r="N584" s="7"/>
      <c r="O584" s="2"/>
      <c r="P584" s="2"/>
      <c r="Q584" s="2"/>
      <c r="R584" s="2"/>
      <c r="S584" s="2"/>
      <c r="T584" s="2"/>
      <c r="U584" s="2"/>
      <c r="V584" s="2"/>
      <c r="W584" s="2"/>
      <c r="X584" s="2"/>
      <c r="Y584" s="2"/>
      <c r="Z584" s="2"/>
    </row>
    <row r="585">
      <c r="A585" s="2"/>
      <c r="B585" s="7"/>
      <c r="C585" s="7"/>
      <c r="D585" s="7"/>
      <c r="E585" s="7"/>
      <c r="F585" s="7"/>
      <c r="G585" s="7"/>
      <c r="H585" s="7"/>
      <c r="I585" s="7"/>
      <c r="J585" s="7"/>
      <c r="K585" s="7"/>
      <c r="L585" s="7"/>
      <c r="M585" s="7"/>
      <c r="N585" s="7"/>
      <c r="O585" s="2"/>
      <c r="P585" s="2"/>
      <c r="Q585" s="2"/>
      <c r="R585" s="2"/>
      <c r="S585" s="2"/>
      <c r="T585" s="2"/>
      <c r="U585" s="2"/>
      <c r="V585" s="2"/>
      <c r="W585" s="2"/>
      <c r="X585" s="2"/>
      <c r="Y585" s="2"/>
      <c r="Z585" s="2"/>
    </row>
    <row r="586">
      <c r="A586" s="2"/>
      <c r="B586" s="7"/>
      <c r="C586" s="7"/>
      <c r="D586" s="7"/>
      <c r="E586" s="7"/>
      <c r="F586" s="7"/>
      <c r="G586" s="7"/>
      <c r="H586" s="7"/>
      <c r="I586" s="7"/>
      <c r="J586" s="7"/>
      <c r="K586" s="7"/>
      <c r="L586" s="7"/>
      <c r="M586" s="7"/>
      <c r="N586" s="7"/>
      <c r="O586" s="2"/>
      <c r="P586" s="2"/>
      <c r="Q586" s="2"/>
      <c r="R586" s="2"/>
      <c r="S586" s="2"/>
      <c r="T586" s="2"/>
      <c r="U586" s="2"/>
      <c r="V586" s="2"/>
      <c r="W586" s="2"/>
      <c r="X586" s="2"/>
      <c r="Y586" s="2"/>
      <c r="Z586" s="2"/>
    </row>
    <row r="587">
      <c r="A587" s="2"/>
      <c r="B587" s="7"/>
      <c r="C587" s="7"/>
      <c r="D587" s="7"/>
      <c r="E587" s="7"/>
      <c r="F587" s="7"/>
      <c r="G587" s="7"/>
      <c r="H587" s="7"/>
      <c r="I587" s="7"/>
      <c r="J587" s="7"/>
      <c r="K587" s="7"/>
      <c r="L587" s="7"/>
      <c r="M587" s="7"/>
      <c r="N587" s="7"/>
      <c r="O587" s="2"/>
      <c r="P587" s="2"/>
      <c r="Q587" s="2"/>
      <c r="R587" s="2"/>
      <c r="S587" s="2"/>
      <c r="T587" s="2"/>
      <c r="U587" s="2"/>
      <c r="V587" s="2"/>
      <c r="W587" s="2"/>
      <c r="X587" s="2"/>
      <c r="Y587" s="2"/>
      <c r="Z587" s="2"/>
    </row>
    <row r="588">
      <c r="A588" s="2"/>
      <c r="B588" s="7"/>
      <c r="C588" s="7"/>
      <c r="D588" s="7"/>
      <c r="E588" s="7"/>
      <c r="F588" s="7"/>
      <c r="G588" s="7"/>
      <c r="H588" s="7"/>
      <c r="I588" s="7"/>
      <c r="J588" s="7"/>
      <c r="K588" s="7"/>
      <c r="L588" s="7"/>
      <c r="M588" s="7"/>
      <c r="N588" s="7"/>
      <c r="O588" s="2"/>
      <c r="P588" s="2"/>
      <c r="Q588" s="2"/>
      <c r="R588" s="2"/>
      <c r="S588" s="2"/>
      <c r="T588" s="2"/>
      <c r="U588" s="2"/>
      <c r="V588" s="2"/>
      <c r="W588" s="2"/>
      <c r="X588" s="2"/>
      <c r="Y588" s="2"/>
      <c r="Z588" s="2"/>
    </row>
    <row r="589">
      <c r="A589" s="2"/>
      <c r="B589" s="7"/>
      <c r="C589" s="7"/>
      <c r="D589" s="7"/>
      <c r="E589" s="7"/>
      <c r="F589" s="7"/>
      <c r="G589" s="7"/>
      <c r="H589" s="7"/>
      <c r="I589" s="7"/>
      <c r="J589" s="7"/>
      <c r="K589" s="7"/>
      <c r="L589" s="7"/>
      <c r="M589" s="7"/>
      <c r="N589" s="7"/>
      <c r="O589" s="2"/>
      <c r="P589" s="2"/>
      <c r="Q589" s="2"/>
      <c r="R589" s="2"/>
      <c r="S589" s="2"/>
      <c r="T589" s="2"/>
      <c r="U589" s="2"/>
      <c r="V589" s="2"/>
      <c r="W589" s="2"/>
      <c r="X589" s="2"/>
      <c r="Y589" s="2"/>
      <c r="Z589" s="2"/>
    </row>
    <row r="590">
      <c r="A590" s="2"/>
      <c r="B590" s="7"/>
      <c r="C590" s="7"/>
      <c r="D590" s="7"/>
      <c r="E590" s="7"/>
      <c r="F590" s="7"/>
      <c r="G590" s="7"/>
      <c r="H590" s="7"/>
      <c r="I590" s="7"/>
      <c r="J590" s="7"/>
      <c r="K590" s="7"/>
      <c r="L590" s="7"/>
      <c r="M590" s="7"/>
      <c r="N590" s="7"/>
      <c r="O590" s="2"/>
      <c r="P590" s="2"/>
      <c r="Q590" s="2"/>
      <c r="R590" s="2"/>
      <c r="S590" s="2"/>
      <c r="T590" s="2"/>
      <c r="U590" s="2"/>
      <c r="V590" s="2"/>
      <c r="W590" s="2"/>
      <c r="X590" s="2"/>
      <c r="Y590" s="2"/>
      <c r="Z590" s="2"/>
    </row>
    <row r="591">
      <c r="A591" s="2"/>
      <c r="B591" s="7"/>
      <c r="C591" s="7"/>
      <c r="D591" s="7"/>
      <c r="E591" s="7"/>
      <c r="F591" s="7"/>
      <c r="G591" s="7"/>
      <c r="H591" s="7"/>
      <c r="I591" s="7"/>
      <c r="J591" s="7"/>
      <c r="K591" s="7"/>
      <c r="L591" s="7"/>
      <c r="M591" s="7"/>
      <c r="N591" s="7"/>
      <c r="O591" s="2"/>
      <c r="P591" s="2"/>
      <c r="Q591" s="2"/>
      <c r="R591" s="2"/>
      <c r="S591" s="2"/>
      <c r="T591" s="2"/>
      <c r="U591" s="2"/>
      <c r="V591" s="2"/>
      <c r="W591" s="2"/>
      <c r="X591" s="2"/>
      <c r="Y591" s="2"/>
      <c r="Z591" s="2"/>
    </row>
    <row r="592">
      <c r="A592" s="2"/>
      <c r="B592" s="7"/>
      <c r="C592" s="7"/>
      <c r="D592" s="7"/>
      <c r="E592" s="7"/>
      <c r="F592" s="7"/>
      <c r="G592" s="7"/>
      <c r="H592" s="7"/>
      <c r="I592" s="7"/>
      <c r="J592" s="7"/>
      <c r="K592" s="7"/>
      <c r="L592" s="7"/>
      <c r="M592" s="7"/>
      <c r="N592" s="7"/>
      <c r="O592" s="2"/>
      <c r="P592" s="2"/>
      <c r="Q592" s="2"/>
      <c r="R592" s="2"/>
      <c r="S592" s="2"/>
      <c r="T592" s="2"/>
      <c r="U592" s="2"/>
      <c r="V592" s="2"/>
      <c r="W592" s="2"/>
      <c r="X592" s="2"/>
      <c r="Y592" s="2"/>
      <c r="Z592" s="2"/>
    </row>
    <row r="593">
      <c r="A593" s="2"/>
      <c r="B593" s="7"/>
      <c r="C593" s="7"/>
      <c r="D593" s="7"/>
      <c r="E593" s="7"/>
      <c r="F593" s="7"/>
      <c r="G593" s="7"/>
      <c r="H593" s="7"/>
      <c r="I593" s="7"/>
      <c r="J593" s="7"/>
      <c r="K593" s="7"/>
      <c r="L593" s="7"/>
      <c r="M593" s="7"/>
      <c r="N593" s="7"/>
      <c r="O593" s="2"/>
      <c r="P593" s="2"/>
      <c r="Q593" s="2"/>
      <c r="R593" s="2"/>
      <c r="S593" s="2"/>
      <c r="T593" s="2"/>
      <c r="U593" s="2"/>
      <c r="V593" s="2"/>
      <c r="W593" s="2"/>
      <c r="X593" s="2"/>
      <c r="Y593" s="2"/>
      <c r="Z593" s="2"/>
    </row>
    <row r="594">
      <c r="A594" s="2"/>
      <c r="B594" s="7"/>
      <c r="C594" s="7"/>
      <c r="D594" s="7"/>
      <c r="E594" s="7"/>
      <c r="F594" s="7"/>
      <c r="G594" s="7"/>
      <c r="H594" s="7"/>
      <c r="I594" s="7"/>
      <c r="J594" s="7"/>
      <c r="K594" s="7"/>
      <c r="L594" s="7"/>
      <c r="M594" s="7"/>
      <c r="N594" s="7"/>
      <c r="O594" s="2"/>
      <c r="P594" s="2"/>
      <c r="Q594" s="2"/>
      <c r="R594" s="2"/>
      <c r="S594" s="2"/>
      <c r="T594" s="2"/>
      <c r="U594" s="2"/>
      <c r="V594" s="2"/>
      <c r="W594" s="2"/>
      <c r="X594" s="2"/>
      <c r="Y594" s="2"/>
      <c r="Z594" s="2"/>
    </row>
    <row r="595">
      <c r="A595" s="2"/>
      <c r="B595" s="7"/>
      <c r="C595" s="7"/>
      <c r="D595" s="7"/>
      <c r="E595" s="7"/>
      <c r="F595" s="7"/>
      <c r="G595" s="7"/>
      <c r="H595" s="7"/>
      <c r="I595" s="7"/>
      <c r="J595" s="7"/>
      <c r="K595" s="7"/>
      <c r="L595" s="7"/>
      <c r="M595" s="7"/>
      <c r="N595" s="7"/>
      <c r="O595" s="2"/>
      <c r="P595" s="2"/>
      <c r="Q595" s="2"/>
      <c r="R595" s="2"/>
      <c r="S595" s="2"/>
      <c r="T595" s="2"/>
      <c r="U595" s="2"/>
      <c r="V595" s="2"/>
      <c r="W595" s="2"/>
      <c r="X595" s="2"/>
      <c r="Y595" s="2"/>
      <c r="Z595" s="2"/>
    </row>
    <row r="596">
      <c r="A596" s="2"/>
      <c r="B596" s="7"/>
      <c r="C596" s="7"/>
      <c r="D596" s="7"/>
      <c r="E596" s="7"/>
      <c r="F596" s="7"/>
      <c r="G596" s="7"/>
      <c r="H596" s="7"/>
      <c r="I596" s="7"/>
      <c r="J596" s="7"/>
      <c r="K596" s="7"/>
      <c r="L596" s="7"/>
      <c r="M596" s="7"/>
      <c r="N596" s="7"/>
      <c r="O596" s="2"/>
      <c r="P596" s="2"/>
      <c r="Q596" s="2"/>
      <c r="R596" s="2"/>
      <c r="S596" s="2"/>
      <c r="T596" s="2"/>
      <c r="U596" s="2"/>
      <c r="V596" s="2"/>
      <c r="W596" s="2"/>
      <c r="X596" s="2"/>
      <c r="Y596" s="2"/>
      <c r="Z596" s="2"/>
    </row>
    <row r="597">
      <c r="A597" s="2"/>
      <c r="B597" s="7"/>
      <c r="C597" s="7"/>
      <c r="D597" s="7"/>
      <c r="E597" s="7"/>
      <c r="F597" s="7"/>
      <c r="G597" s="7"/>
      <c r="H597" s="7"/>
      <c r="I597" s="7"/>
      <c r="J597" s="7"/>
      <c r="K597" s="7"/>
      <c r="L597" s="7"/>
      <c r="M597" s="7"/>
      <c r="N597" s="7"/>
      <c r="O597" s="2"/>
      <c r="P597" s="2"/>
      <c r="Q597" s="2"/>
      <c r="R597" s="2"/>
      <c r="S597" s="2"/>
      <c r="T597" s="2"/>
      <c r="U597" s="2"/>
      <c r="V597" s="2"/>
      <c r="W597" s="2"/>
      <c r="X597" s="2"/>
      <c r="Y597" s="2"/>
      <c r="Z597" s="2"/>
    </row>
    <row r="598">
      <c r="A598" s="2"/>
      <c r="B598" s="7"/>
      <c r="C598" s="7"/>
      <c r="D598" s="7"/>
      <c r="E598" s="7"/>
      <c r="F598" s="7"/>
      <c r="G598" s="7"/>
      <c r="H598" s="7"/>
      <c r="I598" s="7"/>
      <c r="J598" s="7"/>
      <c r="K598" s="7"/>
      <c r="L598" s="7"/>
      <c r="M598" s="7"/>
      <c r="N598" s="7"/>
      <c r="O598" s="2"/>
      <c r="P598" s="2"/>
      <c r="Q598" s="2"/>
      <c r="R598" s="2"/>
      <c r="S598" s="2"/>
      <c r="T598" s="2"/>
      <c r="U598" s="2"/>
      <c r="V598" s="2"/>
      <c r="W598" s="2"/>
      <c r="X598" s="2"/>
      <c r="Y598" s="2"/>
      <c r="Z598" s="2"/>
    </row>
    <row r="599">
      <c r="A599" s="2"/>
      <c r="B599" s="7"/>
      <c r="C599" s="7"/>
      <c r="D599" s="7"/>
      <c r="E599" s="7"/>
      <c r="F599" s="7"/>
      <c r="G599" s="7"/>
      <c r="H599" s="7"/>
      <c r="I599" s="7"/>
      <c r="J599" s="7"/>
      <c r="K599" s="7"/>
      <c r="L599" s="7"/>
      <c r="M599" s="7"/>
      <c r="N599" s="7"/>
      <c r="O599" s="2"/>
      <c r="P599" s="2"/>
      <c r="Q599" s="2"/>
      <c r="R599" s="2"/>
      <c r="S599" s="2"/>
      <c r="T599" s="2"/>
      <c r="U599" s="2"/>
      <c r="V599" s="2"/>
      <c r="W599" s="2"/>
      <c r="X599" s="2"/>
      <c r="Y599" s="2"/>
      <c r="Z599" s="2"/>
    </row>
    <row r="600">
      <c r="A600" s="2"/>
      <c r="B600" s="7"/>
      <c r="C600" s="7"/>
      <c r="D600" s="7"/>
      <c r="E600" s="7"/>
      <c r="F600" s="7"/>
      <c r="G600" s="7"/>
      <c r="H600" s="7"/>
      <c r="I600" s="7"/>
      <c r="J600" s="7"/>
      <c r="K600" s="7"/>
      <c r="L600" s="7"/>
      <c r="M600" s="7"/>
      <c r="N600" s="7"/>
      <c r="O600" s="2"/>
      <c r="P600" s="2"/>
      <c r="Q600" s="2"/>
      <c r="R600" s="2"/>
      <c r="S600" s="2"/>
      <c r="T600" s="2"/>
      <c r="U600" s="2"/>
      <c r="V600" s="2"/>
      <c r="W600" s="2"/>
      <c r="X600" s="2"/>
      <c r="Y600" s="2"/>
      <c r="Z600" s="2"/>
    </row>
    <row r="601">
      <c r="A601" s="2"/>
      <c r="B601" s="7"/>
      <c r="C601" s="7"/>
      <c r="D601" s="7"/>
      <c r="E601" s="7"/>
      <c r="F601" s="7"/>
      <c r="G601" s="7"/>
      <c r="H601" s="7"/>
      <c r="I601" s="7"/>
      <c r="J601" s="7"/>
      <c r="K601" s="7"/>
      <c r="L601" s="7"/>
      <c r="M601" s="7"/>
      <c r="N601" s="7"/>
      <c r="O601" s="2"/>
      <c r="P601" s="2"/>
      <c r="Q601" s="2"/>
      <c r="R601" s="2"/>
      <c r="S601" s="2"/>
      <c r="T601" s="2"/>
      <c r="U601" s="2"/>
      <c r="V601" s="2"/>
      <c r="W601" s="2"/>
      <c r="X601" s="2"/>
      <c r="Y601" s="2"/>
      <c r="Z601" s="2"/>
    </row>
    <row r="602">
      <c r="A602" s="2"/>
      <c r="B602" s="7"/>
      <c r="C602" s="7"/>
      <c r="D602" s="7"/>
      <c r="E602" s="7"/>
      <c r="F602" s="7"/>
      <c r="G602" s="7"/>
      <c r="H602" s="7"/>
      <c r="I602" s="7"/>
      <c r="J602" s="7"/>
      <c r="K602" s="7"/>
      <c r="L602" s="7"/>
      <c r="M602" s="7"/>
      <c r="N602" s="7"/>
      <c r="O602" s="2"/>
      <c r="P602" s="2"/>
      <c r="Q602" s="2"/>
      <c r="R602" s="2"/>
      <c r="S602" s="2"/>
      <c r="T602" s="2"/>
      <c r="U602" s="2"/>
      <c r="V602" s="2"/>
      <c r="W602" s="2"/>
      <c r="X602" s="2"/>
      <c r="Y602" s="2"/>
      <c r="Z602" s="2"/>
    </row>
    <row r="603">
      <c r="A603" s="2"/>
      <c r="B603" s="7"/>
      <c r="C603" s="7"/>
      <c r="D603" s="7"/>
      <c r="E603" s="7"/>
      <c r="F603" s="7"/>
      <c r="G603" s="7"/>
      <c r="H603" s="7"/>
      <c r="I603" s="7"/>
      <c r="J603" s="7"/>
      <c r="K603" s="7"/>
      <c r="L603" s="7"/>
      <c r="M603" s="7"/>
      <c r="N603" s="7"/>
      <c r="O603" s="2"/>
      <c r="P603" s="2"/>
      <c r="Q603" s="2"/>
      <c r="R603" s="2"/>
      <c r="S603" s="2"/>
      <c r="T603" s="2"/>
      <c r="U603" s="2"/>
      <c r="V603" s="2"/>
      <c r="W603" s="2"/>
      <c r="X603" s="2"/>
      <c r="Y603" s="2"/>
      <c r="Z603" s="2"/>
    </row>
    <row r="604">
      <c r="A604" s="2"/>
      <c r="B604" s="7"/>
      <c r="C604" s="7"/>
      <c r="D604" s="7"/>
      <c r="E604" s="7"/>
      <c r="F604" s="7"/>
      <c r="G604" s="7"/>
      <c r="H604" s="7"/>
      <c r="I604" s="7"/>
      <c r="J604" s="7"/>
      <c r="K604" s="7"/>
      <c r="L604" s="7"/>
      <c r="M604" s="7"/>
      <c r="N604" s="7"/>
      <c r="O604" s="2"/>
      <c r="P604" s="2"/>
      <c r="Q604" s="2"/>
      <c r="R604" s="2"/>
      <c r="S604" s="2"/>
      <c r="T604" s="2"/>
      <c r="U604" s="2"/>
      <c r="V604" s="2"/>
      <c r="W604" s="2"/>
      <c r="X604" s="2"/>
      <c r="Y604" s="2"/>
      <c r="Z604" s="2"/>
    </row>
    <row r="605">
      <c r="A605" s="2"/>
      <c r="B605" s="7"/>
      <c r="C605" s="7"/>
      <c r="D605" s="7"/>
      <c r="E605" s="7"/>
      <c r="F605" s="7"/>
      <c r="G605" s="7"/>
      <c r="H605" s="7"/>
      <c r="I605" s="7"/>
      <c r="J605" s="7"/>
      <c r="K605" s="7"/>
      <c r="L605" s="7"/>
      <c r="M605" s="7"/>
      <c r="N605" s="7"/>
      <c r="O605" s="2"/>
      <c r="P605" s="2"/>
      <c r="Q605" s="2"/>
      <c r="R605" s="2"/>
      <c r="S605" s="2"/>
      <c r="T605" s="2"/>
      <c r="U605" s="2"/>
      <c r="V605" s="2"/>
      <c r="W605" s="2"/>
      <c r="X605" s="2"/>
      <c r="Y605" s="2"/>
      <c r="Z605" s="2"/>
    </row>
    <row r="606">
      <c r="A606" s="2"/>
      <c r="B606" s="7"/>
      <c r="C606" s="7"/>
      <c r="D606" s="7"/>
      <c r="E606" s="7"/>
      <c r="F606" s="7"/>
      <c r="G606" s="7"/>
      <c r="H606" s="7"/>
      <c r="I606" s="7"/>
      <c r="J606" s="7"/>
      <c r="K606" s="7"/>
      <c r="L606" s="7"/>
      <c r="M606" s="7"/>
      <c r="N606" s="7"/>
      <c r="O606" s="2"/>
      <c r="P606" s="2"/>
      <c r="Q606" s="2"/>
      <c r="R606" s="2"/>
      <c r="S606" s="2"/>
      <c r="T606" s="2"/>
      <c r="U606" s="2"/>
      <c r="V606" s="2"/>
      <c r="W606" s="2"/>
      <c r="X606" s="2"/>
      <c r="Y606" s="2"/>
      <c r="Z606" s="2"/>
    </row>
    <row r="607">
      <c r="A607" s="2"/>
      <c r="B607" s="7"/>
      <c r="C607" s="7"/>
      <c r="D607" s="7"/>
      <c r="E607" s="7"/>
      <c r="F607" s="7"/>
      <c r="G607" s="7"/>
      <c r="H607" s="7"/>
      <c r="I607" s="7"/>
      <c r="J607" s="7"/>
      <c r="K607" s="7"/>
      <c r="L607" s="7"/>
      <c r="M607" s="7"/>
      <c r="N607" s="7"/>
      <c r="O607" s="2"/>
      <c r="P607" s="2"/>
      <c r="Q607" s="2"/>
      <c r="R607" s="2"/>
      <c r="S607" s="2"/>
      <c r="T607" s="2"/>
      <c r="U607" s="2"/>
      <c r="V607" s="2"/>
      <c r="W607" s="2"/>
      <c r="X607" s="2"/>
      <c r="Y607" s="2"/>
      <c r="Z607" s="2"/>
    </row>
    <row r="608">
      <c r="A608" s="2"/>
      <c r="B608" s="7"/>
      <c r="C608" s="7"/>
      <c r="D608" s="7"/>
      <c r="E608" s="7"/>
      <c r="F608" s="7"/>
      <c r="G608" s="7"/>
      <c r="H608" s="7"/>
      <c r="I608" s="7"/>
      <c r="J608" s="7"/>
      <c r="K608" s="7"/>
      <c r="L608" s="7"/>
      <c r="M608" s="7"/>
      <c r="N608" s="7"/>
      <c r="O608" s="2"/>
      <c r="P608" s="2"/>
      <c r="Q608" s="2"/>
      <c r="R608" s="2"/>
      <c r="S608" s="2"/>
      <c r="T608" s="2"/>
      <c r="U608" s="2"/>
      <c r="V608" s="2"/>
      <c r="W608" s="2"/>
      <c r="X608" s="2"/>
      <c r="Y608" s="2"/>
      <c r="Z608" s="2"/>
    </row>
    <row r="609">
      <c r="A609" s="2"/>
      <c r="B609" s="7"/>
      <c r="C609" s="7"/>
      <c r="D609" s="7"/>
      <c r="E609" s="7"/>
      <c r="F609" s="7"/>
      <c r="G609" s="7"/>
      <c r="H609" s="7"/>
      <c r="I609" s="7"/>
      <c r="J609" s="7"/>
      <c r="K609" s="7"/>
      <c r="L609" s="7"/>
      <c r="M609" s="7"/>
      <c r="N609" s="7"/>
      <c r="O609" s="2"/>
      <c r="P609" s="2"/>
      <c r="Q609" s="2"/>
      <c r="R609" s="2"/>
      <c r="S609" s="2"/>
      <c r="T609" s="2"/>
      <c r="U609" s="2"/>
      <c r="V609" s="2"/>
      <c r="W609" s="2"/>
      <c r="X609" s="2"/>
      <c r="Y609" s="2"/>
      <c r="Z609" s="2"/>
    </row>
    <row r="610">
      <c r="A610" s="2"/>
      <c r="B610" s="7"/>
      <c r="C610" s="7"/>
      <c r="D610" s="7"/>
      <c r="E610" s="7"/>
      <c r="F610" s="7"/>
      <c r="G610" s="7"/>
      <c r="H610" s="7"/>
      <c r="I610" s="7"/>
      <c r="J610" s="7"/>
      <c r="K610" s="7"/>
      <c r="L610" s="7"/>
      <c r="M610" s="7"/>
      <c r="N610" s="7"/>
      <c r="O610" s="2"/>
      <c r="P610" s="2"/>
      <c r="Q610" s="2"/>
      <c r="R610" s="2"/>
      <c r="S610" s="2"/>
      <c r="T610" s="2"/>
      <c r="U610" s="2"/>
      <c r="V610" s="2"/>
      <c r="W610" s="2"/>
      <c r="X610" s="2"/>
      <c r="Y610" s="2"/>
      <c r="Z610" s="2"/>
    </row>
    <row r="611">
      <c r="A611" s="2"/>
      <c r="B611" s="7"/>
      <c r="C611" s="7"/>
      <c r="D611" s="7"/>
      <c r="E611" s="7"/>
      <c r="F611" s="7"/>
      <c r="G611" s="7"/>
      <c r="H611" s="7"/>
      <c r="I611" s="7"/>
      <c r="J611" s="7"/>
      <c r="K611" s="7"/>
      <c r="L611" s="7"/>
      <c r="M611" s="7"/>
      <c r="N611" s="7"/>
      <c r="O611" s="2"/>
      <c r="P611" s="2"/>
      <c r="Q611" s="2"/>
      <c r="R611" s="2"/>
      <c r="S611" s="2"/>
      <c r="T611" s="2"/>
      <c r="U611" s="2"/>
      <c r="V611" s="2"/>
      <c r="W611" s="2"/>
      <c r="X611" s="2"/>
      <c r="Y611" s="2"/>
      <c r="Z611" s="2"/>
    </row>
    <row r="612">
      <c r="A612" s="2"/>
      <c r="B612" s="7"/>
      <c r="C612" s="7"/>
      <c r="D612" s="7"/>
      <c r="E612" s="7"/>
      <c r="F612" s="7"/>
      <c r="G612" s="7"/>
      <c r="H612" s="7"/>
      <c r="I612" s="7"/>
      <c r="J612" s="7"/>
      <c r="K612" s="7"/>
      <c r="L612" s="7"/>
      <c r="M612" s="7"/>
      <c r="N612" s="7"/>
      <c r="O612" s="2"/>
      <c r="P612" s="2"/>
      <c r="Q612" s="2"/>
      <c r="R612" s="2"/>
      <c r="S612" s="2"/>
      <c r="T612" s="2"/>
      <c r="U612" s="2"/>
      <c r="V612" s="2"/>
      <c r="W612" s="2"/>
      <c r="X612" s="2"/>
      <c r="Y612" s="2"/>
      <c r="Z612" s="2"/>
    </row>
    <row r="613">
      <c r="A613" s="2"/>
      <c r="B613" s="7"/>
      <c r="C613" s="7"/>
      <c r="D613" s="7"/>
      <c r="E613" s="7"/>
      <c r="F613" s="7"/>
      <c r="G613" s="7"/>
      <c r="H613" s="7"/>
      <c r="I613" s="7"/>
      <c r="J613" s="7"/>
      <c r="K613" s="7"/>
      <c r="L613" s="7"/>
      <c r="M613" s="7"/>
      <c r="N613" s="7"/>
      <c r="O613" s="2"/>
      <c r="P613" s="2"/>
      <c r="Q613" s="2"/>
      <c r="R613" s="2"/>
      <c r="S613" s="2"/>
      <c r="T613" s="2"/>
      <c r="U613" s="2"/>
      <c r="V613" s="2"/>
      <c r="W613" s="2"/>
      <c r="X613" s="2"/>
      <c r="Y613" s="2"/>
      <c r="Z613" s="2"/>
    </row>
    <row r="614">
      <c r="A614" s="2"/>
      <c r="B614" s="7"/>
      <c r="C614" s="7"/>
      <c r="D614" s="7"/>
      <c r="E614" s="7"/>
      <c r="F614" s="7"/>
      <c r="G614" s="7"/>
      <c r="H614" s="7"/>
      <c r="I614" s="7"/>
      <c r="J614" s="7"/>
      <c r="K614" s="7"/>
      <c r="L614" s="7"/>
      <c r="M614" s="7"/>
      <c r="N614" s="7"/>
      <c r="O614" s="2"/>
      <c r="P614" s="2"/>
      <c r="Q614" s="2"/>
      <c r="R614" s="2"/>
      <c r="S614" s="2"/>
      <c r="T614" s="2"/>
      <c r="U614" s="2"/>
      <c r="V614" s="2"/>
      <c r="W614" s="2"/>
      <c r="X614" s="2"/>
      <c r="Y614" s="2"/>
      <c r="Z614" s="2"/>
    </row>
    <row r="615">
      <c r="A615" s="2"/>
      <c r="B615" s="7"/>
      <c r="C615" s="7"/>
      <c r="D615" s="7"/>
      <c r="E615" s="7"/>
      <c r="F615" s="7"/>
      <c r="G615" s="7"/>
      <c r="H615" s="7"/>
      <c r="I615" s="7"/>
      <c r="J615" s="7"/>
      <c r="K615" s="7"/>
      <c r="L615" s="7"/>
      <c r="M615" s="7"/>
      <c r="N615" s="7"/>
      <c r="O615" s="2"/>
      <c r="P615" s="2"/>
      <c r="Q615" s="2"/>
      <c r="R615" s="2"/>
      <c r="S615" s="2"/>
      <c r="T615" s="2"/>
      <c r="U615" s="2"/>
      <c r="V615" s="2"/>
      <c r="W615" s="2"/>
      <c r="X615" s="2"/>
      <c r="Y615" s="2"/>
      <c r="Z615" s="2"/>
    </row>
    <row r="616">
      <c r="A616" s="2"/>
      <c r="B616" s="7"/>
      <c r="C616" s="7"/>
      <c r="D616" s="7"/>
      <c r="E616" s="7"/>
      <c r="F616" s="7"/>
      <c r="G616" s="7"/>
      <c r="H616" s="7"/>
      <c r="I616" s="7"/>
      <c r="J616" s="7"/>
      <c r="K616" s="7"/>
      <c r="L616" s="7"/>
      <c r="M616" s="7"/>
      <c r="N616" s="7"/>
      <c r="O616" s="2"/>
      <c r="P616" s="2"/>
      <c r="Q616" s="2"/>
      <c r="R616" s="2"/>
      <c r="S616" s="2"/>
      <c r="T616" s="2"/>
      <c r="U616" s="2"/>
      <c r="V616" s="2"/>
      <c r="W616" s="2"/>
      <c r="X616" s="2"/>
      <c r="Y616" s="2"/>
      <c r="Z616" s="2"/>
    </row>
    <row r="617">
      <c r="A617" s="2"/>
      <c r="B617" s="7"/>
      <c r="C617" s="7"/>
      <c r="D617" s="7"/>
      <c r="E617" s="7"/>
      <c r="F617" s="7"/>
      <c r="G617" s="7"/>
      <c r="H617" s="7"/>
      <c r="I617" s="7"/>
      <c r="J617" s="7"/>
      <c r="K617" s="7"/>
      <c r="L617" s="7"/>
      <c r="M617" s="7"/>
      <c r="N617" s="7"/>
      <c r="O617" s="2"/>
      <c r="P617" s="2"/>
      <c r="Q617" s="2"/>
      <c r="R617" s="2"/>
      <c r="S617" s="2"/>
      <c r="T617" s="2"/>
      <c r="U617" s="2"/>
      <c r="V617" s="2"/>
      <c r="W617" s="2"/>
      <c r="X617" s="2"/>
      <c r="Y617" s="2"/>
      <c r="Z617" s="2"/>
    </row>
    <row r="618">
      <c r="A618" s="2"/>
      <c r="B618" s="7"/>
      <c r="C618" s="7"/>
      <c r="D618" s="7"/>
      <c r="E618" s="7"/>
      <c r="F618" s="7"/>
      <c r="G618" s="7"/>
      <c r="H618" s="7"/>
      <c r="I618" s="7"/>
      <c r="J618" s="7"/>
      <c r="K618" s="7"/>
      <c r="L618" s="7"/>
      <c r="M618" s="7"/>
      <c r="N618" s="7"/>
      <c r="O618" s="2"/>
      <c r="P618" s="2"/>
      <c r="Q618" s="2"/>
      <c r="R618" s="2"/>
      <c r="S618" s="2"/>
      <c r="T618" s="2"/>
      <c r="U618" s="2"/>
      <c r="V618" s="2"/>
      <c r="W618" s="2"/>
      <c r="X618" s="2"/>
      <c r="Y618" s="2"/>
      <c r="Z618" s="2"/>
    </row>
    <row r="619">
      <c r="A619" s="2"/>
      <c r="B619" s="7"/>
      <c r="C619" s="7"/>
      <c r="D619" s="7"/>
      <c r="E619" s="7"/>
      <c r="F619" s="7"/>
      <c r="G619" s="7"/>
      <c r="H619" s="7"/>
      <c r="I619" s="7"/>
      <c r="J619" s="7"/>
      <c r="K619" s="7"/>
      <c r="L619" s="7"/>
      <c r="M619" s="7"/>
      <c r="N619" s="7"/>
      <c r="O619" s="2"/>
      <c r="P619" s="2"/>
      <c r="Q619" s="2"/>
      <c r="R619" s="2"/>
      <c r="S619" s="2"/>
      <c r="T619" s="2"/>
      <c r="U619" s="2"/>
      <c r="V619" s="2"/>
      <c r="W619" s="2"/>
      <c r="X619" s="2"/>
      <c r="Y619" s="2"/>
      <c r="Z619" s="2"/>
    </row>
    <row r="620">
      <c r="A620" s="2"/>
      <c r="B620" s="7"/>
      <c r="C620" s="7"/>
      <c r="D620" s="7"/>
      <c r="E620" s="7"/>
      <c r="F620" s="7"/>
      <c r="G620" s="7"/>
      <c r="H620" s="7"/>
      <c r="I620" s="7"/>
      <c r="J620" s="7"/>
      <c r="K620" s="7"/>
      <c r="L620" s="7"/>
      <c r="M620" s="7"/>
      <c r="N620" s="7"/>
      <c r="O620" s="2"/>
      <c r="P620" s="2"/>
      <c r="Q620" s="2"/>
      <c r="R620" s="2"/>
      <c r="S620" s="2"/>
      <c r="T620" s="2"/>
      <c r="U620" s="2"/>
      <c r="V620" s="2"/>
      <c r="W620" s="2"/>
      <c r="X620" s="2"/>
      <c r="Y620" s="2"/>
      <c r="Z620" s="2"/>
    </row>
    <row r="621">
      <c r="A621" s="2"/>
      <c r="B621" s="7"/>
      <c r="C621" s="7"/>
      <c r="D621" s="7"/>
      <c r="E621" s="7"/>
      <c r="F621" s="7"/>
      <c r="G621" s="7"/>
      <c r="H621" s="7"/>
      <c r="I621" s="7"/>
      <c r="J621" s="7"/>
      <c r="K621" s="7"/>
      <c r="L621" s="7"/>
      <c r="M621" s="7"/>
      <c r="N621" s="7"/>
      <c r="O621" s="2"/>
      <c r="P621" s="2"/>
      <c r="Q621" s="2"/>
      <c r="R621" s="2"/>
      <c r="S621" s="2"/>
      <c r="T621" s="2"/>
      <c r="U621" s="2"/>
      <c r="V621" s="2"/>
      <c r="W621" s="2"/>
      <c r="X621" s="2"/>
      <c r="Y621" s="2"/>
      <c r="Z621" s="2"/>
    </row>
    <row r="622">
      <c r="A622" s="2"/>
      <c r="B622" s="7"/>
      <c r="C622" s="7"/>
      <c r="D622" s="7"/>
      <c r="E622" s="7"/>
      <c r="F622" s="7"/>
      <c r="G622" s="7"/>
      <c r="H622" s="7"/>
      <c r="I622" s="7"/>
      <c r="J622" s="7"/>
      <c r="K622" s="7"/>
      <c r="L622" s="7"/>
      <c r="M622" s="7"/>
      <c r="N622" s="7"/>
      <c r="O622" s="2"/>
      <c r="P622" s="2"/>
      <c r="Q622" s="2"/>
      <c r="R622" s="2"/>
      <c r="S622" s="2"/>
      <c r="T622" s="2"/>
      <c r="U622" s="2"/>
      <c r="V622" s="2"/>
      <c r="W622" s="2"/>
      <c r="X622" s="2"/>
      <c r="Y622" s="2"/>
      <c r="Z622" s="2"/>
    </row>
    <row r="623">
      <c r="A623" s="2"/>
      <c r="B623" s="7"/>
      <c r="C623" s="7"/>
      <c r="D623" s="7"/>
      <c r="E623" s="7"/>
      <c r="F623" s="7"/>
      <c r="G623" s="7"/>
      <c r="H623" s="7"/>
      <c r="I623" s="7"/>
      <c r="J623" s="7"/>
      <c r="K623" s="7"/>
      <c r="L623" s="7"/>
      <c r="M623" s="7"/>
      <c r="N623" s="7"/>
      <c r="O623" s="2"/>
      <c r="P623" s="2"/>
      <c r="Q623" s="2"/>
      <c r="R623" s="2"/>
      <c r="S623" s="2"/>
      <c r="T623" s="2"/>
      <c r="U623" s="2"/>
      <c r="V623" s="2"/>
      <c r="W623" s="2"/>
      <c r="X623" s="2"/>
      <c r="Y623" s="2"/>
      <c r="Z623" s="2"/>
    </row>
    <row r="624">
      <c r="A624" s="2"/>
      <c r="B624" s="7"/>
      <c r="C624" s="7"/>
      <c r="D624" s="7"/>
      <c r="E624" s="7"/>
      <c r="F624" s="7"/>
      <c r="G624" s="7"/>
      <c r="H624" s="7"/>
      <c r="I624" s="7"/>
      <c r="J624" s="7"/>
      <c r="K624" s="7"/>
      <c r="L624" s="7"/>
      <c r="M624" s="7"/>
      <c r="N624" s="7"/>
      <c r="O624" s="2"/>
      <c r="P624" s="2"/>
      <c r="Q624" s="2"/>
      <c r="R624" s="2"/>
      <c r="S624" s="2"/>
      <c r="T624" s="2"/>
      <c r="U624" s="2"/>
      <c r="V624" s="2"/>
      <c r="W624" s="2"/>
      <c r="X624" s="2"/>
      <c r="Y624" s="2"/>
      <c r="Z624" s="2"/>
    </row>
    <row r="625">
      <c r="A625" s="2"/>
      <c r="B625" s="7"/>
      <c r="C625" s="7"/>
      <c r="D625" s="7"/>
      <c r="E625" s="7"/>
      <c r="F625" s="7"/>
      <c r="G625" s="7"/>
      <c r="H625" s="7"/>
      <c r="I625" s="7"/>
      <c r="J625" s="7"/>
      <c r="K625" s="7"/>
      <c r="L625" s="7"/>
      <c r="M625" s="7"/>
      <c r="N625" s="7"/>
      <c r="O625" s="2"/>
      <c r="P625" s="2"/>
      <c r="Q625" s="2"/>
      <c r="R625" s="2"/>
      <c r="S625" s="2"/>
      <c r="T625" s="2"/>
      <c r="U625" s="2"/>
      <c r="V625" s="2"/>
      <c r="W625" s="2"/>
      <c r="X625" s="2"/>
      <c r="Y625" s="2"/>
      <c r="Z625" s="2"/>
    </row>
    <row r="626">
      <c r="A626" s="2"/>
      <c r="B626" s="7"/>
      <c r="C626" s="7"/>
      <c r="D626" s="7"/>
      <c r="E626" s="7"/>
      <c r="F626" s="7"/>
      <c r="G626" s="7"/>
      <c r="H626" s="7"/>
      <c r="I626" s="7"/>
      <c r="J626" s="7"/>
      <c r="K626" s="7"/>
      <c r="L626" s="7"/>
      <c r="M626" s="7"/>
      <c r="N626" s="7"/>
      <c r="O626" s="2"/>
      <c r="P626" s="2"/>
      <c r="Q626" s="2"/>
      <c r="R626" s="2"/>
      <c r="S626" s="2"/>
      <c r="T626" s="2"/>
      <c r="U626" s="2"/>
      <c r="V626" s="2"/>
      <c r="W626" s="2"/>
      <c r="X626" s="2"/>
      <c r="Y626" s="2"/>
      <c r="Z626" s="2"/>
    </row>
    <row r="627">
      <c r="A627" s="2"/>
      <c r="B627" s="7"/>
      <c r="C627" s="7"/>
      <c r="D627" s="7"/>
      <c r="E627" s="7"/>
      <c r="F627" s="7"/>
      <c r="G627" s="7"/>
      <c r="H627" s="7"/>
      <c r="I627" s="7"/>
      <c r="J627" s="7"/>
      <c r="K627" s="7"/>
      <c r="L627" s="7"/>
      <c r="M627" s="7"/>
      <c r="N627" s="7"/>
      <c r="O627" s="2"/>
      <c r="P627" s="2"/>
      <c r="Q627" s="2"/>
      <c r="R627" s="2"/>
      <c r="S627" s="2"/>
      <c r="T627" s="2"/>
      <c r="U627" s="2"/>
      <c r="V627" s="2"/>
      <c r="W627" s="2"/>
      <c r="X627" s="2"/>
      <c r="Y627" s="2"/>
      <c r="Z627" s="2"/>
    </row>
    <row r="628">
      <c r="A628" s="2"/>
      <c r="B628" s="7"/>
      <c r="C628" s="7"/>
      <c r="D628" s="7"/>
      <c r="E628" s="7"/>
      <c r="F628" s="7"/>
      <c r="G628" s="7"/>
      <c r="H628" s="7"/>
      <c r="I628" s="7"/>
      <c r="J628" s="7"/>
      <c r="K628" s="7"/>
      <c r="L628" s="7"/>
      <c r="M628" s="7"/>
      <c r="N628" s="7"/>
      <c r="O628" s="2"/>
      <c r="P628" s="2"/>
      <c r="Q628" s="2"/>
      <c r="R628" s="2"/>
      <c r="S628" s="2"/>
      <c r="T628" s="2"/>
      <c r="U628" s="2"/>
      <c r="V628" s="2"/>
      <c r="W628" s="2"/>
      <c r="X628" s="2"/>
      <c r="Y628" s="2"/>
      <c r="Z628" s="2"/>
    </row>
    <row r="629">
      <c r="A629" s="2"/>
      <c r="B629" s="7"/>
      <c r="C629" s="7"/>
      <c r="D629" s="7"/>
      <c r="E629" s="7"/>
      <c r="F629" s="7"/>
      <c r="G629" s="7"/>
      <c r="H629" s="7"/>
      <c r="I629" s="7"/>
      <c r="J629" s="7"/>
      <c r="K629" s="7"/>
      <c r="L629" s="7"/>
      <c r="M629" s="7"/>
      <c r="N629" s="7"/>
      <c r="O629" s="2"/>
      <c r="P629" s="2"/>
      <c r="Q629" s="2"/>
      <c r="R629" s="2"/>
      <c r="S629" s="2"/>
      <c r="T629" s="2"/>
      <c r="U629" s="2"/>
      <c r="V629" s="2"/>
      <c r="W629" s="2"/>
      <c r="X629" s="2"/>
      <c r="Y629" s="2"/>
      <c r="Z629" s="2"/>
    </row>
    <row r="630">
      <c r="A630" s="2"/>
      <c r="B630" s="7"/>
      <c r="C630" s="7"/>
      <c r="D630" s="7"/>
      <c r="E630" s="7"/>
      <c r="F630" s="7"/>
      <c r="G630" s="7"/>
      <c r="H630" s="7"/>
      <c r="I630" s="7"/>
      <c r="J630" s="7"/>
      <c r="K630" s="7"/>
      <c r="L630" s="7"/>
      <c r="M630" s="7"/>
      <c r="N630" s="7"/>
      <c r="O630" s="2"/>
      <c r="P630" s="2"/>
      <c r="Q630" s="2"/>
      <c r="R630" s="2"/>
      <c r="S630" s="2"/>
      <c r="T630" s="2"/>
      <c r="U630" s="2"/>
      <c r="V630" s="2"/>
      <c r="W630" s="2"/>
      <c r="X630" s="2"/>
      <c r="Y630" s="2"/>
      <c r="Z630" s="2"/>
    </row>
    <row r="631">
      <c r="A631" s="2"/>
      <c r="B631" s="7"/>
      <c r="C631" s="7"/>
      <c r="D631" s="7"/>
      <c r="E631" s="7"/>
      <c r="F631" s="7"/>
      <c r="G631" s="7"/>
      <c r="H631" s="7"/>
      <c r="I631" s="7"/>
      <c r="J631" s="7"/>
      <c r="K631" s="7"/>
      <c r="L631" s="7"/>
      <c r="M631" s="7"/>
      <c r="N631" s="7"/>
      <c r="O631" s="2"/>
      <c r="P631" s="2"/>
      <c r="Q631" s="2"/>
      <c r="R631" s="2"/>
      <c r="S631" s="2"/>
      <c r="T631" s="2"/>
      <c r="U631" s="2"/>
      <c r="V631" s="2"/>
      <c r="W631" s="2"/>
      <c r="X631" s="2"/>
      <c r="Y631" s="2"/>
      <c r="Z631" s="2"/>
    </row>
    <row r="632">
      <c r="A632" s="2"/>
      <c r="B632" s="7"/>
      <c r="C632" s="7"/>
      <c r="D632" s="7"/>
      <c r="E632" s="7"/>
      <c r="F632" s="7"/>
      <c r="G632" s="7"/>
      <c r="H632" s="7"/>
      <c r="I632" s="7"/>
      <c r="J632" s="7"/>
      <c r="K632" s="7"/>
      <c r="L632" s="7"/>
      <c r="M632" s="7"/>
      <c r="N632" s="7"/>
      <c r="O632" s="2"/>
      <c r="P632" s="2"/>
      <c r="Q632" s="2"/>
      <c r="R632" s="2"/>
      <c r="S632" s="2"/>
      <c r="T632" s="2"/>
      <c r="U632" s="2"/>
      <c r="V632" s="2"/>
      <c r="W632" s="2"/>
      <c r="X632" s="2"/>
      <c r="Y632" s="2"/>
      <c r="Z632" s="2"/>
    </row>
    <row r="633">
      <c r="A633" s="2"/>
      <c r="B633" s="7"/>
      <c r="C633" s="7"/>
      <c r="D633" s="7"/>
      <c r="E633" s="7"/>
      <c r="F633" s="7"/>
      <c r="G633" s="7"/>
      <c r="H633" s="7"/>
      <c r="I633" s="7"/>
      <c r="J633" s="7"/>
      <c r="K633" s="7"/>
      <c r="L633" s="7"/>
      <c r="M633" s="7"/>
      <c r="N633" s="7"/>
      <c r="O633" s="2"/>
      <c r="P633" s="2"/>
      <c r="Q633" s="2"/>
      <c r="R633" s="2"/>
      <c r="S633" s="2"/>
      <c r="T633" s="2"/>
      <c r="U633" s="2"/>
      <c r="V633" s="2"/>
      <c r="W633" s="2"/>
      <c r="X633" s="2"/>
      <c r="Y633" s="2"/>
      <c r="Z633" s="2"/>
    </row>
    <row r="634">
      <c r="A634" s="2"/>
      <c r="B634" s="7"/>
      <c r="C634" s="7"/>
      <c r="D634" s="7"/>
      <c r="E634" s="7"/>
      <c r="F634" s="7"/>
      <c r="G634" s="7"/>
      <c r="H634" s="7"/>
      <c r="I634" s="7"/>
      <c r="J634" s="7"/>
      <c r="K634" s="7"/>
      <c r="L634" s="7"/>
      <c r="M634" s="7"/>
      <c r="N634" s="7"/>
      <c r="O634" s="2"/>
      <c r="P634" s="2"/>
      <c r="Q634" s="2"/>
      <c r="R634" s="2"/>
      <c r="S634" s="2"/>
      <c r="T634" s="2"/>
      <c r="U634" s="2"/>
      <c r="V634" s="2"/>
      <c r="W634" s="2"/>
      <c r="X634" s="2"/>
      <c r="Y634" s="2"/>
      <c r="Z634" s="2"/>
    </row>
    <row r="635">
      <c r="A635" s="2"/>
      <c r="B635" s="7"/>
      <c r="C635" s="7"/>
      <c r="D635" s="7"/>
      <c r="E635" s="7"/>
      <c r="F635" s="7"/>
      <c r="G635" s="7"/>
      <c r="H635" s="7"/>
      <c r="I635" s="7"/>
      <c r="J635" s="7"/>
      <c r="K635" s="7"/>
      <c r="L635" s="7"/>
      <c r="M635" s="7"/>
      <c r="N635" s="7"/>
      <c r="O635" s="2"/>
      <c r="P635" s="2"/>
      <c r="Q635" s="2"/>
      <c r="R635" s="2"/>
      <c r="S635" s="2"/>
      <c r="T635" s="2"/>
      <c r="U635" s="2"/>
      <c r="V635" s="2"/>
      <c r="W635" s="2"/>
      <c r="X635" s="2"/>
      <c r="Y635" s="2"/>
      <c r="Z635" s="2"/>
    </row>
    <row r="636">
      <c r="A636" s="2"/>
      <c r="B636" s="7"/>
      <c r="C636" s="7"/>
      <c r="D636" s="7"/>
      <c r="E636" s="7"/>
      <c r="F636" s="7"/>
      <c r="G636" s="7"/>
      <c r="H636" s="7"/>
      <c r="I636" s="7"/>
      <c r="J636" s="7"/>
      <c r="K636" s="7"/>
      <c r="L636" s="7"/>
      <c r="M636" s="7"/>
      <c r="N636" s="7"/>
      <c r="O636" s="2"/>
      <c r="P636" s="2"/>
      <c r="Q636" s="2"/>
      <c r="R636" s="2"/>
      <c r="S636" s="2"/>
      <c r="T636" s="2"/>
      <c r="U636" s="2"/>
      <c r="V636" s="2"/>
      <c r="W636" s="2"/>
      <c r="X636" s="2"/>
      <c r="Y636" s="2"/>
      <c r="Z636" s="2"/>
    </row>
    <row r="637">
      <c r="A637" s="2"/>
      <c r="B637" s="7"/>
      <c r="C637" s="7"/>
      <c r="D637" s="7"/>
      <c r="E637" s="7"/>
      <c r="F637" s="7"/>
      <c r="G637" s="7"/>
      <c r="H637" s="7"/>
      <c r="I637" s="7"/>
      <c r="J637" s="7"/>
      <c r="K637" s="7"/>
      <c r="L637" s="7"/>
      <c r="M637" s="7"/>
      <c r="N637" s="7"/>
      <c r="O637" s="2"/>
      <c r="P637" s="2"/>
      <c r="Q637" s="2"/>
      <c r="R637" s="2"/>
      <c r="S637" s="2"/>
      <c r="T637" s="2"/>
      <c r="U637" s="2"/>
      <c r="V637" s="2"/>
      <c r="W637" s="2"/>
      <c r="X637" s="2"/>
      <c r="Y637" s="2"/>
      <c r="Z637" s="2"/>
    </row>
    <row r="638">
      <c r="A638" s="2"/>
      <c r="B638" s="7"/>
      <c r="C638" s="7"/>
      <c r="D638" s="7"/>
      <c r="E638" s="7"/>
      <c r="F638" s="7"/>
      <c r="G638" s="7"/>
      <c r="H638" s="7"/>
      <c r="I638" s="7"/>
      <c r="J638" s="7"/>
      <c r="K638" s="7"/>
      <c r="L638" s="7"/>
      <c r="M638" s="7"/>
      <c r="N638" s="7"/>
      <c r="O638" s="2"/>
      <c r="P638" s="2"/>
      <c r="Q638" s="2"/>
      <c r="R638" s="2"/>
      <c r="S638" s="2"/>
      <c r="T638" s="2"/>
      <c r="U638" s="2"/>
      <c r="V638" s="2"/>
      <c r="W638" s="2"/>
      <c r="X638" s="2"/>
      <c r="Y638" s="2"/>
      <c r="Z638" s="2"/>
    </row>
    <row r="639">
      <c r="A639" s="2"/>
      <c r="B639" s="7"/>
      <c r="C639" s="7"/>
      <c r="D639" s="7"/>
      <c r="E639" s="7"/>
      <c r="F639" s="7"/>
      <c r="G639" s="7"/>
      <c r="H639" s="7"/>
      <c r="I639" s="7"/>
      <c r="J639" s="7"/>
      <c r="K639" s="7"/>
      <c r="L639" s="7"/>
      <c r="M639" s="7"/>
      <c r="N639" s="7"/>
      <c r="O639" s="2"/>
      <c r="P639" s="2"/>
      <c r="Q639" s="2"/>
      <c r="R639" s="2"/>
      <c r="S639" s="2"/>
      <c r="T639" s="2"/>
      <c r="U639" s="2"/>
      <c r="V639" s="2"/>
      <c r="W639" s="2"/>
      <c r="X639" s="2"/>
      <c r="Y639" s="2"/>
      <c r="Z639" s="2"/>
    </row>
    <row r="640">
      <c r="A640" s="2"/>
      <c r="B640" s="7"/>
      <c r="C640" s="7"/>
      <c r="D640" s="7"/>
      <c r="E640" s="7"/>
      <c r="F640" s="7"/>
      <c r="G640" s="7"/>
      <c r="H640" s="7"/>
      <c r="I640" s="7"/>
      <c r="J640" s="7"/>
      <c r="K640" s="7"/>
      <c r="L640" s="7"/>
      <c r="M640" s="7"/>
      <c r="N640" s="7"/>
      <c r="O640" s="2"/>
      <c r="P640" s="2"/>
      <c r="Q640" s="2"/>
      <c r="R640" s="2"/>
      <c r="S640" s="2"/>
      <c r="T640" s="2"/>
      <c r="U640" s="2"/>
      <c r="V640" s="2"/>
      <c r="W640" s="2"/>
      <c r="X640" s="2"/>
      <c r="Y640" s="2"/>
      <c r="Z640" s="2"/>
    </row>
    <row r="641">
      <c r="A641" s="2"/>
      <c r="B641" s="7"/>
      <c r="C641" s="7"/>
      <c r="D641" s="7"/>
      <c r="E641" s="7"/>
      <c r="F641" s="7"/>
      <c r="G641" s="7"/>
      <c r="H641" s="7"/>
      <c r="I641" s="7"/>
      <c r="J641" s="7"/>
      <c r="K641" s="7"/>
      <c r="L641" s="7"/>
      <c r="M641" s="7"/>
      <c r="N641" s="7"/>
      <c r="O641" s="2"/>
      <c r="P641" s="2"/>
      <c r="Q641" s="2"/>
      <c r="R641" s="2"/>
      <c r="S641" s="2"/>
      <c r="T641" s="2"/>
      <c r="U641" s="2"/>
      <c r="V641" s="2"/>
      <c r="W641" s="2"/>
      <c r="X641" s="2"/>
      <c r="Y641" s="2"/>
      <c r="Z641" s="2"/>
    </row>
    <row r="642">
      <c r="A642" s="2"/>
      <c r="B642" s="7"/>
      <c r="C642" s="7"/>
      <c r="D642" s="7"/>
      <c r="E642" s="7"/>
      <c r="F642" s="7"/>
      <c r="G642" s="7"/>
      <c r="H642" s="7"/>
      <c r="I642" s="7"/>
      <c r="J642" s="7"/>
      <c r="K642" s="7"/>
      <c r="L642" s="7"/>
      <c r="M642" s="7"/>
      <c r="N642" s="7"/>
      <c r="O642" s="2"/>
      <c r="P642" s="2"/>
      <c r="Q642" s="2"/>
      <c r="R642" s="2"/>
      <c r="S642" s="2"/>
      <c r="T642" s="2"/>
      <c r="U642" s="2"/>
      <c r="V642" s="2"/>
      <c r="W642" s="2"/>
      <c r="X642" s="2"/>
      <c r="Y642" s="2"/>
      <c r="Z642" s="2"/>
    </row>
    <row r="643">
      <c r="A643" s="2"/>
      <c r="B643" s="7"/>
      <c r="C643" s="7"/>
      <c r="D643" s="7"/>
      <c r="E643" s="7"/>
      <c r="F643" s="7"/>
      <c r="G643" s="7"/>
      <c r="H643" s="7"/>
      <c r="I643" s="7"/>
      <c r="J643" s="7"/>
      <c r="K643" s="7"/>
      <c r="L643" s="7"/>
      <c r="M643" s="7"/>
      <c r="N643" s="7"/>
      <c r="O643" s="2"/>
      <c r="P643" s="2"/>
      <c r="Q643" s="2"/>
      <c r="R643" s="2"/>
      <c r="S643" s="2"/>
      <c r="T643" s="2"/>
      <c r="U643" s="2"/>
      <c r="V643" s="2"/>
      <c r="W643" s="2"/>
      <c r="X643" s="2"/>
      <c r="Y643" s="2"/>
      <c r="Z643" s="2"/>
    </row>
    <row r="644">
      <c r="A644" s="2"/>
      <c r="B644" s="7"/>
      <c r="C644" s="7"/>
      <c r="D644" s="7"/>
      <c r="E644" s="7"/>
      <c r="F644" s="7"/>
      <c r="G644" s="7"/>
      <c r="H644" s="7"/>
      <c r="I644" s="7"/>
      <c r="J644" s="7"/>
      <c r="K644" s="7"/>
      <c r="L644" s="7"/>
      <c r="M644" s="7"/>
      <c r="N644" s="7"/>
      <c r="O644" s="2"/>
      <c r="P644" s="2"/>
      <c r="Q644" s="2"/>
      <c r="R644" s="2"/>
      <c r="S644" s="2"/>
      <c r="T644" s="2"/>
      <c r="U644" s="2"/>
      <c r="V644" s="2"/>
      <c r="W644" s="2"/>
      <c r="X644" s="2"/>
      <c r="Y644" s="2"/>
      <c r="Z644" s="2"/>
    </row>
    <row r="645">
      <c r="A645" s="2"/>
      <c r="B645" s="7"/>
      <c r="C645" s="7"/>
      <c r="D645" s="7"/>
      <c r="E645" s="7"/>
      <c r="F645" s="7"/>
      <c r="G645" s="7"/>
      <c r="H645" s="7"/>
      <c r="I645" s="7"/>
      <c r="J645" s="7"/>
      <c r="K645" s="7"/>
      <c r="L645" s="7"/>
      <c r="M645" s="7"/>
      <c r="N645" s="7"/>
      <c r="O645" s="2"/>
      <c r="P645" s="2"/>
      <c r="Q645" s="2"/>
      <c r="R645" s="2"/>
      <c r="S645" s="2"/>
      <c r="T645" s="2"/>
      <c r="U645" s="2"/>
      <c r="V645" s="2"/>
      <c r="W645" s="2"/>
      <c r="X645" s="2"/>
      <c r="Y645" s="2"/>
      <c r="Z645" s="2"/>
    </row>
    <row r="646">
      <c r="A646" s="2"/>
      <c r="B646" s="7"/>
      <c r="C646" s="7"/>
      <c r="D646" s="7"/>
      <c r="E646" s="7"/>
      <c r="F646" s="7"/>
      <c r="G646" s="7"/>
      <c r="H646" s="7"/>
      <c r="I646" s="7"/>
      <c r="J646" s="7"/>
      <c r="K646" s="7"/>
      <c r="L646" s="7"/>
      <c r="M646" s="7"/>
      <c r="N646" s="7"/>
      <c r="O646" s="2"/>
      <c r="P646" s="2"/>
      <c r="Q646" s="2"/>
      <c r="R646" s="2"/>
      <c r="S646" s="2"/>
      <c r="T646" s="2"/>
      <c r="U646" s="2"/>
      <c r="V646" s="2"/>
      <c r="W646" s="2"/>
      <c r="X646" s="2"/>
      <c r="Y646" s="2"/>
      <c r="Z646" s="2"/>
    </row>
    <row r="647">
      <c r="A647" s="2"/>
      <c r="B647" s="7"/>
      <c r="C647" s="7"/>
      <c r="D647" s="7"/>
      <c r="E647" s="7"/>
      <c r="F647" s="7"/>
      <c r="G647" s="7"/>
      <c r="H647" s="7"/>
      <c r="I647" s="7"/>
      <c r="J647" s="7"/>
      <c r="K647" s="7"/>
      <c r="L647" s="7"/>
      <c r="M647" s="7"/>
      <c r="N647" s="7"/>
      <c r="O647" s="2"/>
      <c r="P647" s="2"/>
      <c r="Q647" s="2"/>
      <c r="R647" s="2"/>
      <c r="S647" s="2"/>
      <c r="T647" s="2"/>
      <c r="U647" s="2"/>
      <c r="V647" s="2"/>
      <c r="W647" s="2"/>
      <c r="X647" s="2"/>
      <c r="Y647" s="2"/>
      <c r="Z647" s="2"/>
    </row>
    <row r="648">
      <c r="A648" s="2"/>
      <c r="B648" s="7"/>
      <c r="C648" s="7"/>
      <c r="D648" s="7"/>
      <c r="E648" s="7"/>
      <c r="F648" s="7"/>
      <c r="G648" s="7"/>
      <c r="H648" s="7"/>
      <c r="I648" s="7"/>
      <c r="J648" s="7"/>
      <c r="K648" s="7"/>
      <c r="L648" s="7"/>
      <c r="M648" s="7"/>
      <c r="N648" s="7"/>
      <c r="O648" s="2"/>
      <c r="P648" s="2"/>
      <c r="Q648" s="2"/>
      <c r="R648" s="2"/>
      <c r="S648" s="2"/>
      <c r="T648" s="2"/>
      <c r="U648" s="2"/>
      <c r="V648" s="2"/>
      <c r="W648" s="2"/>
      <c r="X648" s="2"/>
      <c r="Y648" s="2"/>
      <c r="Z648" s="2"/>
    </row>
    <row r="649">
      <c r="A649" s="2"/>
      <c r="B649" s="7"/>
      <c r="C649" s="7"/>
      <c r="D649" s="7"/>
      <c r="E649" s="7"/>
      <c r="F649" s="7"/>
      <c r="G649" s="7"/>
      <c r="H649" s="7"/>
      <c r="I649" s="7"/>
      <c r="J649" s="7"/>
      <c r="K649" s="7"/>
      <c r="L649" s="7"/>
      <c r="M649" s="7"/>
      <c r="N649" s="7"/>
      <c r="O649" s="2"/>
      <c r="P649" s="2"/>
      <c r="Q649" s="2"/>
      <c r="R649" s="2"/>
      <c r="S649" s="2"/>
      <c r="T649" s="2"/>
      <c r="U649" s="2"/>
      <c r="V649" s="2"/>
      <c r="W649" s="2"/>
      <c r="X649" s="2"/>
      <c r="Y649" s="2"/>
      <c r="Z649" s="2"/>
    </row>
    <row r="650">
      <c r="A650" s="2"/>
      <c r="B650" s="7"/>
      <c r="C650" s="7"/>
      <c r="D650" s="7"/>
      <c r="E650" s="7"/>
      <c r="F650" s="7"/>
      <c r="G650" s="7"/>
      <c r="H650" s="7"/>
      <c r="I650" s="7"/>
      <c r="J650" s="7"/>
      <c r="K650" s="7"/>
      <c r="L650" s="7"/>
      <c r="M650" s="7"/>
      <c r="N650" s="7"/>
      <c r="O650" s="2"/>
      <c r="P650" s="2"/>
      <c r="Q650" s="2"/>
      <c r="R650" s="2"/>
      <c r="S650" s="2"/>
      <c r="T650" s="2"/>
      <c r="U650" s="2"/>
      <c r="V650" s="2"/>
      <c r="W650" s="2"/>
      <c r="X650" s="2"/>
      <c r="Y650" s="2"/>
      <c r="Z650" s="2"/>
    </row>
    <row r="651">
      <c r="A651" s="2"/>
      <c r="B651" s="7"/>
      <c r="C651" s="7"/>
      <c r="D651" s="7"/>
      <c r="E651" s="7"/>
      <c r="F651" s="7"/>
      <c r="G651" s="7"/>
      <c r="H651" s="7"/>
      <c r="I651" s="7"/>
      <c r="J651" s="7"/>
      <c r="K651" s="7"/>
      <c r="L651" s="7"/>
      <c r="M651" s="7"/>
      <c r="N651" s="7"/>
      <c r="O651" s="2"/>
      <c r="P651" s="2"/>
      <c r="Q651" s="2"/>
      <c r="R651" s="2"/>
      <c r="S651" s="2"/>
      <c r="T651" s="2"/>
      <c r="U651" s="2"/>
      <c r="V651" s="2"/>
      <c r="W651" s="2"/>
      <c r="X651" s="2"/>
      <c r="Y651" s="2"/>
      <c r="Z651" s="2"/>
    </row>
    <row r="652">
      <c r="A652" s="2"/>
      <c r="B652" s="7"/>
      <c r="C652" s="7"/>
      <c r="D652" s="7"/>
      <c r="E652" s="7"/>
      <c r="F652" s="7"/>
      <c r="G652" s="7"/>
      <c r="H652" s="7"/>
      <c r="I652" s="7"/>
      <c r="J652" s="7"/>
      <c r="K652" s="7"/>
      <c r="L652" s="7"/>
      <c r="M652" s="7"/>
      <c r="N652" s="7"/>
      <c r="O652" s="2"/>
      <c r="P652" s="2"/>
      <c r="Q652" s="2"/>
      <c r="R652" s="2"/>
      <c r="S652" s="2"/>
      <c r="T652" s="2"/>
      <c r="U652" s="2"/>
      <c r="V652" s="2"/>
      <c r="W652" s="2"/>
      <c r="X652" s="2"/>
      <c r="Y652" s="2"/>
      <c r="Z652" s="2"/>
    </row>
    <row r="653">
      <c r="A653" s="2"/>
      <c r="B653" s="7"/>
      <c r="C653" s="7"/>
      <c r="D653" s="7"/>
      <c r="E653" s="7"/>
      <c r="F653" s="7"/>
      <c r="G653" s="7"/>
      <c r="H653" s="7"/>
      <c r="I653" s="7"/>
      <c r="J653" s="7"/>
      <c r="K653" s="7"/>
      <c r="L653" s="7"/>
      <c r="M653" s="7"/>
      <c r="N653" s="7"/>
      <c r="O653" s="2"/>
      <c r="P653" s="2"/>
      <c r="Q653" s="2"/>
      <c r="R653" s="2"/>
      <c r="S653" s="2"/>
      <c r="T653" s="2"/>
      <c r="U653" s="2"/>
      <c r="V653" s="2"/>
      <c r="W653" s="2"/>
      <c r="X653" s="2"/>
      <c r="Y653" s="2"/>
      <c r="Z653" s="2"/>
    </row>
    <row r="654">
      <c r="A654" s="2"/>
      <c r="B654" s="7"/>
      <c r="C654" s="7"/>
      <c r="D654" s="7"/>
      <c r="E654" s="7"/>
      <c r="F654" s="7"/>
      <c r="G654" s="7"/>
      <c r="H654" s="7"/>
      <c r="I654" s="7"/>
      <c r="J654" s="7"/>
      <c r="K654" s="7"/>
      <c r="L654" s="7"/>
      <c r="M654" s="7"/>
      <c r="N654" s="7"/>
      <c r="O654" s="2"/>
      <c r="P654" s="2"/>
      <c r="Q654" s="2"/>
      <c r="R654" s="2"/>
      <c r="S654" s="2"/>
      <c r="T654" s="2"/>
      <c r="U654" s="2"/>
      <c r="V654" s="2"/>
      <c r="W654" s="2"/>
      <c r="X654" s="2"/>
      <c r="Y654" s="2"/>
      <c r="Z654" s="2"/>
    </row>
    <row r="655">
      <c r="A655" s="2"/>
      <c r="B655" s="7"/>
      <c r="C655" s="7"/>
      <c r="D655" s="7"/>
      <c r="E655" s="7"/>
      <c r="F655" s="7"/>
      <c r="G655" s="7"/>
      <c r="H655" s="7"/>
      <c r="I655" s="7"/>
      <c r="J655" s="7"/>
      <c r="K655" s="7"/>
      <c r="L655" s="7"/>
      <c r="M655" s="7"/>
      <c r="N655" s="7"/>
      <c r="O655" s="2"/>
      <c r="P655" s="2"/>
      <c r="Q655" s="2"/>
      <c r="R655" s="2"/>
      <c r="S655" s="2"/>
      <c r="T655" s="2"/>
      <c r="U655" s="2"/>
      <c r="V655" s="2"/>
      <c r="W655" s="2"/>
      <c r="X655" s="2"/>
      <c r="Y655" s="2"/>
      <c r="Z655" s="2"/>
    </row>
    <row r="656">
      <c r="A656" s="2"/>
      <c r="B656" s="7"/>
      <c r="C656" s="7"/>
      <c r="D656" s="7"/>
      <c r="E656" s="7"/>
      <c r="F656" s="7"/>
      <c r="G656" s="7"/>
      <c r="H656" s="7"/>
      <c r="I656" s="7"/>
      <c r="J656" s="7"/>
      <c r="K656" s="7"/>
      <c r="L656" s="7"/>
      <c r="M656" s="7"/>
      <c r="N656" s="7"/>
      <c r="O656" s="2"/>
      <c r="P656" s="2"/>
      <c r="Q656" s="2"/>
      <c r="R656" s="2"/>
      <c r="S656" s="2"/>
      <c r="T656" s="2"/>
      <c r="U656" s="2"/>
      <c r="V656" s="2"/>
      <c r="W656" s="2"/>
      <c r="X656" s="2"/>
      <c r="Y656" s="2"/>
      <c r="Z656" s="2"/>
    </row>
    <row r="657">
      <c r="A657" s="2"/>
      <c r="B657" s="7"/>
      <c r="C657" s="7"/>
      <c r="D657" s="7"/>
      <c r="E657" s="7"/>
      <c r="F657" s="7"/>
      <c r="G657" s="7"/>
      <c r="H657" s="7"/>
      <c r="I657" s="7"/>
      <c r="J657" s="7"/>
      <c r="K657" s="7"/>
      <c r="L657" s="7"/>
      <c r="M657" s="7"/>
      <c r="N657" s="7"/>
      <c r="O657" s="2"/>
      <c r="P657" s="2"/>
      <c r="Q657" s="2"/>
      <c r="R657" s="2"/>
      <c r="S657" s="2"/>
      <c r="T657" s="2"/>
      <c r="U657" s="2"/>
      <c r="V657" s="2"/>
      <c r="W657" s="2"/>
      <c r="X657" s="2"/>
      <c r="Y657" s="2"/>
      <c r="Z657" s="2"/>
    </row>
    <row r="658">
      <c r="A658" s="2"/>
      <c r="B658" s="7"/>
      <c r="C658" s="7"/>
      <c r="D658" s="7"/>
      <c r="E658" s="7"/>
      <c r="F658" s="7"/>
      <c r="G658" s="7"/>
      <c r="H658" s="7"/>
      <c r="I658" s="7"/>
      <c r="J658" s="7"/>
      <c r="K658" s="7"/>
      <c r="L658" s="7"/>
      <c r="M658" s="7"/>
      <c r="N658" s="7"/>
      <c r="O658" s="2"/>
      <c r="P658" s="2"/>
      <c r="Q658" s="2"/>
      <c r="R658" s="2"/>
      <c r="S658" s="2"/>
      <c r="T658" s="2"/>
      <c r="U658" s="2"/>
      <c r="V658" s="2"/>
      <c r="W658" s="2"/>
      <c r="X658" s="2"/>
      <c r="Y658" s="2"/>
      <c r="Z658" s="2"/>
    </row>
    <row r="659">
      <c r="A659" s="2"/>
      <c r="B659" s="7"/>
      <c r="C659" s="7"/>
      <c r="D659" s="7"/>
      <c r="E659" s="7"/>
      <c r="F659" s="7"/>
      <c r="G659" s="7"/>
      <c r="H659" s="7"/>
      <c r="I659" s="7"/>
      <c r="J659" s="7"/>
      <c r="K659" s="7"/>
      <c r="L659" s="7"/>
      <c r="M659" s="7"/>
      <c r="N659" s="7"/>
      <c r="O659" s="2"/>
      <c r="P659" s="2"/>
      <c r="Q659" s="2"/>
      <c r="R659" s="2"/>
      <c r="S659" s="2"/>
      <c r="T659" s="2"/>
      <c r="U659" s="2"/>
      <c r="V659" s="2"/>
      <c r="W659" s="2"/>
      <c r="X659" s="2"/>
      <c r="Y659" s="2"/>
      <c r="Z659" s="2"/>
    </row>
    <row r="660">
      <c r="A660" s="2"/>
      <c r="B660" s="7"/>
      <c r="C660" s="7"/>
      <c r="D660" s="7"/>
      <c r="E660" s="7"/>
      <c r="F660" s="7"/>
      <c r="G660" s="7"/>
      <c r="H660" s="7"/>
      <c r="I660" s="7"/>
      <c r="J660" s="7"/>
      <c r="K660" s="7"/>
      <c r="L660" s="7"/>
      <c r="M660" s="7"/>
      <c r="N660" s="7"/>
      <c r="O660" s="2"/>
      <c r="P660" s="2"/>
      <c r="Q660" s="2"/>
      <c r="R660" s="2"/>
      <c r="S660" s="2"/>
      <c r="T660" s="2"/>
      <c r="U660" s="2"/>
      <c r="V660" s="2"/>
      <c r="W660" s="2"/>
      <c r="X660" s="2"/>
      <c r="Y660" s="2"/>
      <c r="Z660" s="2"/>
    </row>
    <row r="661">
      <c r="A661" s="2"/>
      <c r="B661" s="7"/>
      <c r="C661" s="7"/>
      <c r="D661" s="7"/>
      <c r="E661" s="7"/>
      <c r="F661" s="7"/>
      <c r="G661" s="7"/>
      <c r="H661" s="7"/>
      <c r="I661" s="7"/>
      <c r="J661" s="7"/>
      <c r="K661" s="7"/>
      <c r="L661" s="7"/>
      <c r="M661" s="7"/>
      <c r="N661" s="7"/>
      <c r="O661" s="2"/>
      <c r="P661" s="2"/>
      <c r="Q661" s="2"/>
      <c r="R661" s="2"/>
      <c r="S661" s="2"/>
      <c r="T661" s="2"/>
      <c r="U661" s="2"/>
      <c r="V661" s="2"/>
      <c r="W661" s="2"/>
      <c r="X661" s="2"/>
      <c r="Y661" s="2"/>
      <c r="Z661" s="2"/>
    </row>
    <row r="662">
      <c r="A662" s="2"/>
      <c r="B662" s="7"/>
      <c r="C662" s="7"/>
      <c r="D662" s="7"/>
      <c r="E662" s="7"/>
      <c r="F662" s="7"/>
      <c r="G662" s="7"/>
      <c r="H662" s="7"/>
      <c r="I662" s="7"/>
      <c r="J662" s="7"/>
      <c r="K662" s="7"/>
      <c r="L662" s="7"/>
      <c r="M662" s="7"/>
      <c r="N662" s="7"/>
      <c r="O662" s="2"/>
      <c r="P662" s="2"/>
      <c r="Q662" s="2"/>
      <c r="R662" s="2"/>
      <c r="S662" s="2"/>
      <c r="T662" s="2"/>
      <c r="U662" s="2"/>
      <c r="V662" s="2"/>
      <c r="W662" s="2"/>
      <c r="X662" s="2"/>
      <c r="Y662" s="2"/>
      <c r="Z662" s="2"/>
    </row>
    <row r="663">
      <c r="A663" s="2"/>
      <c r="B663" s="7"/>
      <c r="C663" s="7"/>
      <c r="D663" s="7"/>
      <c r="E663" s="7"/>
      <c r="F663" s="7"/>
      <c r="G663" s="7"/>
      <c r="H663" s="7"/>
      <c r="I663" s="7"/>
      <c r="J663" s="7"/>
      <c r="K663" s="7"/>
      <c r="L663" s="7"/>
      <c r="M663" s="7"/>
      <c r="N663" s="7"/>
      <c r="O663" s="2"/>
      <c r="P663" s="2"/>
      <c r="Q663" s="2"/>
      <c r="R663" s="2"/>
      <c r="S663" s="2"/>
      <c r="T663" s="2"/>
      <c r="U663" s="2"/>
      <c r="V663" s="2"/>
      <c r="W663" s="2"/>
      <c r="X663" s="2"/>
      <c r="Y663" s="2"/>
      <c r="Z663" s="2"/>
    </row>
    <row r="664">
      <c r="A664" s="2"/>
      <c r="B664" s="7"/>
      <c r="C664" s="7"/>
      <c r="D664" s="7"/>
      <c r="E664" s="7"/>
      <c r="F664" s="7"/>
      <c r="G664" s="7"/>
      <c r="H664" s="7"/>
      <c r="I664" s="7"/>
      <c r="J664" s="7"/>
      <c r="K664" s="7"/>
      <c r="L664" s="7"/>
      <c r="M664" s="7"/>
      <c r="N664" s="7"/>
      <c r="O664" s="2"/>
      <c r="P664" s="2"/>
      <c r="Q664" s="2"/>
      <c r="R664" s="2"/>
      <c r="S664" s="2"/>
      <c r="T664" s="2"/>
      <c r="U664" s="2"/>
      <c r="V664" s="2"/>
      <c r="W664" s="2"/>
      <c r="X664" s="2"/>
      <c r="Y664" s="2"/>
      <c r="Z664" s="2"/>
    </row>
    <row r="665">
      <c r="A665" s="2"/>
      <c r="B665" s="7"/>
      <c r="C665" s="7"/>
      <c r="D665" s="7"/>
      <c r="E665" s="7"/>
      <c r="F665" s="7"/>
      <c r="G665" s="7"/>
      <c r="H665" s="7"/>
      <c r="I665" s="7"/>
      <c r="J665" s="7"/>
      <c r="K665" s="7"/>
      <c r="L665" s="7"/>
      <c r="M665" s="7"/>
      <c r="N665" s="7"/>
      <c r="O665" s="2"/>
      <c r="P665" s="2"/>
      <c r="Q665" s="2"/>
      <c r="R665" s="2"/>
      <c r="S665" s="2"/>
      <c r="T665" s="2"/>
      <c r="U665" s="2"/>
      <c r="V665" s="2"/>
      <c r="W665" s="2"/>
      <c r="X665" s="2"/>
      <c r="Y665" s="2"/>
      <c r="Z665" s="2"/>
    </row>
    <row r="666">
      <c r="A666" s="2"/>
      <c r="B666" s="7"/>
      <c r="C666" s="7"/>
      <c r="D666" s="7"/>
      <c r="E666" s="7"/>
      <c r="F666" s="7"/>
      <c r="G666" s="7"/>
      <c r="H666" s="7"/>
      <c r="I666" s="7"/>
      <c r="J666" s="7"/>
      <c r="K666" s="7"/>
      <c r="L666" s="7"/>
      <c r="M666" s="7"/>
      <c r="N666" s="7"/>
      <c r="O666" s="2"/>
      <c r="P666" s="2"/>
      <c r="Q666" s="2"/>
      <c r="R666" s="2"/>
      <c r="S666" s="2"/>
      <c r="T666" s="2"/>
      <c r="U666" s="2"/>
      <c r="V666" s="2"/>
      <c r="W666" s="2"/>
      <c r="X666" s="2"/>
      <c r="Y666" s="2"/>
      <c r="Z666" s="2"/>
    </row>
    <row r="667">
      <c r="A667" s="2"/>
      <c r="B667" s="7"/>
      <c r="C667" s="7"/>
      <c r="D667" s="7"/>
      <c r="E667" s="7"/>
      <c r="F667" s="7"/>
      <c r="G667" s="7"/>
      <c r="H667" s="7"/>
      <c r="I667" s="7"/>
      <c r="J667" s="7"/>
      <c r="K667" s="7"/>
      <c r="L667" s="7"/>
      <c r="M667" s="7"/>
      <c r="N667" s="7"/>
      <c r="O667" s="2"/>
      <c r="P667" s="2"/>
      <c r="Q667" s="2"/>
      <c r="R667" s="2"/>
      <c r="S667" s="2"/>
      <c r="T667" s="2"/>
      <c r="U667" s="2"/>
      <c r="V667" s="2"/>
      <c r="W667" s="2"/>
      <c r="X667" s="2"/>
      <c r="Y667" s="2"/>
      <c r="Z667" s="2"/>
    </row>
    <row r="668">
      <c r="A668" s="2"/>
      <c r="B668" s="7"/>
      <c r="C668" s="7"/>
      <c r="D668" s="7"/>
      <c r="E668" s="7"/>
      <c r="F668" s="7"/>
      <c r="G668" s="7"/>
      <c r="H668" s="7"/>
      <c r="I668" s="7"/>
      <c r="J668" s="7"/>
      <c r="K668" s="7"/>
      <c r="L668" s="7"/>
      <c r="M668" s="7"/>
      <c r="N668" s="7"/>
      <c r="O668" s="2"/>
      <c r="P668" s="2"/>
      <c r="Q668" s="2"/>
      <c r="R668" s="2"/>
      <c r="S668" s="2"/>
      <c r="T668" s="2"/>
      <c r="U668" s="2"/>
      <c r="V668" s="2"/>
      <c r="W668" s="2"/>
      <c r="X668" s="2"/>
      <c r="Y668" s="2"/>
      <c r="Z668" s="2"/>
    </row>
    <row r="669">
      <c r="A669" s="2"/>
      <c r="B669" s="7"/>
      <c r="C669" s="7"/>
      <c r="D669" s="7"/>
      <c r="E669" s="7"/>
      <c r="F669" s="7"/>
      <c r="G669" s="7"/>
      <c r="H669" s="7"/>
      <c r="I669" s="7"/>
      <c r="J669" s="7"/>
      <c r="K669" s="7"/>
      <c r="L669" s="7"/>
      <c r="M669" s="7"/>
      <c r="N669" s="7"/>
      <c r="O669" s="2"/>
      <c r="P669" s="2"/>
      <c r="Q669" s="2"/>
      <c r="R669" s="2"/>
      <c r="S669" s="2"/>
      <c r="T669" s="2"/>
      <c r="U669" s="2"/>
      <c r="V669" s="2"/>
      <c r="W669" s="2"/>
      <c r="X669" s="2"/>
      <c r="Y669" s="2"/>
      <c r="Z669" s="2"/>
    </row>
    <row r="670">
      <c r="A670" s="2"/>
      <c r="B670" s="7"/>
      <c r="C670" s="7"/>
      <c r="D670" s="7"/>
      <c r="E670" s="7"/>
      <c r="F670" s="7"/>
      <c r="G670" s="7"/>
      <c r="H670" s="7"/>
      <c r="I670" s="7"/>
      <c r="J670" s="7"/>
      <c r="K670" s="7"/>
      <c r="L670" s="7"/>
      <c r="M670" s="7"/>
      <c r="N670" s="7"/>
      <c r="O670" s="2"/>
      <c r="P670" s="2"/>
      <c r="Q670" s="2"/>
      <c r="R670" s="2"/>
      <c r="S670" s="2"/>
      <c r="T670" s="2"/>
      <c r="U670" s="2"/>
      <c r="V670" s="2"/>
      <c r="W670" s="2"/>
      <c r="X670" s="2"/>
      <c r="Y670" s="2"/>
      <c r="Z670" s="2"/>
    </row>
    <row r="671">
      <c r="A671" s="2"/>
      <c r="B671" s="7"/>
      <c r="C671" s="7"/>
      <c r="D671" s="7"/>
      <c r="E671" s="7"/>
      <c r="F671" s="7"/>
      <c r="G671" s="7"/>
      <c r="H671" s="7"/>
      <c r="I671" s="7"/>
      <c r="J671" s="7"/>
      <c r="K671" s="7"/>
      <c r="L671" s="7"/>
      <c r="M671" s="7"/>
      <c r="N671" s="7"/>
      <c r="O671" s="2"/>
      <c r="P671" s="2"/>
      <c r="Q671" s="2"/>
      <c r="R671" s="2"/>
      <c r="S671" s="2"/>
      <c r="T671" s="2"/>
      <c r="U671" s="2"/>
      <c r="V671" s="2"/>
      <c r="W671" s="2"/>
      <c r="X671" s="2"/>
      <c r="Y671" s="2"/>
      <c r="Z671" s="2"/>
    </row>
    <row r="672">
      <c r="A672" s="2"/>
      <c r="B672" s="7"/>
      <c r="C672" s="7"/>
      <c r="D672" s="7"/>
      <c r="E672" s="7"/>
      <c r="F672" s="7"/>
      <c r="G672" s="7"/>
      <c r="H672" s="7"/>
      <c r="I672" s="7"/>
      <c r="J672" s="7"/>
      <c r="K672" s="7"/>
      <c r="L672" s="7"/>
      <c r="M672" s="7"/>
      <c r="N672" s="7"/>
      <c r="O672" s="2"/>
      <c r="P672" s="2"/>
      <c r="Q672" s="2"/>
      <c r="R672" s="2"/>
      <c r="S672" s="2"/>
      <c r="T672" s="2"/>
      <c r="U672" s="2"/>
      <c r="V672" s="2"/>
      <c r="W672" s="2"/>
      <c r="X672" s="2"/>
      <c r="Y672" s="2"/>
      <c r="Z672" s="2"/>
    </row>
    <row r="673">
      <c r="A673" s="2"/>
      <c r="B673" s="7"/>
      <c r="C673" s="7"/>
      <c r="D673" s="7"/>
      <c r="E673" s="7"/>
      <c r="F673" s="7"/>
      <c r="G673" s="7"/>
      <c r="H673" s="7"/>
      <c r="I673" s="7"/>
      <c r="J673" s="7"/>
      <c r="K673" s="7"/>
      <c r="L673" s="7"/>
      <c r="M673" s="7"/>
      <c r="N673" s="7"/>
      <c r="O673" s="2"/>
      <c r="P673" s="2"/>
      <c r="Q673" s="2"/>
      <c r="R673" s="2"/>
      <c r="S673" s="2"/>
      <c r="T673" s="2"/>
      <c r="U673" s="2"/>
      <c r="V673" s="2"/>
      <c r="W673" s="2"/>
      <c r="X673" s="2"/>
      <c r="Y673" s="2"/>
      <c r="Z673" s="2"/>
    </row>
    <row r="674">
      <c r="A674" s="2"/>
      <c r="B674" s="7"/>
      <c r="C674" s="7"/>
      <c r="D674" s="7"/>
      <c r="E674" s="7"/>
      <c r="F674" s="7"/>
      <c r="G674" s="7"/>
      <c r="H674" s="7"/>
      <c r="I674" s="7"/>
      <c r="J674" s="7"/>
      <c r="K674" s="7"/>
      <c r="L674" s="7"/>
      <c r="M674" s="7"/>
      <c r="N674" s="7"/>
      <c r="O674" s="2"/>
      <c r="P674" s="2"/>
      <c r="Q674" s="2"/>
      <c r="R674" s="2"/>
      <c r="S674" s="2"/>
      <c r="T674" s="2"/>
      <c r="U674" s="2"/>
      <c r="V674" s="2"/>
      <c r="W674" s="2"/>
      <c r="X674" s="2"/>
      <c r="Y674" s="2"/>
      <c r="Z674" s="2"/>
    </row>
    <row r="675">
      <c r="A675" s="2"/>
      <c r="B675" s="7"/>
      <c r="C675" s="7"/>
      <c r="D675" s="7"/>
      <c r="E675" s="7"/>
      <c r="F675" s="7"/>
      <c r="G675" s="7"/>
      <c r="H675" s="7"/>
      <c r="I675" s="7"/>
      <c r="J675" s="7"/>
      <c r="K675" s="7"/>
      <c r="L675" s="7"/>
      <c r="M675" s="7"/>
      <c r="N675" s="7"/>
      <c r="O675" s="2"/>
      <c r="P675" s="2"/>
      <c r="Q675" s="2"/>
      <c r="R675" s="2"/>
      <c r="S675" s="2"/>
      <c r="T675" s="2"/>
      <c r="U675" s="2"/>
      <c r="V675" s="2"/>
      <c r="W675" s="2"/>
      <c r="X675" s="2"/>
      <c r="Y675" s="2"/>
      <c r="Z675" s="2"/>
    </row>
    <row r="676">
      <c r="A676" s="2"/>
      <c r="B676" s="7"/>
      <c r="C676" s="7"/>
      <c r="D676" s="7"/>
      <c r="E676" s="7"/>
      <c r="F676" s="7"/>
      <c r="G676" s="7"/>
      <c r="H676" s="7"/>
      <c r="I676" s="7"/>
      <c r="J676" s="7"/>
      <c r="K676" s="7"/>
      <c r="L676" s="7"/>
      <c r="M676" s="7"/>
      <c r="N676" s="7"/>
      <c r="O676" s="2"/>
      <c r="P676" s="2"/>
      <c r="Q676" s="2"/>
      <c r="R676" s="2"/>
      <c r="S676" s="2"/>
      <c r="T676" s="2"/>
      <c r="U676" s="2"/>
      <c r="V676" s="2"/>
      <c r="W676" s="2"/>
      <c r="X676" s="2"/>
      <c r="Y676" s="2"/>
      <c r="Z676" s="2"/>
    </row>
    <row r="677">
      <c r="A677" s="2"/>
      <c r="B677" s="7"/>
      <c r="C677" s="7"/>
      <c r="D677" s="7"/>
      <c r="E677" s="7"/>
      <c r="F677" s="7"/>
      <c r="G677" s="7"/>
      <c r="H677" s="7"/>
      <c r="I677" s="7"/>
      <c r="J677" s="7"/>
      <c r="K677" s="7"/>
      <c r="L677" s="7"/>
      <c r="M677" s="7"/>
      <c r="N677" s="7"/>
      <c r="O677" s="2"/>
      <c r="P677" s="2"/>
      <c r="Q677" s="2"/>
      <c r="R677" s="2"/>
      <c r="S677" s="2"/>
      <c r="T677" s="2"/>
      <c r="U677" s="2"/>
      <c r="V677" s="2"/>
      <c r="W677" s="2"/>
      <c r="X677" s="2"/>
      <c r="Y677" s="2"/>
      <c r="Z677" s="2"/>
    </row>
    <row r="678">
      <c r="A678" s="2"/>
      <c r="B678" s="7"/>
      <c r="C678" s="7"/>
      <c r="D678" s="7"/>
      <c r="E678" s="7"/>
      <c r="F678" s="7"/>
      <c r="G678" s="7"/>
      <c r="H678" s="7"/>
      <c r="I678" s="7"/>
      <c r="J678" s="7"/>
      <c r="K678" s="7"/>
      <c r="L678" s="7"/>
      <c r="M678" s="7"/>
      <c r="N678" s="7"/>
      <c r="O678" s="2"/>
      <c r="P678" s="2"/>
      <c r="Q678" s="2"/>
      <c r="R678" s="2"/>
      <c r="S678" s="2"/>
      <c r="T678" s="2"/>
      <c r="U678" s="2"/>
      <c r="V678" s="2"/>
      <c r="W678" s="2"/>
      <c r="X678" s="2"/>
      <c r="Y678" s="2"/>
      <c r="Z678" s="2"/>
    </row>
    <row r="679">
      <c r="A679" s="2"/>
      <c r="B679" s="7"/>
      <c r="C679" s="7"/>
      <c r="D679" s="7"/>
      <c r="E679" s="7"/>
      <c r="F679" s="7"/>
      <c r="G679" s="7"/>
      <c r="H679" s="7"/>
      <c r="I679" s="7"/>
      <c r="J679" s="7"/>
      <c r="K679" s="7"/>
      <c r="L679" s="7"/>
      <c r="M679" s="7"/>
      <c r="N679" s="7"/>
      <c r="O679" s="2"/>
      <c r="P679" s="2"/>
      <c r="Q679" s="2"/>
      <c r="R679" s="2"/>
      <c r="S679" s="2"/>
      <c r="T679" s="2"/>
      <c r="U679" s="2"/>
      <c r="V679" s="2"/>
      <c r="W679" s="2"/>
      <c r="X679" s="2"/>
      <c r="Y679" s="2"/>
      <c r="Z679" s="2"/>
    </row>
    <row r="680">
      <c r="A680" s="2"/>
      <c r="B680" s="7"/>
      <c r="C680" s="7"/>
      <c r="D680" s="7"/>
      <c r="E680" s="7"/>
      <c r="F680" s="7"/>
      <c r="G680" s="7"/>
      <c r="H680" s="7"/>
      <c r="I680" s="7"/>
      <c r="J680" s="7"/>
      <c r="K680" s="7"/>
      <c r="L680" s="7"/>
      <c r="M680" s="7"/>
      <c r="N680" s="7"/>
      <c r="O680" s="2"/>
      <c r="P680" s="2"/>
      <c r="Q680" s="2"/>
      <c r="R680" s="2"/>
      <c r="S680" s="2"/>
      <c r="T680" s="2"/>
      <c r="U680" s="2"/>
      <c r="V680" s="2"/>
      <c r="W680" s="2"/>
      <c r="X680" s="2"/>
      <c r="Y680" s="2"/>
      <c r="Z680" s="2"/>
    </row>
    <row r="681">
      <c r="A681" s="2"/>
      <c r="B681" s="7"/>
      <c r="C681" s="7"/>
      <c r="D681" s="7"/>
      <c r="E681" s="7"/>
      <c r="F681" s="7"/>
      <c r="G681" s="7"/>
      <c r="H681" s="7"/>
      <c r="I681" s="7"/>
      <c r="J681" s="7"/>
      <c r="K681" s="7"/>
      <c r="L681" s="7"/>
      <c r="M681" s="7"/>
      <c r="N681" s="7"/>
      <c r="O681" s="2"/>
      <c r="P681" s="2"/>
      <c r="Q681" s="2"/>
      <c r="R681" s="2"/>
      <c r="S681" s="2"/>
      <c r="T681" s="2"/>
      <c r="U681" s="2"/>
      <c r="V681" s="2"/>
      <c r="W681" s="2"/>
      <c r="X681" s="2"/>
      <c r="Y681" s="2"/>
      <c r="Z681" s="2"/>
    </row>
    <row r="682">
      <c r="A682" s="2"/>
      <c r="B682" s="7"/>
      <c r="C682" s="7"/>
      <c r="D682" s="7"/>
      <c r="E682" s="7"/>
      <c r="F682" s="7"/>
      <c r="G682" s="7"/>
      <c r="H682" s="7"/>
      <c r="I682" s="7"/>
      <c r="J682" s="7"/>
      <c r="K682" s="7"/>
      <c r="L682" s="7"/>
      <c r="M682" s="7"/>
      <c r="N682" s="7"/>
      <c r="O682" s="2"/>
      <c r="P682" s="2"/>
      <c r="Q682" s="2"/>
      <c r="R682" s="2"/>
      <c r="S682" s="2"/>
      <c r="T682" s="2"/>
      <c r="U682" s="2"/>
      <c r="V682" s="2"/>
      <c r="W682" s="2"/>
      <c r="X682" s="2"/>
      <c r="Y682" s="2"/>
      <c r="Z682" s="2"/>
    </row>
    <row r="683">
      <c r="A683" s="2"/>
      <c r="B683" s="7"/>
      <c r="C683" s="7"/>
      <c r="D683" s="7"/>
      <c r="E683" s="7"/>
      <c r="F683" s="7"/>
      <c r="G683" s="7"/>
      <c r="H683" s="7"/>
      <c r="I683" s="7"/>
      <c r="J683" s="7"/>
      <c r="K683" s="7"/>
      <c r="L683" s="7"/>
      <c r="M683" s="7"/>
      <c r="N683" s="7"/>
      <c r="O683" s="2"/>
      <c r="P683" s="2"/>
      <c r="Q683" s="2"/>
      <c r="R683" s="2"/>
      <c r="S683" s="2"/>
      <c r="T683" s="2"/>
      <c r="U683" s="2"/>
      <c r="V683" s="2"/>
      <c r="W683" s="2"/>
      <c r="X683" s="2"/>
      <c r="Y683" s="2"/>
      <c r="Z683" s="2"/>
    </row>
    <row r="684">
      <c r="A684" s="2"/>
      <c r="B684" s="7"/>
      <c r="C684" s="7"/>
      <c r="D684" s="7"/>
      <c r="E684" s="7"/>
      <c r="F684" s="7"/>
      <c r="G684" s="7"/>
      <c r="H684" s="7"/>
      <c r="I684" s="7"/>
      <c r="J684" s="7"/>
      <c r="K684" s="7"/>
      <c r="L684" s="7"/>
      <c r="M684" s="7"/>
      <c r="N684" s="7"/>
      <c r="O684" s="2"/>
      <c r="P684" s="2"/>
      <c r="Q684" s="2"/>
      <c r="R684" s="2"/>
      <c r="S684" s="2"/>
      <c r="T684" s="2"/>
      <c r="U684" s="2"/>
      <c r="V684" s="2"/>
      <c r="W684" s="2"/>
      <c r="X684" s="2"/>
      <c r="Y684" s="2"/>
      <c r="Z684" s="2"/>
    </row>
    <row r="685">
      <c r="A685" s="2"/>
      <c r="B685" s="7"/>
      <c r="C685" s="7"/>
      <c r="D685" s="7"/>
      <c r="E685" s="7"/>
      <c r="F685" s="7"/>
      <c r="G685" s="7"/>
      <c r="H685" s="7"/>
      <c r="I685" s="7"/>
      <c r="J685" s="7"/>
      <c r="K685" s="7"/>
      <c r="L685" s="7"/>
      <c r="M685" s="7"/>
      <c r="N685" s="7"/>
      <c r="O685" s="2"/>
      <c r="P685" s="2"/>
      <c r="Q685" s="2"/>
      <c r="R685" s="2"/>
      <c r="S685" s="2"/>
      <c r="T685" s="2"/>
      <c r="U685" s="2"/>
      <c r="V685" s="2"/>
      <c r="W685" s="2"/>
      <c r="X685" s="2"/>
      <c r="Y685" s="2"/>
      <c r="Z685" s="2"/>
    </row>
    <row r="686">
      <c r="A686" s="2"/>
      <c r="B686" s="7"/>
      <c r="C686" s="7"/>
      <c r="D686" s="7"/>
      <c r="E686" s="7"/>
      <c r="F686" s="7"/>
      <c r="G686" s="7"/>
      <c r="H686" s="7"/>
      <c r="I686" s="7"/>
      <c r="J686" s="7"/>
      <c r="K686" s="7"/>
      <c r="L686" s="7"/>
      <c r="M686" s="7"/>
      <c r="N686" s="7"/>
      <c r="O686" s="2"/>
      <c r="P686" s="2"/>
      <c r="Q686" s="2"/>
      <c r="R686" s="2"/>
      <c r="S686" s="2"/>
      <c r="T686" s="2"/>
      <c r="U686" s="2"/>
      <c r="V686" s="2"/>
      <c r="W686" s="2"/>
      <c r="X686" s="2"/>
      <c r="Y686" s="2"/>
      <c r="Z686" s="2"/>
    </row>
    <row r="687">
      <c r="A687" s="2"/>
      <c r="B687" s="7"/>
      <c r="C687" s="7"/>
      <c r="D687" s="7"/>
      <c r="E687" s="7"/>
      <c r="F687" s="7"/>
      <c r="G687" s="7"/>
      <c r="H687" s="7"/>
      <c r="I687" s="7"/>
      <c r="J687" s="7"/>
      <c r="K687" s="7"/>
      <c r="L687" s="7"/>
      <c r="M687" s="7"/>
      <c r="N687" s="7"/>
      <c r="O687" s="2"/>
      <c r="P687" s="2"/>
      <c r="Q687" s="2"/>
      <c r="R687" s="2"/>
      <c r="S687" s="2"/>
      <c r="T687" s="2"/>
      <c r="U687" s="2"/>
      <c r="V687" s="2"/>
      <c r="W687" s="2"/>
      <c r="X687" s="2"/>
      <c r="Y687" s="2"/>
      <c r="Z687" s="2"/>
    </row>
    <row r="688">
      <c r="A688" s="2"/>
      <c r="B688" s="7"/>
      <c r="C688" s="7"/>
      <c r="D688" s="7"/>
      <c r="E688" s="7"/>
      <c r="F688" s="7"/>
      <c r="G688" s="7"/>
      <c r="H688" s="7"/>
      <c r="I688" s="7"/>
      <c r="J688" s="7"/>
      <c r="K688" s="7"/>
      <c r="L688" s="7"/>
      <c r="M688" s="7"/>
      <c r="N688" s="7"/>
      <c r="O688" s="2"/>
      <c r="P688" s="2"/>
      <c r="Q688" s="2"/>
      <c r="R688" s="2"/>
      <c r="S688" s="2"/>
      <c r="T688" s="2"/>
      <c r="U688" s="2"/>
      <c r="V688" s="2"/>
      <c r="W688" s="2"/>
      <c r="X688" s="2"/>
      <c r="Y688" s="2"/>
      <c r="Z688" s="2"/>
    </row>
    <row r="689">
      <c r="A689" s="2"/>
      <c r="B689" s="7"/>
      <c r="C689" s="7"/>
      <c r="D689" s="7"/>
      <c r="E689" s="7"/>
      <c r="F689" s="7"/>
      <c r="G689" s="7"/>
      <c r="H689" s="7"/>
      <c r="I689" s="7"/>
      <c r="J689" s="7"/>
      <c r="K689" s="7"/>
      <c r="L689" s="7"/>
      <c r="M689" s="7"/>
      <c r="N689" s="7"/>
      <c r="O689" s="2"/>
      <c r="P689" s="2"/>
      <c r="Q689" s="2"/>
      <c r="R689" s="2"/>
      <c r="S689" s="2"/>
      <c r="T689" s="2"/>
      <c r="U689" s="2"/>
      <c r="V689" s="2"/>
      <c r="W689" s="2"/>
      <c r="X689" s="2"/>
      <c r="Y689" s="2"/>
      <c r="Z689" s="2"/>
    </row>
    <row r="690">
      <c r="A690" s="2"/>
      <c r="B690" s="7"/>
      <c r="C690" s="7"/>
      <c r="D690" s="7"/>
      <c r="E690" s="7"/>
      <c r="F690" s="7"/>
      <c r="G690" s="7"/>
      <c r="H690" s="7"/>
      <c r="I690" s="7"/>
      <c r="J690" s="7"/>
      <c r="K690" s="7"/>
      <c r="L690" s="7"/>
      <c r="M690" s="7"/>
      <c r="N690" s="7"/>
      <c r="O690" s="2"/>
      <c r="P690" s="2"/>
      <c r="Q690" s="2"/>
      <c r="R690" s="2"/>
      <c r="S690" s="2"/>
      <c r="T690" s="2"/>
      <c r="U690" s="2"/>
      <c r="V690" s="2"/>
      <c r="W690" s="2"/>
      <c r="X690" s="2"/>
      <c r="Y690" s="2"/>
      <c r="Z690" s="2"/>
    </row>
    <row r="691">
      <c r="A691" s="2"/>
      <c r="B691" s="7"/>
      <c r="C691" s="7"/>
      <c r="D691" s="7"/>
      <c r="E691" s="7"/>
      <c r="F691" s="7"/>
      <c r="G691" s="7"/>
      <c r="H691" s="7"/>
      <c r="I691" s="7"/>
      <c r="J691" s="7"/>
      <c r="K691" s="7"/>
      <c r="L691" s="7"/>
      <c r="M691" s="7"/>
      <c r="N691" s="7"/>
      <c r="O691" s="2"/>
      <c r="P691" s="2"/>
      <c r="Q691" s="2"/>
      <c r="R691" s="2"/>
      <c r="S691" s="2"/>
      <c r="T691" s="2"/>
      <c r="U691" s="2"/>
      <c r="V691" s="2"/>
      <c r="W691" s="2"/>
      <c r="X691" s="2"/>
      <c r="Y691" s="2"/>
      <c r="Z691" s="2"/>
    </row>
    <row r="692">
      <c r="A692" s="2"/>
      <c r="B692" s="7"/>
      <c r="C692" s="7"/>
      <c r="D692" s="7"/>
      <c r="E692" s="7"/>
      <c r="F692" s="7"/>
      <c r="G692" s="7"/>
      <c r="H692" s="7"/>
      <c r="I692" s="7"/>
      <c r="J692" s="7"/>
      <c r="K692" s="7"/>
      <c r="L692" s="7"/>
      <c r="M692" s="7"/>
      <c r="N692" s="7"/>
      <c r="O692" s="2"/>
      <c r="P692" s="2"/>
      <c r="Q692" s="2"/>
      <c r="R692" s="2"/>
      <c r="S692" s="2"/>
      <c r="T692" s="2"/>
      <c r="U692" s="2"/>
      <c r="V692" s="2"/>
      <c r="W692" s="2"/>
      <c r="X692" s="2"/>
      <c r="Y692" s="2"/>
      <c r="Z692" s="2"/>
    </row>
    <row r="693">
      <c r="A693" s="2"/>
      <c r="B693" s="7"/>
      <c r="C693" s="7"/>
      <c r="D693" s="7"/>
      <c r="E693" s="7"/>
      <c r="F693" s="7"/>
      <c r="G693" s="7"/>
      <c r="H693" s="7"/>
      <c r="I693" s="7"/>
      <c r="J693" s="7"/>
      <c r="K693" s="7"/>
      <c r="L693" s="7"/>
      <c r="M693" s="7"/>
      <c r="N693" s="7"/>
      <c r="O693" s="2"/>
      <c r="P693" s="2"/>
      <c r="Q693" s="2"/>
      <c r="R693" s="2"/>
      <c r="S693" s="2"/>
      <c r="T693" s="2"/>
      <c r="U693" s="2"/>
      <c r="V693" s="2"/>
      <c r="W693" s="2"/>
      <c r="X693" s="2"/>
      <c r="Y693" s="2"/>
      <c r="Z693" s="2"/>
    </row>
    <row r="694">
      <c r="A694" s="2"/>
      <c r="B694" s="7"/>
      <c r="C694" s="7"/>
      <c r="D694" s="7"/>
      <c r="E694" s="7"/>
      <c r="F694" s="7"/>
      <c r="G694" s="7"/>
      <c r="H694" s="7"/>
      <c r="I694" s="7"/>
      <c r="J694" s="7"/>
      <c r="K694" s="7"/>
      <c r="L694" s="7"/>
      <c r="M694" s="7"/>
      <c r="N694" s="7"/>
      <c r="O694" s="2"/>
      <c r="P694" s="2"/>
      <c r="Q694" s="2"/>
      <c r="R694" s="2"/>
      <c r="S694" s="2"/>
      <c r="T694" s="2"/>
      <c r="U694" s="2"/>
      <c r="V694" s="2"/>
      <c r="W694" s="2"/>
      <c r="X694" s="2"/>
      <c r="Y694" s="2"/>
      <c r="Z694" s="2"/>
    </row>
    <row r="695">
      <c r="A695" s="2"/>
      <c r="B695" s="7"/>
      <c r="C695" s="7"/>
      <c r="D695" s="7"/>
      <c r="E695" s="7"/>
      <c r="F695" s="7"/>
      <c r="G695" s="7"/>
      <c r="H695" s="7"/>
      <c r="I695" s="7"/>
      <c r="J695" s="7"/>
      <c r="K695" s="7"/>
      <c r="L695" s="7"/>
      <c r="M695" s="7"/>
      <c r="N695" s="7"/>
      <c r="O695" s="2"/>
      <c r="P695" s="2"/>
      <c r="Q695" s="2"/>
      <c r="R695" s="2"/>
      <c r="S695" s="2"/>
      <c r="T695" s="2"/>
      <c r="U695" s="2"/>
      <c r="V695" s="2"/>
      <c r="W695" s="2"/>
      <c r="X695" s="2"/>
      <c r="Y695" s="2"/>
      <c r="Z695" s="2"/>
    </row>
    <row r="696">
      <c r="A696" s="2"/>
      <c r="B696" s="7"/>
      <c r="C696" s="7"/>
      <c r="D696" s="7"/>
      <c r="E696" s="7"/>
      <c r="F696" s="7"/>
      <c r="G696" s="7"/>
      <c r="H696" s="7"/>
      <c r="I696" s="7"/>
      <c r="J696" s="7"/>
      <c r="K696" s="7"/>
      <c r="L696" s="7"/>
      <c r="M696" s="7"/>
      <c r="N696" s="7"/>
      <c r="O696" s="2"/>
      <c r="P696" s="2"/>
      <c r="Q696" s="2"/>
      <c r="R696" s="2"/>
      <c r="S696" s="2"/>
      <c r="T696" s="2"/>
      <c r="U696" s="2"/>
      <c r="V696" s="2"/>
      <c r="W696" s="2"/>
      <c r="X696" s="2"/>
      <c r="Y696" s="2"/>
      <c r="Z696" s="2"/>
    </row>
    <row r="697">
      <c r="A697" s="2"/>
      <c r="B697" s="7"/>
      <c r="C697" s="7"/>
      <c r="D697" s="7"/>
      <c r="E697" s="7"/>
      <c r="F697" s="7"/>
      <c r="G697" s="7"/>
      <c r="H697" s="7"/>
      <c r="I697" s="7"/>
      <c r="J697" s="7"/>
      <c r="K697" s="7"/>
      <c r="L697" s="7"/>
      <c r="M697" s="7"/>
      <c r="N697" s="7"/>
      <c r="O697" s="2"/>
      <c r="P697" s="2"/>
      <c r="Q697" s="2"/>
      <c r="R697" s="2"/>
      <c r="S697" s="2"/>
      <c r="T697" s="2"/>
      <c r="U697" s="2"/>
      <c r="V697" s="2"/>
      <c r="W697" s="2"/>
      <c r="X697" s="2"/>
      <c r="Y697" s="2"/>
      <c r="Z697" s="2"/>
    </row>
    <row r="698">
      <c r="A698" s="2"/>
      <c r="B698" s="7"/>
      <c r="C698" s="7"/>
      <c r="D698" s="7"/>
      <c r="E698" s="7"/>
      <c r="F698" s="7"/>
      <c r="G698" s="7"/>
      <c r="H698" s="7"/>
      <c r="I698" s="7"/>
      <c r="J698" s="7"/>
      <c r="K698" s="7"/>
      <c r="L698" s="7"/>
      <c r="M698" s="7"/>
      <c r="N698" s="7"/>
      <c r="O698" s="2"/>
      <c r="P698" s="2"/>
      <c r="Q698" s="2"/>
      <c r="R698" s="2"/>
      <c r="S698" s="2"/>
      <c r="T698" s="2"/>
      <c r="U698" s="2"/>
      <c r="V698" s="2"/>
      <c r="W698" s="2"/>
      <c r="X698" s="2"/>
      <c r="Y698" s="2"/>
      <c r="Z698" s="2"/>
    </row>
    <row r="699">
      <c r="A699" s="2"/>
      <c r="B699" s="7"/>
      <c r="C699" s="7"/>
      <c r="D699" s="7"/>
      <c r="E699" s="7"/>
      <c r="F699" s="7"/>
      <c r="G699" s="7"/>
      <c r="H699" s="7"/>
      <c r="I699" s="7"/>
      <c r="J699" s="7"/>
      <c r="K699" s="7"/>
      <c r="L699" s="7"/>
      <c r="M699" s="7"/>
      <c r="N699" s="7"/>
      <c r="O699" s="2"/>
      <c r="P699" s="2"/>
      <c r="Q699" s="2"/>
      <c r="R699" s="2"/>
      <c r="S699" s="2"/>
      <c r="T699" s="2"/>
      <c r="U699" s="2"/>
      <c r="V699" s="2"/>
      <c r="W699" s="2"/>
      <c r="X699" s="2"/>
      <c r="Y699" s="2"/>
      <c r="Z699" s="2"/>
    </row>
    <row r="700">
      <c r="A700" s="2"/>
      <c r="B700" s="7"/>
      <c r="C700" s="7"/>
      <c r="D700" s="7"/>
      <c r="E700" s="7"/>
      <c r="F700" s="7"/>
      <c r="G700" s="7"/>
      <c r="H700" s="7"/>
      <c r="I700" s="7"/>
      <c r="J700" s="7"/>
      <c r="K700" s="7"/>
      <c r="L700" s="7"/>
      <c r="M700" s="7"/>
      <c r="N700" s="7"/>
      <c r="O700" s="2"/>
      <c r="P700" s="2"/>
      <c r="Q700" s="2"/>
      <c r="R700" s="2"/>
      <c r="S700" s="2"/>
      <c r="T700" s="2"/>
      <c r="U700" s="2"/>
      <c r="V700" s="2"/>
      <c r="W700" s="2"/>
      <c r="X700" s="2"/>
      <c r="Y700" s="2"/>
      <c r="Z700" s="2"/>
    </row>
    <row r="701">
      <c r="A701" s="2"/>
      <c r="B701" s="7"/>
      <c r="C701" s="7"/>
      <c r="D701" s="7"/>
      <c r="E701" s="7"/>
      <c r="F701" s="7"/>
      <c r="G701" s="7"/>
      <c r="H701" s="7"/>
      <c r="I701" s="7"/>
      <c r="J701" s="7"/>
      <c r="K701" s="7"/>
      <c r="L701" s="7"/>
      <c r="M701" s="7"/>
      <c r="N701" s="7"/>
      <c r="O701" s="2"/>
      <c r="P701" s="2"/>
      <c r="Q701" s="2"/>
      <c r="R701" s="2"/>
      <c r="S701" s="2"/>
      <c r="T701" s="2"/>
      <c r="U701" s="2"/>
      <c r="V701" s="2"/>
      <c r="W701" s="2"/>
      <c r="X701" s="2"/>
      <c r="Y701" s="2"/>
      <c r="Z701" s="2"/>
    </row>
    <row r="702">
      <c r="A702" s="2"/>
      <c r="B702" s="7"/>
      <c r="C702" s="7"/>
      <c r="D702" s="7"/>
      <c r="E702" s="7"/>
      <c r="F702" s="7"/>
      <c r="G702" s="7"/>
      <c r="H702" s="7"/>
      <c r="I702" s="7"/>
      <c r="J702" s="7"/>
      <c r="K702" s="7"/>
      <c r="L702" s="7"/>
      <c r="M702" s="7"/>
      <c r="N702" s="7"/>
      <c r="O702" s="2"/>
      <c r="P702" s="2"/>
      <c r="Q702" s="2"/>
      <c r="R702" s="2"/>
      <c r="S702" s="2"/>
      <c r="T702" s="2"/>
      <c r="U702" s="2"/>
      <c r="V702" s="2"/>
      <c r="W702" s="2"/>
      <c r="X702" s="2"/>
      <c r="Y702" s="2"/>
      <c r="Z702" s="2"/>
    </row>
    <row r="703">
      <c r="A703" s="2"/>
      <c r="B703" s="7"/>
      <c r="C703" s="7"/>
      <c r="D703" s="7"/>
      <c r="E703" s="7"/>
      <c r="F703" s="7"/>
      <c r="G703" s="7"/>
      <c r="H703" s="7"/>
      <c r="I703" s="7"/>
      <c r="J703" s="7"/>
      <c r="K703" s="7"/>
      <c r="L703" s="7"/>
      <c r="M703" s="7"/>
      <c r="N703" s="7"/>
      <c r="O703" s="2"/>
      <c r="P703" s="2"/>
      <c r="Q703" s="2"/>
      <c r="R703" s="2"/>
      <c r="S703" s="2"/>
      <c r="T703" s="2"/>
      <c r="U703" s="2"/>
      <c r="V703" s="2"/>
      <c r="W703" s="2"/>
      <c r="X703" s="2"/>
      <c r="Y703" s="2"/>
      <c r="Z703" s="2"/>
    </row>
    <row r="704">
      <c r="A704" s="2"/>
      <c r="B704" s="7"/>
      <c r="C704" s="7"/>
      <c r="D704" s="7"/>
      <c r="E704" s="7"/>
      <c r="F704" s="7"/>
      <c r="G704" s="7"/>
      <c r="H704" s="7"/>
      <c r="I704" s="7"/>
      <c r="J704" s="7"/>
      <c r="K704" s="7"/>
      <c r="L704" s="7"/>
      <c r="M704" s="7"/>
      <c r="N704" s="7"/>
      <c r="O704" s="2"/>
      <c r="P704" s="2"/>
      <c r="Q704" s="2"/>
      <c r="R704" s="2"/>
      <c r="S704" s="2"/>
      <c r="T704" s="2"/>
      <c r="U704" s="2"/>
      <c r="V704" s="2"/>
      <c r="W704" s="2"/>
      <c r="X704" s="2"/>
      <c r="Y704" s="2"/>
      <c r="Z704" s="2"/>
    </row>
    <row r="705">
      <c r="A705" s="2"/>
      <c r="B705" s="7"/>
      <c r="C705" s="7"/>
      <c r="D705" s="7"/>
      <c r="E705" s="7"/>
      <c r="F705" s="7"/>
      <c r="G705" s="7"/>
      <c r="H705" s="7"/>
      <c r="I705" s="7"/>
      <c r="J705" s="7"/>
      <c r="K705" s="7"/>
      <c r="L705" s="7"/>
      <c r="M705" s="7"/>
      <c r="N705" s="7"/>
      <c r="O705" s="2"/>
      <c r="P705" s="2"/>
      <c r="Q705" s="2"/>
      <c r="R705" s="2"/>
      <c r="S705" s="2"/>
      <c r="T705" s="2"/>
      <c r="U705" s="2"/>
      <c r="V705" s="2"/>
      <c r="W705" s="2"/>
      <c r="X705" s="2"/>
      <c r="Y705" s="2"/>
      <c r="Z705" s="2"/>
    </row>
    <row r="706">
      <c r="A706" s="2"/>
      <c r="B706" s="7"/>
      <c r="C706" s="7"/>
      <c r="D706" s="7"/>
      <c r="E706" s="7"/>
      <c r="F706" s="7"/>
      <c r="G706" s="7"/>
      <c r="H706" s="7"/>
      <c r="I706" s="7"/>
      <c r="J706" s="7"/>
      <c r="K706" s="7"/>
      <c r="L706" s="7"/>
      <c r="M706" s="7"/>
      <c r="N706" s="7"/>
      <c r="O706" s="2"/>
      <c r="P706" s="2"/>
      <c r="Q706" s="2"/>
      <c r="R706" s="2"/>
      <c r="S706" s="2"/>
      <c r="T706" s="2"/>
      <c r="U706" s="2"/>
      <c r="V706" s="2"/>
      <c r="W706" s="2"/>
      <c r="X706" s="2"/>
      <c r="Y706" s="2"/>
      <c r="Z706" s="2"/>
    </row>
    <row r="707">
      <c r="A707" s="2"/>
      <c r="B707" s="7"/>
      <c r="C707" s="7"/>
      <c r="D707" s="7"/>
      <c r="E707" s="7"/>
      <c r="F707" s="7"/>
      <c r="G707" s="7"/>
      <c r="H707" s="7"/>
      <c r="I707" s="7"/>
      <c r="J707" s="7"/>
      <c r="K707" s="7"/>
      <c r="L707" s="7"/>
      <c r="M707" s="7"/>
      <c r="N707" s="7"/>
      <c r="O707" s="2"/>
      <c r="P707" s="2"/>
      <c r="Q707" s="2"/>
      <c r="R707" s="2"/>
      <c r="S707" s="2"/>
      <c r="T707" s="2"/>
      <c r="U707" s="2"/>
      <c r="V707" s="2"/>
      <c r="W707" s="2"/>
      <c r="X707" s="2"/>
      <c r="Y707" s="2"/>
      <c r="Z707" s="2"/>
    </row>
    <row r="708">
      <c r="A708" s="2"/>
      <c r="B708" s="7"/>
      <c r="C708" s="7"/>
      <c r="D708" s="7"/>
      <c r="E708" s="7"/>
      <c r="F708" s="7"/>
      <c r="G708" s="7"/>
      <c r="H708" s="7"/>
      <c r="I708" s="7"/>
      <c r="J708" s="7"/>
      <c r="K708" s="7"/>
      <c r="L708" s="7"/>
      <c r="M708" s="7"/>
      <c r="N708" s="7"/>
      <c r="O708" s="2"/>
      <c r="P708" s="2"/>
      <c r="Q708" s="2"/>
      <c r="R708" s="2"/>
      <c r="S708" s="2"/>
      <c r="T708" s="2"/>
      <c r="U708" s="2"/>
      <c r="V708" s="2"/>
      <c r="W708" s="2"/>
      <c r="X708" s="2"/>
      <c r="Y708" s="2"/>
      <c r="Z708" s="2"/>
    </row>
    <row r="709">
      <c r="A709" s="2"/>
      <c r="B709" s="7"/>
      <c r="C709" s="7"/>
      <c r="D709" s="7"/>
      <c r="E709" s="7"/>
      <c r="F709" s="7"/>
      <c r="G709" s="7"/>
      <c r="H709" s="7"/>
      <c r="I709" s="7"/>
      <c r="J709" s="7"/>
      <c r="K709" s="7"/>
      <c r="L709" s="7"/>
      <c r="M709" s="7"/>
      <c r="N709" s="7"/>
      <c r="O709" s="2"/>
      <c r="P709" s="2"/>
      <c r="Q709" s="2"/>
      <c r="R709" s="2"/>
      <c r="S709" s="2"/>
      <c r="T709" s="2"/>
      <c r="U709" s="2"/>
      <c r="V709" s="2"/>
      <c r="W709" s="2"/>
      <c r="X709" s="2"/>
      <c r="Y709" s="2"/>
      <c r="Z709" s="2"/>
    </row>
    <row r="710">
      <c r="A710" s="2"/>
      <c r="B710" s="7"/>
      <c r="C710" s="7"/>
      <c r="D710" s="7"/>
      <c r="E710" s="7"/>
      <c r="F710" s="7"/>
      <c r="G710" s="7"/>
      <c r="H710" s="7"/>
      <c r="I710" s="7"/>
      <c r="J710" s="7"/>
      <c r="K710" s="7"/>
      <c r="L710" s="7"/>
      <c r="M710" s="7"/>
      <c r="N710" s="7"/>
      <c r="O710" s="2"/>
      <c r="P710" s="2"/>
      <c r="Q710" s="2"/>
      <c r="R710" s="2"/>
      <c r="S710" s="2"/>
      <c r="T710" s="2"/>
      <c r="U710" s="2"/>
      <c r="V710" s="2"/>
      <c r="W710" s="2"/>
      <c r="X710" s="2"/>
      <c r="Y710" s="2"/>
      <c r="Z710" s="2"/>
    </row>
    <row r="711">
      <c r="A711" s="2"/>
      <c r="B711" s="7"/>
      <c r="C711" s="7"/>
      <c r="D711" s="7"/>
      <c r="E711" s="7"/>
      <c r="F711" s="7"/>
      <c r="G711" s="7"/>
      <c r="H711" s="7"/>
      <c r="I711" s="7"/>
      <c r="J711" s="7"/>
      <c r="K711" s="7"/>
      <c r="L711" s="7"/>
      <c r="M711" s="7"/>
      <c r="N711" s="7"/>
      <c r="O711" s="2"/>
      <c r="P711" s="2"/>
      <c r="Q711" s="2"/>
      <c r="R711" s="2"/>
      <c r="S711" s="2"/>
      <c r="T711" s="2"/>
      <c r="U711" s="2"/>
      <c r="V711" s="2"/>
      <c r="W711" s="2"/>
      <c r="X711" s="2"/>
      <c r="Y711" s="2"/>
      <c r="Z711" s="2"/>
    </row>
    <row r="712">
      <c r="A712" s="2"/>
      <c r="B712" s="7"/>
      <c r="C712" s="7"/>
      <c r="D712" s="7"/>
      <c r="E712" s="7"/>
      <c r="F712" s="7"/>
      <c r="G712" s="7"/>
      <c r="H712" s="7"/>
      <c r="I712" s="7"/>
      <c r="J712" s="7"/>
      <c r="K712" s="7"/>
      <c r="L712" s="7"/>
      <c r="M712" s="7"/>
      <c r="N712" s="7"/>
      <c r="O712" s="2"/>
      <c r="P712" s="2"/>
      <c r="Q712" s="2"/>
      <c r="R712" s="2"/>
      <c r="S712" s="2"/>
      <c r="T712" s="2"/>
      <c r="U712" s="2"/>
      <c r="V712" s="2"/>
      <c r="W712" s="2"/>
      <c r="X712" s="2"/>
      <c r="Y712" s="2"/>
      <c r="Z712" s="2"/>
    </row>
    <row r="713">
      <c r="A713" s="2"/>
      <c r="B713" s="7"/>
      <c r="C713" s="7"/>
      <c r="D713" s="7"/>
      <c r="E713" s="7"/>
      <c r="F713" s="7"/>
      <c r="G713" s="7"/>
      <c r="H713" s="7"/>
      <c r="I713" s="7"/>
      <c r="J713" s="7"/>
      <c r="K713" s="7"/>
      <c r="L713" s="7"/>
      <c r="M713" s="7"/>
      <c r="N713" s="7"/>
      <c r="O713" s="2"/>
      <c r="P713" s="2"/>
      <c r="Q713" s="2"/>
      <c r="R713" s="2"/>
      <c r="S713" s="2"/>
      <c r="T713" s="2"/>
      <c r="U713" s="2"/>
      <c r="V713" s="2"/>
      <c r="W713" s="2"/>
      <c r="X713" s="2"/>
      <c r="Y713" s="2"/>
      <c r="Z713" s="2"/>
    </row>
    <row r="714">
      <c r="A714" s="2"/>
      <c r="B714" s="7"/>
      <c r="C714" s="7"/>
      <c r="D714" s="7"/>
      <c r="E714" s="7"/>
      <c r="F714" s="7"/>
      <c r="G714" s="7"/>
      <c r="H714" s="7"/>
      <c r="I714" s="7"/>
      <c r="J714" s="7"/>
      <c r="K714" s="7"/>
      <c r="L714" s="7"/>
      <c r="M714" s="7"/>
      <c r="N714" s="7"/>
      <c r="O714" s="2"/>
      <c r="P714" s="2"/>
      <c r="Q714" s="2"/>
      <c r="R714" s="2"/>
      <c r="S714" s="2"/>
      <c r="T714" s="2"/>
      <c r="U714" s="2"/>
      <c r="V714" s="2"/>
      <c r="W714" s="2"/>
      <c r="X714" s="2"/>
      <c r="Y714" s="2"/>
      <c r="Z714" s="2"/>
    </row>
    <row r="715">
      <c r="A715" s="2"/>
      <c r="B715" s="7"/>
      <c r="C715" s="7"/>
      <c r="D715" s="7"/>
      <c r="E715" s="7"/>
      <c r="F715" s="7"/>
      <c r="G715" s="7"/>
      <c r="H715" s="7"/>
      <c r="I715" s="7"/>
      <c r="J715" s="7"/>
      <c r="K715" s="7"/>
      <c r="L715" s="7"/>
      <c r="M715" s="7"/>
      <c r="N715" s="7"/>
      <c r="O715" s="2"/>
      <c r="P715" s="2"/>
      <c r="Q715" s="2"/>
      <c r="R715" s="2"/>
      <c r="S715" s="2"/>
      <c r="T715" s="2"/>
      <c r="U715" s="2"/>
      <c r="V715" s="2"/>
      <c r="W715" s="2"/>
      <c r="X715" s="2"/>
      <c r="Y715" s="2"/>
      <c r="Z715" s="2"/>
    </row>
    <row r="716">
      <c r="A716" s="2"/>
      <c r="B716" s="7"/>
      <c r="C716" s="7"/>
      <c r="D716" s="7"/>
      <c r="E716" s="7"/>
      <c r="F716" s="7"/>
      <c r="G716" s="7"/>
      <c r="H716" s="7"/>
      <c r="I716" s="7"/>
      <c r="J716" s="7"/>
      <c r="K716" s="7"/>
      <c r="L716" s="7"/>
      <c r="M716" s="7"/>
      <c r="N716" s="7"/>
      <c r="O716" s="2"/>
      <c r="P716" s="2"/>
      <c r="Q716" s="2"/>
      <c r="R716" s="2"/>
      <c r="S716" s="2"/>
      <c r="T716" s="2"/>
      <c r="U716" s="2"/>
      <c r="V716" s="2"/>
      <c r="W716" s="2"/>
      <c r="X716" s="2"/>
      <c r="Y716" s="2"/>
      <c r="Z716" s="2"/>
    </row>
    <row r="717">
      <c r="A717" s="2"/>
      <c r="B717" s="7"/>
      <c r="C717" s="7"/>
      <c r="D717" s="7"/>
      <c r="E717" s="7"/>
      <c r="F717" s="7"/>
      <c r="G717" s="7"/>
      <c r="H717" s="7"/>
      <c r="I717" s="7"/>
      <c r="J717" s="7"/>
      <c r="K717" s="7"/>
      <c r="L717" s="7"/>
      <c r="M717" s="7"/>
      <c r="N717" s="7"/>
      <c r="O717" s="2"/>
      <c r="P717" s="2"/>
      <c r="Q717" s="2"/>
      <c r="R717" s="2"/>
      <c r="S717" s="2"/>
      <c r="T717" s="2"/>
      <c r="U717" s="2"/>
      <c r="V717" s="2"/>
      <c r="W717" s="2"/>
      <c r="X717" s="2"/>
      <c r="Y717" s="2"/>
      <c r="Z717" s="2"/>
    </row>
    <row r="718">
      <c r="A718" s="2"/>
      <c r="B718" s="7"/>
      <c r="C718" s="7"/>
      <c r="D718" s="7"/>
      <c r="E718" s="7"/>
      <c r="F718" s="7"/>
      <c r="G718" s="7"/>
      <c r="H718" s="7"/>
      <c r="I718" s="7"/>
      <c r="J718" s="7"/>
      <c r="K718" s="7"/>
      <c r="L718" s="7"/>
      <c r="M718" s="7"/>
      <c r="N718" s="7"/>
      <c r="O718" s="2"/>
      <c r="P718" s="2"/>
      <c r="Q718" s="2"/>
      <c r="R718" s="2"/>
      <c r="S718" s="2"/>
      <c r="T718" s="2"/>
      <c r="U718" s="2"/>
      <c r="V718" s="2"/>
      <c r="W718" s="2"/>
      <c r="X718" s="2"/>
      <c r="Y718" s="2"/>
      <c r="Z718" s="2"/>
    </row>
    <row r="719">
      <c r="A719" s="2"/>
      <c r="B719" s="7"/>
      <c r="C719" s="7"/>
      <c r="D719" s="7"/>
      <c r="E719" s="7"/>
      <c r="F719" s="7"/>
      <c r="G719" s="7"/>
      <c r="H719" s="7"/>
      <c r="I719" s="7"/>
      <c r="J719" s="7"/>
      <c r="K719" s="7"/>
      <c r="L719" s="7"/>
      <c r="M719" s="7"/>
      <c r="N719" s="7"/>
      <c r="O719" s="2"/>
      <c r="P719" s="2"/>
      <c r="Q719" s="2"/>
      <c r="R719" s="2"/>
      <c r="S719" s="2"/>
      <c r="T719" s="2"/>
      <c r="U719" s="2"/>
      <c r="V719" s="2"/>
      <c r="W719" s="2"/>
      <c r="X719" s="2"/>
      <c r="Y719" s="2"/>
      <c r="Z719" s="2"/>
    </row>
    <row r="720">
      <c r="A720" s="2"/>
      <c r="B720" s="7"/>
      <c r="C720" s="7"/>
      <c r="D720" s="7"/>
      <c r="E720" s="7"/>
      <c r="F720" s="7"/>
      <c r="G720" s="7"/>
      <c r="H720" s="7"/>
      <c r="I720" s="7"/>
      <c r="J720" s="7"/>
      <c r="K720" s="7"/>
      <c r="L720" s="7"/>
      <c r="M720" s="7"/>
      <c r="N720" s="7"/>
      <c r="O720" s="2"/>
      <c r="P720" s="2"/>
      <c r="Q720" s="2"/>
      <c r="R720" s="2"/>
      <c r="S720" s="2"/>
      <c r="T720" s="2"/>
      <c r="U720" s="2"/>
      <c r="V720" s="2"/>
      <c r="W720" s="2"/>
      <c r="X720" s="2"/>
      <c r="Y720" s="2"/>
      <c r="Z720" s="2"/>
    </row>
    <row r="721">
      <c r="A721" s="2"/>
      <c r="B721" s="7"/>
      <c r="C721" s="7"/>
      <c r="D721" s="7"/>
      <c r="E721" s="7"/>
      <c r="F721" s="7"/>
      <c r="G721" s="7"/>
      <c r="H721" s="7"/>
      <c r="I721" s="7"/>
      <c r="J721" s="7"/>
      <c r="K721" s="7"/>
      <c r="L721" s="7"/>
      <c r="M721" s="7"/>
      <c r="N721" s="7"/>
      <c r="O721" s="2"/>
      <c r="P721" s="2"/>
      <c r="Q721" s="2"/>
      <c r="R721" s="2"/>
      <c r="S721" s="2"/>
      <c r="T721" s="2"/>
      <c r="U721" s="2"/>
      <c r="V721" s="2"/>
      <c r="W721" s="2"/>
      <c r="X721" s="2"/>
      <c r="Y721" s="2"/>
      <c r="Z721" s="2"/>
    </row>
    <row r="722">
      <c r="A722" s="2"/>
      <c r="B722" s="7"/>
      <c r="C722" s="7"/>
      <c r="D722" s="7"/>
      <c r="E722" s="7"/>
      <c r="F722" s="7"/>
      <c r="G722" s="7"/>
      <c r="H722" s="7"/>
      <c r="I722" s="7"/>
      <c r="J722" s="7"/>
      <c r="K722" s="7"/>
      <c r="L722" s="7"/>
      <c r="M722" s="7"/>
      <c r="N722" s="7"/>
      <c r="O722" s="2"/>
      <c r="P722" s="2"/>
      <c r="Q722" s="2"/>
      <c r="R722" s="2"/>
      <c r="S722" s="2"/>
      <c r="T722" s="2"/>
      <c r="U722" s="2"/>
      <c r="V722" s="2"/>
      <c r="W722" s="2"/>
      <c r="X722" s="2"/>
      <c r="Y722" s="2"/>
      <c r="Z722" s="2"/>
    </row>
    <row r="723">
      <c r="A723" s="2"/>
      <c r="B723" s="7"/>
      <c r="C723" s="7"/>
      <c r="D723" s="7"/>
      <c r="E723" s="7"/>
      <c r="F723" s="7"/>
      <c r="G723" s="7"/>
      <c r="H723" s="7"/>
      <c r="I723" s="7"/>
      <c r="J723" s="7"/>
      <c r="K723" s="7"/>
      <c r="L723" s="7"/>
      <c r="M723" s="7"/>
      <c r="N723" s="7"/>
      <c r="O723" s="2"/>
      <c r="P723" s="2"/>
      <c r="Q723" s="2"/>
      <c r="R723" s="2"/>
      <c r="S723" s="2"/>
      <c r="T723" s="2"/>
      <c r="U723" s="2"/>
      <c r="V723" s="2"/>
      <c r="W723" s="2"/>
      <c r="X723" s="2"/>
      <c r="Y723" s="2"/>
      <c r="Z723" s="2"/>
    </row>
    <row r="724">
      <c r="A724" s="2"/>
      <c r="B724" s="7"/>
      <c r="C724" s="7"/>
      <c r="D724" s="7"/>
      <c r="E724" s="7"/>
      <c r="F724" s="7"/>
      <c r="G724" s="7"/>
      <c r="H724" s="7"/>
      <c r="I724" s="7"/>
      <c r="J724" s="7"/>
      <c r="K724" s="7"/>
      <c r="L724" s="7"/>
      <c r="M724" s="7"/>
      <c r="N724" s="7"/>
      <c r="O724" s="2"/>
      <c r="P724" s="2"/>
      <c r="Q724" s="2"/>
      <c r="R724" s="2"/>
      <c r="S724" s="2"/>
      <c r="T724" s="2"/>
      <c r="U724" s="2"/>
      <c r="V724" s="2"/>
      <c r="W724" s="2"/>
      <c r="X724" s="2"/>
      <c r="Y724" s="2"/>
      <c r="Z724" s="2"/>
    </row>
    <row r="725">
      <c r="A725" s="2"/>
      <c r="B725" s="7"/>
      <c r="C725" s="7"/>
      <c r="D725" s="7"/>
      <c r="E725" s="7"/>
      <c r="F725" s="7"/>
      <c r="G725" s="7"/>
      <c r="H725" s="7"/>
      <c r="I725" s="7"/>
      <c r="J725" s="7"/>
      <c r="K725" s="7"/>
      <c r="L725" s="7"/>
      <c r="M725" s="7"/>
      <c r="N725" s="7"/>
      <c r="O725" s="2"/>
      <c r="P725" s="2"/>
      <c r="Q725" s="2"/>
      <c r="R725" s="2"/>
      <c r="S725" s="2"/>
      <c r="T725" s="2"/>
      <c r="U725" s="2"/>
      <c r="V725" s="2"/>
      <c r="W725" s="2"/>
      <c r="X725" s="2"/>
      <c r="Y725" s="2"/>
      <c r="Z725" s="2"/>
    </row>
    <row r="726">
      <c r="A726" s="2"/>
      <c r="B726" s="7"/>
      <c r="C726" s="7"/>
      <c r="D726" s="7"/>
      <c r="E726" s="7"/>
      <c r="F726" s="7"/>
      <c r="G726" s="7"/>
      <c r="H726" s="7"/>
      <c r="I726" s="7"/>
      <c r="J726" s="7"/>
      <c r="K726" s="7"/>
      <c r="L726" s="7"/>
      <c r="M726" s="7"/>
      <c r="N726" s="7"/>
      <c r="O726" s="2"/>
      <c r="P726" s="2"/>
      <c r="Q726" s="2"/>
      <c r="R726" s="2"/>
      <c r="S726" s="2"/>
      <c r="T726" s="2"/>
      <c r="U726" s="2"/>
      <c r="V726" s="2"/>
      <c r="W726" s="2"/>
      <c r="X726" s="2"/>
      <c r="Y726" s="2"/>
      <c r="Z726" s="2"/>
    </row>
    <row r="727">
      <c r="A727" s="2"/>
      <c r="B727" s="7"/>
      <c r="C727" s="7"/>
      <c r="D727" s="7"/>
      <c r="E727" s="7"/>
      <c r="F727" s="7"/>
      <c r="G727" s="7"/>
      <c r="H727" s="7"/>
      <c r="I727" s="7"/>
      <c r="J727" s="7"/>
      <c r="K727" s="7"/>
      <c r="L727" s="7"/>
      <c r="M727" s="7"/>
      <c r="N727" s="7"/>
      <c r="O727" s="2"/>
      <c r="P727" s="2"/>
      <c r="Q727" s="2"/>
      <c r="R727" s="2"/>
      <c r="S727" s="2"/>
      <c r="T727" s="2"/>
      <c r="U727" s="2"/>
      <c r="V727" s="2"/>
      <c r="W727" s="2"/>
      <c r="X727" s="2"/>
      <c r="Y727" s="2"/>
      <c r="Z727" s="2"/>
    </row>
    <row r="728">
      <c r="A728" s="2"/>
      <c r="B728" s="7"/>
      <c r="C728" s="7"/>
      <c r="D728" s="7"/>
      <c r="E728" s="7"/>
      <c r="F728" s="7"/>
      <c r="G728" s="7"/>
      <c r="H728" s="7"/>
      <c r="I728" s="7"/>
      <c r="J728" s="7"/>
      <c r="K728" s="7"/>
      <c r="L728" s="7"/>
      <c r="M728" s="7"/>
      <c r="N728" s="7"/>
      <c r="O728" s="2"/>
      <c r="P728" s="2"/>
      <c r="Q728" s="2"/>
      <c r="R728" s="2"/>
      <c r="S728" s="2"/>
      <c r="T728" s="2"/>
      <c r="U728" s="2"/>
      <c r="V728" s="2"/>
      <c r="W728" s="2"/>
      <c r="X728" s="2"/>
      <c r="Y728" s="2"/>
      <c r="Z728" s="2"/>
    </row>
    <row r="729">
      <c r="A729" s="2"/>
      <c r="B729" s="7"/>
      <c r="C729" s="7"/>
      <c r="D729" s="7"/>
      <c r="E729" s="7"/>
      <c r="F729" s="7"/>
      <c r="G729" s="7"/>
      <c r="H729" s="7"/>
      <c r="I729" s="7"/>
      <c r="J729" s="7"/>
      <c r="K729" s="7"/>
      <c r="L729" s="7"/>
      <c r="M729" s="7"/>
      <c r="N729" s="7"/>
      <c r="O729" s="2"/>
      <c r="P729" s="2"/>
      <c r="Q729" s="2"/>
      <c r="R729" s="2"/>
      <c r="S729" s="2"/>
      <c r="T729" s="2"/>
      <c r="U729" s="2"/>
      <c r="V729" s="2"/>
      <c r="W729" s="2"/>
      <c r="X729" s="2"/>
      <c r="Y729" s="2"/>
      <c r="Z729" s="2"/>
    </row>
    <row r="730">
      <c r="A730" s="2"/>
      <c r="B730" s="7"/>
      <c r="C730" s="7"/>
      <c r="D730" s="7"/>
      <c r="E730" s="7"/>
      <c r="F730" s="7"/>
      <c r="G730" s="7"/>
      <c r="H730" s="7"/>
      <c r="I730" s="7"/>
      <c r="J730" s="7"/>
      <c r="K730" s="7"/>
      <c r="L730" s="7"/>
      <c r="M730" s="7"/>
      <c r="N730" s="7"/>
      <c r="O730" s="2"/>
      <c r="P730" s="2"/>
      <c r="Q730" s="2"/>
      <c r="R730" s="2"/>
      <c r="S730" s="2"/>
      <c r="T730" s="2"/>
      <c r="U730" s="2"/>
      <c r="V730" s="2"/>
      <c r="W730" s="2"/>
      <c r="X730" s="2"/>
      <c r="Y730" s="2"/>
      <c r="Z730" s="2"/>
    </row>
    <row r="731">
      <c r="A731" s="2"/>
      <c r="B731" s="7"/>
      <c r="C731" s="7"/>
      <c r="D731" s="7"/>
      <c r="E731" s="7"/>
      <c r="F731" s="7"/>
      <c r="G731" s="7"/>
      <c r="H731" s="7"/>
      <c r="I731" s="7"/>
      <c r="J731" s="7"/>
      <c r="K731" s="7"/>
      <c r="L731" s="7"/>
      <c r="M731" s="7"/>
      <c r="N731" s="7"/>
      <c r="O731" s="2"/>
      <c r="P731" s="2"/>
      <c r="Q731" s="2"/>
      <c r="R731" s="2"/>
      <c r="S731" s="2"/>
      <c r="T731" s="2"/>
      <c r="U731" s="2"/>
      <c r="V731" s="2"/>
      <c r="W731" s="2"/>
      <c r="X731" s="2"/>
      <c r="Y731" s="2"/>
      <c r="Z731" s="2"/>
    </row>
    <row r="732">
      <c r="A732" s="2"/>
      <c r="B732" s="7"/>
      <c r="C732" s="7"/>
      <c r="D732" s="7"/>
      <c r="E732" s="7"/>
      <c r="F732" s="7"/>
      <c r="G732" s="7"/>
      <c r="H732" s="7"/>
      <c r="I732" s="7"/>
      <c r="J732" s="7"/>
      <c r="K732" s="7"/>
      <c r="L732" s="7"/>
      <c r="M732" s="7"/>
      <c r="N732" s="7"/>
      <c r="O732" s="2"/>
      <c r="P732" s="2"/>
      <c r="Q732" s="2"/>
      <c r="R732" s="2"/>
      <c r="S732" s="2"/>
      <c r="T732" s="2"/>
      <c r="U732" s="2"/>
      <c r="V732" s="2"/>
      <c r="W732" s="2"/>
      <c r="X732" s="2"/>
      <c r="Y732" s="2"/>
      <c r="Z732" s="2"/>
    </row>
    <row r="733">
      <c r="A733" s="2"/>
      <c r="B733" s="7"/>
      <c r="C733" s="7"/>
      <c r="D733" s="7"/>
      <c r="E733" s="7"/>
      <c r="F733" s="7"/>
      <c r="G733" s="7"/>
      <c r="H733" s="7"/>
      <c r="I733" s="7"/>
      <c r="J733" s="7"/>
      <c r="K733" s="7"/>
      <c r="L733" s="7"/>
      <c r="M733" s="7"/>
      <c r="N733" s="7"/>
      <c r="O733" s="2"/>
      <c r="P733" s="2"/>
      <c r="Q733" s="2"/>
      <c r="R733" s="2"/>
      <c r="S733" s="2"/>
      <c r="T733" s="2"/>
      <c r="U733" s="2"/>
      <c r="V733" s="2"/>
      <c r="W733" s="2"/>
      <c r="X733" s="2"/>
      <c r="Y733" s="2"/>
      <c r="Z733" s="2"/>
    </row>
    <row r="734">
      <c r="A734" s="2"/>
      <c r="B734" s="7"/>
      <c r="C734" s="7"/>
      <c r="D734" s="7"/>
      <c r="E734" s="7"/>
      <c r="F734" s="7"/>
      <c r="G734" s="7"/>
      <c r="H734" s="7"/>
      <c r="I734" s="7"/>
      <c r="J734" s="7"/>
      <c r="K734" s="7"/>
      <c r="L734" s="7"/>
      <c r="M734" s="7"/>
      <c r="N734" s="7"/>
      <c r="O734" s="2"/>
      <c r="P734" s="2"/>
      <c r="Q734" s="2"/>
      <c r="R734" s="2"/>
      <c r="S734" s="2"/>
      <c r="T734" s="2"/>
      <c r="U734" s="2"/>
      <c r="V734" s="2"/>
      <c r="W734" s="2"/>
      <c r="X734" s="2"/>
      <c r="Y734" s="2"/>
      <c r="Z734" s="2"/>
    </row>
    <row r="735">
      <c r="A735" s="2"/>
      <c r="B735" s="7"/>
      <c r="C735" s="7"/>
      <c r="D735" s="7"/>
      <c r="E735" s="7"/>
      <c r="F735" s="7"/>
      <c r="G735" s="7"/>
      <c r="H735" s="7"/>
      <c r="I735" s="7"/>
      <c r="J735" s="7"/>
      <c r="K735" s="7"/>
      <c r="L735" s="7"/>
      <c r="M735" s="7"/>
      <c r="N735" s="7"/>
      <c r="O735" s="2"/>
      <c r="P735" s="2"/>
      <c r="Q735" s="2"/>
      <c r="R735" s="2"/>
      <c r="S735" s="2"/>
      <c r="T735" s="2"/>
      <c r="U735" s="2"/>
      <c r="V735" s="2"/>
      <c r="W735" s="2"/>
      <c r="X735" s="2"/>
      <c r="Y735" s="2"/>
      <c r="Z735" s="2"/>
    </row>
    <row r="736">
      <c r="A736" s="2"/>
      <c r="B736" s="7"/>
      <c r="C736" s="7"/>
      <c r="D736" s="7"/>
      <c r="E736" s="7"/>
      <c r="F736" s="7"/>
      <c r="G736" s="7"/>
      <c r="H736" s="7"/>
      <c r="I736" s="7"/>
      <c r="J736" s="7"/>
      <c r="K736" s="7"/>
      <c r="L736" s="7"/>
      <c r="M736" s="7"/>
      <c r="N736" s="7"/>
      <c r="O736" s="2"/>
      <c r="P736" s="2"/>
      <c r="Q736" s="2"/>
      <c r="R736" s="2"/>
      <c r="S736" s="2"/>
      <c r="T736" s="2"/>
      <c r="U736" s="2"/>
      <c r="V736" s="2"/>
      <c r="W736" s="2"/>
      <c r="X736" s="2"/>
      <c r="Y736" s="2"/>
      <c r="Z736" s="2"/>
    </row>
    <row r="737">
      <c r="A737" s="2"/>
      <c r="B737" s="7"/>
      <c r="C737" s="7"/>
      <c r="D737" s="7"/>
      <c r="E737" s="7"/>
      <c r="F737" s="7"/>
      <c r="G737" s="7"/>
      <c r="H737" s="7"/>
      <c r="I737" s="7"/>
      <c r="J737" s="7"/>
      <c r="K737" s="7"/>
      <c r="L737" s="7"/>
      <c r="M737" s="7"/>
      <c r="N737" s="7"/>
      <c r="O737" s="2"/>
      <c r="P737" s="2"/>
      <c r="Q737" s="2"/>
      <c r="R737" s="2"/>
      <c r="S737" s="2"/>
      <c r="T737" s="2"/>
      <c r="U737" s="2"/>
      <c r="V737" s="2"/>
      <c r="W737" s="2"/>
      <c r="X737" s="2"/>
      <c r="Y737" s="2"/>
      <c r="Z737" s="2"/>
    </row>
    <row r="738">
      <c r="A738" s="2"/>
      <c r="B738" s="7"/>
      <c r="C738" s="7"/>
      <c r="D738" s="7"/>
      <c r="E738" s="7"/>
      <c r="F738" s="7"/>
      <c r="G738" s="7"/>
      <c r="H738" s="7"/>
      <c r="I738" s="7"/>
      <c r="J738" s="7"/>
      <c r="K738" s="7"/>
      <c r="L738" s="7"/>
      <c r="M738" s="7"/>
      <c r="N738" s="7"/>
      <c r="O738" s="2"/>
      <c r="P738" s="2"/>
      <c r="Q738" s="2"/>
      <c r="R738" s="2"/>
      <c r="S738" s="2"/>
      <c r="T738" s="2"/>
      <c r="U738" s="2"/>
      <c r="V738" s="2"/>
      <c r="W738" s="2"/>
      <c r="X738" s="2"/>
      <c r="Y738" s="2"/>
      <c r="Z738" s="2"/>
    </row>
    <row r="739">
      <c r="A739" s="2"/>
      <c r="B739" s="7"/>
      <c r="C739" s="7"/>
      <c r="D739" s="7"/>
      <c r="E739" s="7"/>
      <c r="F739" s="7"/>
      <c r="G739" s="7"/>
      <c r="H739" s="7"/>
      <c r="I739" s="7"/>
      <c r="J739" s="7"/>
      <c r="K739" s="7"/>
      <c r="L739" s="7"/>
      <c r="M739" s="7"/>
      <c r="N739" s="7"/>
      <c r="O739" s="2"/>
      <c r="P739" s="2"/>
      <c r="Q739" s="2"/>
      <c r="R739" s="2"/>
      <c r="S739" s="2"/>
      <c r="T739" s="2"/>
      <c r="U739" s="2"/>
      <c r="V739" s="2"/>
      <c r="W739" s="2"/>
      <c r="X739" s="2"/>
      <c r="Y739" s="2"/>
      <c r="Z739" s="2"/>
    </row>
    <row r="740">
      <c r="A740" s="2"/>
      <c r="B740" s="7"/>
      <c r="C740" s="7"/>
      <c r="D740" s="7"/>
      <c r="E740" s="7"/>
      <c r="F740" s="7"/>
      <c r="G740" s="7"/>
      <c r="H740" s="7"/>
      <c r="I740" s="7"/>
      <c r="J740" s="7"/>
      <c r="K740" s="7"/>
      <c r="L740" s="7"/>
      <c r="M740" s="7"/>
      <c r="N740" s="7"/>
      <c r="O740" s="2"/>
      <c r="P740" s="2"/>
      <c r="Q740" s="2"/>
      <c r="R740" s="2"/>
      <c r="S740" s="2"/>
      <c r="T740" s="2"/>
      <c r="U740" s="2"/>
      <c r="V740" s="2"/>
      <c r="W740" s="2"/>
      <c r="X740" s="2"/>
      <c r="Y740" s="2"/>
      <c r="Z740" s="2"/>
    </row>
    <row r="741">
      <c r="A741" s="2"/>
      <c r="B741" s="7"/>
      <c r="C741" s="7"/>
      <c r="D741" s="7"/>
      <c r="E741" s="7"/>
      <c r="F741" s="7"/>
      <c r="G741" s="7"/>
      <c r="H741" s="7"/>
      <c r="I741" s="7"/>
      <c r="J741" s="7"/>
      <c r="K741" s="7"/>
      <c r="L741" s="7"/>
      <c r="M741" s="7"/>
      <c r="N741" s="7"/>
      <c r="O741" s="2"/>
      <c r="P741" s="2"/>
      <c r="Q741" s="2"/>
      <c r="R741" s="2"/>
      <c r="S741" s="2"/>
      <c r="T741" s="2"/>
      <c r="U741" s="2"/>
      <c r="V741" s="2"/>
      <c r="W741" s="2"/>
      <c r="X741" s="2"/>
      <c r="Y741" s="2"/>
      <c r="Z741" s="2"/>
    </row>
    <row r="742">
      <c r="A742" s="2"/>
      <c r="B742" s="7"/>
      <c r="C742" s="7"/>
      <c r="D742" s="7"/>
      <c r="E742" s="7"/>
      <c r="F742" s="7"/>
      <c r="G742" s="7"/>
      <c r="H742" s="7"/>
      <c r="I742" s="7"/>
      <c r="J742" s="7"/>
      <c r="K742" s="7"/>
      <c r="L742" s="7"/>
      <c r="M742" s="7"/>
      <c r="N742" s="7"/>
      <c r="O742" s="2"/>
      <c r="P742" s="2"/>
      <c r="Q742" s="2"/>
      <c r="R742" s="2"/>
      <c r="S742" s="2"/>
      <c r="T742" s="2"/>
      <c r="U742" s="2"/>
      <c r="V742" s="2"/>
      <c r="W742" s="2"/>
      <c r="X742" s="2"/>
      <c r="Y742" s="2"/>
      <c r="Z742" s="2"/>
    </row>
    <row r="743">
      <c r="A743" s="2"/>
      <c r="B743" s="7"/>
      <c r="C743" s="7"/>
      <c r="D743" s="7"/>
      <c r="E743" s="7"/>
      <c r="F743" s="7"/>
      <c r="G743" s="7"/>
      <c r="H743" s="7"/>
      <c r="I743" s="7"/>
      <c r="J743" s="7"/>
      <c r="K743" s="7"/>
      <c r="L743" s="7"/>
      <c r="M743" s="7"/>
      <c r="N743" s="7"/>
      <c r="O743" s="2"/>
      <c r="P743" s="2"/>
      <c r="Q743" s="2"/>
      <c r="R743" s="2"/>
      <c r="S743" s="2"/>
      <c r="T743" s="2"/>
      <c r="U743" s="2"/>
      <c r="V743" s="2"/>
      <c r="W743" s="2"/>
      <c r="X743" s="2"/>
      <c r="Y743" s="2"/>
      <c r="Z743" s="2"/>
    </row>
    <row r="744">
      <c r="A744" s="2"/>
      <c r="B744" s="7"/>
      <c r="C744" s="7"/>
      <c r="D744" s="7"/>
      <c r="E744" s="7"/>
      <c r="F744" s="7"/>
      <c r="G744" s="7"/>
      <c r="H744" s="7"/>
      <c r="I744" s="7"/>
      <c r="J744" s="7"/>
      <c r="K744" s="7"/>
      <c r="L744" s="7"/>
      <c r="M744" s="7"/>
      <c r="N744" s="7"/>
      <c r="O744" s="2"/>
      <c r="P744" s="2"/>
      <c r="Q744" s="2"/>
      <c r="R744" s="2"/>
      <c r="S744" s="2"/>
      <c r="T744" s="2"/>
      <c r="U744" s="2"/>
      <c r="V744" s="2"/>
      <c r="W744" s="2"/>
      <c r="X744" s="2"/>
      <c r="Y744" s="2"/>
      <c r="Z744" s="2"/>
    </row>
    <row r="745">
      <c r="A745" s="2"/>
      <c r="B745" s="7"/>
      <c r="C745" s="7"/>
      <c r="D745" s="7"/>
      <c r="E745" s="7"/>
      <c r="F745" s="7"/>
      <c r="G745" s="7"/>
      <c r="H745" s="7"/>
      <c r="I745" s="7"/>
      <c r="J745" s="7"/>
      <c r="K745" s="7"/>
      <c r="L745" s="7"/>
      <c r="M745" s="7"/>
      <c r="N745" s="7"/>
      <c r="O745" s="2"/>
      <c r="P745" s="2"/>
      <c r="Q745" s="2"/>
      <c r="R745" s="2"/>
      <c r="S745" s="2"/>
      <c r="T745" s="2"/>
      <c r="U745" s="2"/>
      <c r="V745" s="2"/>
      <c r="W745" s="2"/>
      <c r="X745" s="2"/>
      <c r="Y745" s="2"/>
      <c r="Z745" s="2"/>
    </row>
    <row r="746">
      <c r="A746" s="2"/>
      <c r="B746" s="7"/>
      <c r="C746" s="7"/>
      <c r="D746" s="7"/>
      <c r="E746" s="7"/>
      <c r="F746" s="7"/>
      <c r="G746" s="7"/>
      <c r="H746" s="7"/>
      <c r="I746" s="7"/>
      <c r="J746" s="7"/>
      <c r="K746" s="7"/>
      <c r="L746" s="7"/>
      <c r="M746" s="7"/>
      <c r="N746" s="7"/>
      <c r="O746" s="2"/>
      <c r="P746" s="2"/>
      <c r="Q746" s="2"/>
      <c r="R746" s="2"/>
      <c r="S746" s="2"/>
      <c r="T746" s="2"/>
      <c r="U746" s="2"/>
      <c r="V746" s="2"/>
      <c r="W746" s="2"/>
      <c r="X746" s="2"/>
      <c r="Y746" s="2"/>
      <c r="Z746" s="2"/>
    </row>
    <row r="747">
      <c r="A747" s="2"/>
      <c r="B747" s="7"/>
      <c r="C747" s="7"/>
      <c r="D747" s="7"/>
      <c r="E747" s="7"/>
      <c r="F747" s="7"/>
      <c r="G747" s="7"/>
      <c r="H747" s="7"/>
      <c r="I747" s="7"/>
      <c r="J747" s="7"/>
      <c r="K747" s="7"/>
      <c r="L747" s="7"/>
      <c r="M747" s="7"/>
      <c r="N747" s="7"/>
      <c r="O747" s="2"/>
      <c r="P747" s="2"/>
      <c r="Q747" s="2"/>
      <c r="R747" s="2"/>
      <c r="S747" s="2"/>
      <c r="T747" s="2"/>
      <c r="U747" s="2"/>
      <c r="V747" s="2"/>
      <c r="W747" s="2"/>
      <c r="X747" s="2"/>
      <c r="Y747" s="2"/>
      <c r="Z747" s="2"/>
    </row>
    <row r="748">
      <c r="A748" s="2"/>
      <c r="B748" s="7"/>
      <c r="C748" s="7"/>
      <c r="D748" s="7"/>
      <c r="E748" s="7"/>
      <c r="F748" s="7"/>
      <c r="G748" s="7"/>
      <c r="H748" s="7"/>
      <c r="I748" s="7"/>
      <c r="J748" s="7"/>
      <c r="K748" s="7"/>
      <c r="L748" s="7"/>
      <c r="M748" s="7"/>
      <c r="N748" s="7"/>
      <c r="O748" s="2"/>
      <c r="P748" s="2"/>
      <c r="Q748" s="2"/>
      <c r="R748" s="2"/>
      <c r="S748" s="2"/>
      <c r="T748" s="2"/>
      <c r="U748" s="2"/>
      <c r="V748" s="2"/>
      <c r="W748" s="2"/>
      <c r="X748" s="2"/>
      <c r="Y748" s="2"/>
      <c r="Z748" s="2"/>
    </row>
    <row r="749">
      <c r="A749" s="2"/>
      <c r="B749" s="7"/>
      <c r="C749" s="7"/>
      <c r="D749" s="7"/>
      <c r="E749" s="7"/>
      <c r="F749" s="7"/>
      <c r="G749" s="7"/>
      <c r="H749" s="7"/>
      <c r="I749" s="7"/>
      <c r="J749" s="7"/>
      <c r="K749" s="7"/>
      <c r="L749" s="7"/>
      <c r="M749" s="7"/>
      <c r="N749" s="7"/>
      <c r="O749" s="2"/>
      <c r="P749" s="2"/>
      <c r="Q749" s="2"/>
      <c r="R749" s="2"/>
      <c r="S749" s="2"/>
      <c r="T749" s="2"/>
      <c r="U749" s="2"/>
      <c r="V749" s="2"/>
      <c r="W749" s="2"/>
      <c r="X749" s="2"/>
      <c r="Y749" s="2"/>
      <c r="Z749" s="2"/>
    </row>
    <row r="750">
      <c r="A750" s="2"/>
      <c r="B750" s="7"/>
      <c r="C750" s="7"/>
      <c r="D750" s="7"/>
      <c r="E750" s="7"/>
      <c r="F750" s="7"/>
      <c r="G750" s="7"/>
      <c r="H750" s="7"/>
      <c r="I750" s="7"/>
      <c r="J750" s="7"/>
      <c r="K750" s="7"/>
      <c r="L750" s="7"/>
      <c r="M750" s="7"/>
      <c r="N750" s="7"/>
      <c r="O750" s="2"/>
      <c r="P750" s="2"/>
      <c r="Q750" s="2"/>
      <c r="R750" s="2"/>
      <c r="S750" s="2"/>
      <c r="T750" s="2"/>
      <c r="U750" s="2"/>
      <c r="V750" s="2"/>
      <c r="W750" s="2"/>
      <c r="X750" s="2"/>
      <c r="Y750" s="2"/>
      <c r="Z750" s="2"/>
    </row>
    <row r="751">
      <c r="A751" s="2"/>
      <c r="B751" s="7"/>
      <c r="C751" s="7"/>
      <c r="D751" s="7"/>
      <c r="E751" s="7"/>
      <c r="F751" s="7"/>
      <c r="G751" s="7"/>
      <c r="H751" s="7"/>
      <c r="I751" s="7"/>
      <c r="J751" s="7"/>
      <c r="K751" s="7"/>
      <c r="L751" s="7"/>
      <c r="M751" s="7"/>
      <c r="N751" s="7"/>
      <c r="O751" s="2"/>
      <c r="P751" s="2"/>
      <c r="Q751" s="2"/>
      <c r="R751" s="2"/>
      <c r="S751" s="2"/>
      <c r="T751" s="2"/>
      <c r="U751" s="2"/>
      <c r="V751" s="2"/>
      <c r="W751" s="2"/>
      <c r="X751" s="2"/>
      <c r="Y751" s="2"/>
      <c r="Z751" s="2"/>
    </row>
    <row r="752">
      <c r="A752" s="2"/>
      <c r="B752" s="7"/>
      <c r="C752" s="7"/>
      <c r="D752" s="7"/>
      <c r="E752" s="7"/>
      <c r="F752" s="7"/>
      <c r="G752" s="7"/>
      <c r="H752" s="7"/>
      <c r="I752" s="7"/>
      <c r="J752" s="7"/>
      <c r="K752" s="7"/>
      <c r="L752" s="7"/>
      <c r="M752" s="7"/>
      <c r="N752" s="7"/>
      <c r="O752" s="2"/>
      <c r="P752" s="2"/>
      <c r="Q752" s="2"/>
      <c r="R752" s="2"/>
      <c r="S752" s="2"/>
      <c r="T752" s="2"/>
      <c r="U752" s="2"/>
      <c r="V752" s="2"/>
      <c r="W752" s="2"/>
      <c r="X752" s="2"/>
      <c r="Y752" s="2"/>
      <c r="Z752" s="2"/>
    </row>
    <row r="753">
      <c r="A753" s="2"/>
      <c r="B753" s="7"/>
      <c r="C753" s="7"/>
      <c r="D753" s="7"/>
      <c r="E753" s="7"/>
      <c r="F753" s="7"/>
      <c r="G753" s="7"/>
      <c r="H753" s="7"/>
      <c r="I753" s="7"/>
      <c r="J753" s="7"/>
      <c r="K753" s="7"/>
      <c r="L753" s="7"/>
      <c r="M753" s="7"/>
      <c r="N753" s="7"/>
      <c r="O753" s="2"/>
      <c r="P753" s="2"/>
      <c r="Q753" s="2"/>
      <c r="R753" s="2"/>
      <c r="S753" s="2"/>
      <c r="T753" s="2"/>
      <c r="U753" s="2"/>
      <c r="V753" s="2"/>
      <c r="W753" s="2"/>
      <c r="X753" s="2"/>
      <c r="Y753" s="2"/>
      <c r="Z753" s="2"/>
    </row>
    <row r="754">
      <c r="A754" s="2"/>
      <c r="B754" s="7"/>
      <c r="C754" s="7"/>
      <c r="D754" s="7"/>
      <c r="E754" s="7"/>
      <c r="F754" s="7"/>
      <c r="G754" s="7"/>
      <c r="H754" s="7"/>
      <c r="I754" s="7"/>
      <c r="J754" s="7"/>
      <c r="K754" s="7"/>
      <c r="L754" s="7"/>
      <c r="M754" s="7"/>
      <c r="N754" s="7"/>
      <c r="O754" s="2"/>
      <c r="P754" s="2"/>
      <c r="Q754" s="2"/>
      <c r="R754" s="2"/>
      <c r="S754" s="2"/>
      <c r="T754" s="2"/>
      <c r="U754" s="2"/>
      <c r="V754" s="2"/>
      <c r="W754" s="2"/>
      <c r="X754" s="2"/>
      <c r="Y754" s="2"/>
      <c r="Z754" s="2"/>
    </row>
    <row r="755">
      <c r="A755" s="2"/>
      <c r="B755" s="7"/>
      <c r="C755" s="7"/>
      <c r="D755" s="7"/>
      <c r="E755" s="7"/>
      <c r="F755" s="7"/>
      <c r="G755" s="7"/>
      <c r="H755" s="7"/>
      <c r="I755" s="7"/>
      <c r="J755" s="7"/>
      <c r="K755" s="7"/>
      <c r="L755" s="7"/>
      <c r="M755" s="7"/>
      <c r="N755" s="7"/>
      <c r="O755" s="2"/>
      <c r="P755" s="2"/>
      <c r="Q755" s="2"/>
      <c r="R755" s="2"/>
      <c r="S755" s="2"/>
      <c r="T755" s="2"/>
      <c r="U755" s="2"/>
      <c r="V755" s="2"/>
      <c r="W755" s="2"/>
      <c r="X755" s="2"/>
      <c r="Y755" s="2"/>
      <c r="Z755" s="2"/>
    </row>
    <row r="756">
      <c r="A756" s="2"/>
      <c r="B756" s="7"/>
      <c r="C756" s="7"/>
      <c r="D756" s="7"/>
      <c r="E756" s="7"/>
      <c r="F756" s="7"/>
      <c r="G756" s="7"/>
      <c r="H756" s="7"/>
      <c r="I756" s="7"/>
      <c r="J756" s="7"/>
      <c r="K756" s="7"/>
      <c r="L756" s="7"/>
      <c r="M756" s="7"/>
      <c r="N756" s="7"/>
      <c r="O756" s="2"/>
      <c r="P756" s="2"/>
      <c r="Q756" s="2"/>
      <c r="R756" s="2"/>
      <c r="S756" s="2"/>
      <c r="T756" s="2"/>
      <c r="U756" s="2"/>
      <c r="V756" s="2"/>
      <c r="W756" s="2"/>
      <c r="X756" s="2"/>
      <c r="Y756" s="2"/>
      <c r="Z756" s="2"/>
    </row>
    <row r="757">
      <c r="A757" s="2"/>
      <c r="B757" s="7"/>
      <c r="C757" s="7"/>
      <c r="D757" s="7"/>
      <c r="E757" s="7"/>
      <c r="F757" s="7"/>
      <c r="G757" s="7"/>
      <c r="H757" s="7"/>
      <c r="I757" s="7"/>
      <c r="J757" s="7"/>
      <c r="K757" s="7"/>
      <c r="L757" s="7"/>
      <c r="M757" s="7"/>
      <c r="N757" s="7"/>
      <c r="O757" s="2"/>
      <c r="P757" s="2"/>
      <c r="Q757" s="2"/>
      <c r="R757" s="2"/>
      <c r="S757" s="2"/>
      <c r="T757" s="2"/>
      <c r="U757" s="2"/>
      <c r="V757" s="2"/>
      <c r="W757" s="2"/>
      <c r="X757" s="2"/>
      <c r="Y757" s="2"/>
      <c r="Z757" s="2"/>
    </row>
    <row r="758">
      <c r="A758" s="2"/>
      <c r="B758" s="7"/>
      <c r="C758" s="7"/>
      <c r="D758" s="7"/>
      <c r="E758" s="7"/>
      <c r="F758" s="7"/>
      <c r="G758" s="7"/>
      <c r="H758" s="7"/>
      <c r="I758" s="7"/>
      <c r="J758" s="7"/>
      <c r="K758" s="7"/>
      <c r="L758" s="7"/>
      <c r="M758" s="7"/>
      <c r="N758" s="7"/>
      <c r="O758" s="2"/>
      <c r="P758" s="2"/>
      <c r="Q758" s="2"/>
      <c r="R758" s="2"/>
      <c r="S758" s="2"/>
      <c r="T758" s="2"/>
      <c r="U758" s="2"/>
      <c r="V758" s="2"/>
      <c r="W758" s="2"/>
      <c r="X758" s="2"/>
      <c r="Y758" s="2"/>
      <c r="Z758" s="2"/>
    </row>
    <row r="759">
      <c r="A759" s="2"/>
      <c r="B759" s="7"/>
      <c r="C759" s="7"/>
      <c r="D759" s="7"/>
      <c r="E759" s="7"/>
      <c r="F759" s="7"/>
      <c r="G759" s="7"/>
      <c r="H759" s="7"/>
      <c r="I759" s="7"/>
      <c r="J759" s="7"/>
      <c r="K759" s="7"/>
      <c r="L759" s="7"/>
      <c r="M759" s="7"/>
      <c r="N759" s="7"/>
      <c r="O759" s="2"/>
      <c r="P759" s="2"/>
      <c r="Q759" s="2"/>
      <c r="R759" s="2"/>
      <c r="S759" s="2"/>
      <c r="T759" s="2"/>
      <c r="U759" s="2"/>
      <c r="V759" s="2"/>
      <c r="W759" s="2"/>
      <c r="X759" s="2"/>
      <c r="Y759" s="2"/>
      <c r="Z759" s="2"/>
    </row>
    <row r="760">
      <c r="A760" s="2"/>
      <c r="B760" s="7"/>
      <c r="C760" s="7"/>
      <c r="D760" s="7"/>
      <c r="E760" s="7"/>
      <c r="F760" s="7"/>
      <c r="G760" s="7"/>
      <c r="H760" s="7"/>
      <c r="I760" s="7"/>
      <c r="J760" s="7"/>
      <c r="K760" s="7"/>
      <c r="L760" s="7"/>
      <c r="M760" s="7"/>
      <c r="N760" s="7"/>
      <c r="O760" s="2"/>
      <c r="P760" s="2"/>
      <c r="Q760" s="2"/>
      <c r="R760" s="2"/>
      <c r="S760" s="2"/>
      <c r="T760" s="2"/>
      <c r="U760" s="2"/>
      <c r="V760" s="2"/>
      <c r="W760" s="2"/>
      <c r="X760" s="2"/>
      <c r="Y760" s="2"/>
      <c r="Z760" s="2"/>
    </row>
    <row r="761">
      <c r="A761" s="2"/>
      <c r="B761" s="7"/>
      <c r="C761" s="7"/>
      <c r="D761" s="7"/>
      <c r="E761" s="7"/>
      <c r="F761" s="7"/>
      <c r="G761" s="7"/>
      <c r="H761" s="7"/>
      <c r="I761" s="7"/>
      <c r="J761" s="7"/>
      <c r="K761" s="7"/>
      <c r="L761" s="7"/>
      <c r="M761" s="7"/>
      <c r="N761" s="7"/>
      <c r="O761" s="2"/>
      <c r="P761" s="2"/>
      <c r="Q761" s="2"/>
      <c r="R761" s="2"/>
      <c r="S761" s="2"/>
      <c r="T761" s="2"/>
      <c r="U761" s="2"/>
      <c r="V761" s="2"/>
      <c r="W761" s="2"/>
      <c r="X761" s="2"/>
      <c r="Y761" s="2"/>
      <c r="Z761" s="2"/>
    </row>
    <row r="762">
      <c r="A762" s="2"/>
      <c r="B762" s="7"/>
      <c r="C762" s="7"/>
      <c r="D762" s="7"/>
      <c r="E762" s="7"/>
      <c r="F762" s="7"/>
      <c r="G762" s="7"/>
      <c r="H762" s="7"/>
      <c r="I762" s="7"/>
      <c r="J762" s="7"/>
      <c r="K762" s="7"/>
      <c r="L762" s="7"/>
      <c r="M762" s="7"/>
      <c r="N762" s="7"/>
      <c r="O762" s="2"/>
      <c r="P762" s="2"/>
      <c r="Q762" s="2"/>
      <c r="R762" s="2"/>
      <c r="S762" s="2"/>
      <c r="T762" s="2"/>
      <c r="U762" s="2"/>
      <c r="V762" s="2"/>
      <c r="W762" s="2"/>
      <c r="X762" s="2"/>
      <c r="Y762" s="2"/>
      <c r="Z762" s="2"/>
    </row>
    <row r="763">
      <c r="A763" s="2"/>
      <c r="B763" s="7"/>
      <c r="C763" s="7"/>
      <c r="D763" s="7"/>
      <c r="E763" s="7"/>
      <c r="F763" s="7"/>
      <c r="G763" s="7"/>
      <c r="H763" s="7"/>
      <c r="I763" s="7"/>
      <c r="J763" s="7"/>
      <c r="K763" s="7"/>
      <c r="L763" s="7"/>
      <c r="M763" s="7"/>
      <c r="N763" s="7"/>
      <c r="O763" s="2"/>
      <c r="P763" s="2"/>
      <c r="Q763" s="2"/>
      <c r="R763" s="2"/>
      <c r="S763" s="2"/>
      <c r="T763" s="2"/>
      <c r="U763" s="2"/>
      <c r="V763" s="2"/>
      <c r="W763" s="2"/>
      <c r="X763" s="2"/>
      <c r="Y763" s="2"/>
      <c r="Z763" s="2"/>
    </row>
    <row r="764">
      <c r="A764" s="2"/>
      <c r="B764" s="7"/>
      <c r="C764" s="7"/>
      <c r="D764" s="7"/>
      <c r="E764" s="7"/>
      <c r="F764" s="7"/>
      <c r="G764" s="7"/>
      <c r="H764" s="7"/>
      <c r="I764" s="7"/>
      <c r="J764" s="7"/>
      <c r="K764" s="7"/>
      <c r="L764" s="7"/>
      <c r="M764" s="7"/>
      <c r="N764" s="7"/>
      <c r="O764" s="2"/>
      <c r="P764" s="2"/>
      <c r="Q764" s="2"/>
      <c r="R764" s="2"/>
      <c r="S764" s="2"/>
      <c r="T764" s="2"/>
      <c r="U764" s="2"/>
      <c r="V764" s="2"/>
      <c r="W764" s="2"/>
      <c r="X764" s="2"/>
      <c r="Y764" s="2"/>
      <c r="Z764" s="2"/>
    </row>
    <row r="765">
      <c r="A765" s="2"/>
      <c r="B765" s="7"/>
      <c r="C765" s="7"/>
      <c r="D765" s="7"/>
      <c r="E765" s="7"/>
      <c r="F765" s="7"/>
      <c r="G765" s="7"/>
      <c r="H765" s="7"/>
      <c r="I765" s="7"/>
      <c r="J765" s="7"/>
      <c r="K765" s="7"/>
      <c r="L765" s="7"/>
      <c r="M765" s="7"/>
      <c r="N765" s="7"/>
      <c r="O765" s="2"/>
      <c r="P765" s="2"/>
      <c r="Q765" s="2"/>
      <c r="R765" s="2"/>
      <c r="S765" s="2"/>
      <c r="T765" s="2"/>
      <c r="U765" s="2"/>
      <c r="V765" s="2"/>
      <c r="W765" s="2"/>
      <c r="X765" s="2"/>
      <c r="Y765" s="2"/>
      <c r="Z765" s="2"/>
    </row>
    <row r="766">
      <c r="A766" s="2"/>
      <c r="B766" s="7"/>
      <c r="C766" s="7"/>
      <c r="D766" s="7"/>
      <c r="E766" s="7"/>
      <c r="F766" s="7"/>
      <c r="G766" s="7"/>
      <c r="H766" s="7"/>
      <c r="I766" s="7"/>
      <c r="J766" s="7"/>
      <c r="K766" s="7"/>
      <c r="L766" s="7"/>
      <c r="M766" s="7"/>
      <c r="N766" s="7"/>
      <c r="O766" s="2"/>
      <c r="P766" s="2"/>
      <c r="Q766" s="2"/>
      <c r="R766" s="2"/>
      <c r="S766" s="2"/>
      <c r="T766" s="2"/>
      <c r="U766" s="2"/>
      <c r="V766" s="2"/>
      <c r="W766" s="2"/>
      <c r="X766" s="2"/>
      <c r="Y766" s="2"/>
      <c r="Z766" s="2"/>
    </row>
    <row r="767">
      <c r="A767" s="2"/>
      <c r="B767" s="7"/>
      <c r="C767" s="7"/>
      <c r="D767" s="7"/>
      <c r="E767" s="7"/>
      <c r="F767" s="7"/>
      <c r="G767" s="7"/>
      <c r="H767" s="7"/>
      <c r="I767" s="7"/>
      <c r="J767" s="7"/>
      <c r="K767" s="7"/>
      <c r="L767" s="7"/>
      <c r="M767" s="7"/>
      <c r="N767" s="7"/>
      <c r="O767" s="2"/>
      <c r="P767" s="2"/>
      <c r="Q767" s="2"/>
      <c r="R767" s="2"/>
      <c r="S767" s="2"/>
      <c r="T767" s="2"/>
      <c r="U767" s="2"/>
      <c r="V767" s="2"/>
      <c r="W767" s="2"/>
      <c r="X767" s="2"/>
      <c r="Y767" s="2"/>
      <c r="Z767" s="2"/>
    </row>
    <row r="768">
      <c r="A768" s="2"/>
      <c r="B768" s="7"/>
      <c r="C768" s="7"/>
      <c r="D768" s="7"/>
      <c r="E768" s="7"/>
      <c r="F768" s="7"/>
      <c r="G768" s="7"/>
      <c r="H768" s="7"/>
      <c r="I768" s="7"/>
      <c r="J768" s="7"/>
      <c r="K768" s="7"/>
      <c r="L768" s="7"/>
      <c r="M768" s="7"/>
      <c r="N768" s="7"/>
      <c r="O768" s="2"/>
      <c r="P768" s="2"/>
      <c r="Q768" s="2"/>
      <c r="R768" s="2"/>
      <c r="S768" s="2"/>
      <c r="T768" s="2"/>
      <c r="U768" s="2"/>
      <c r="V768" s="2"/>
      <c r="W768" s="2"/>
      <c r="X768" s="2"/>
      <c r="Y768" s="2"/>
      <c r="Z768" s="2"/>
    </row>
    <row r="769">
      <c r="A769" s="2"/>
      <c r="B769" s="7"/>
      <c r="C769" s="7"/>
      <c r="D769" s="7"/>
      <c r="E769" s="7"/>
      <c r="F769" s="7"/>
      <c r="G769" s="7"/>
      <c r="H769" s="7"/>
      <c r="I769" s="7"/>
      <c r="J769" s="7"/>
      <c r="K769" s="7"/>
      <c r="L769" s="7"/>
      <c r="M769" s="7"/>
      <c r="N769" s="7"/>
      <c r="O769" s="2"/>
      <c r="P769" s="2"/>
      <c r="Q769" s="2"/>
      <c r="R769" s="2"/>
      <c r="S769" s="2"/>
      <c r="T769" s="2"/>
      <c r="U769" s="2"/>
      <c r="V769" s="2"/>
      <c r="W769" s="2"/>
      <c r="X769" s="2"/>
      <c r="Y769" s="2"/>
      <c r="Z769" s="2"/>
    </row>
    <row r="770">
      <c r="A770" s="2"/>
      <c r="B770" s="7"/>
      <c r="C770" s="7"/>
      <c r="D770" s="7"/>
      <c r="E770" s="7"/>
      <c r="F770" s="7"/>
      <c r="G770" s="7"/>
      <c r="H770" s="7"/>
      <c r="I770" s="7"/>
      <c r="J770" s="7"/>
      <c r="K770" s="7"/>
      <c r="L770" s="7"/>
      <c r="M770" s="7"/>
      <c r="N770" s="7"/>
      <c r="O770" s="2"/>
      <c r="P770" s="2"/>
      <c r="Q770" s="2"/>
      <c r="R770" s="2"/>
      <c r="S770" s="2"/>
      <c r="T770" s="2"/>
      <c r="U770" s="2"/>
      <c r="V770" s="2"/>
      <c r="W770" s="2"/>
      <c r="X770" s="2"/>
      <c r="Y770" s="2"/>
      <c r="Z770" s="2"/>
    </row>
    <row r="771">
      <c r="A771" s="2"/>
      <c r="B771" s="7"/>
      <c r="C771" s="7"/>
      <c r="D771" s="7"/>
      <c r="E771" s="7"/>
      <c r="F771" s="7"/>
      <c r="G771" s="7"/>
      <c r="H771" s="7"/>
      <c r="I771" s="7"/>
      <c r="J771" s="7"/>
      <c r="K771" s="7"/>
      <c r="L771" s="7"/>
      <c r="M771" s="7"/>
      <c r="N771" s="7"/>
      <c r="O771" s="2"/>
      <c r="P771" s="2"/>
      <c r="Q771" s="2"/>
      <c r="R771" s="2"/>
      <c r="S771" s="2"/>
      <c r="T771" s="2"/>
      <c r="U771" s="2"/>
      <c r="V771" s="2"/>
      <c r="W771" s="2"/>
      <c r="X771" s="2"/>
      <c r="Y771" s="2"/>
      <c r="Z771" s="2"/>
    </row>
    <row r="772">
      <c r="A772" s="2"/>
      <c r="B772" s="7"/>
      <c r="C772" s="7"/>
      <c r="D772" s="7"/>
      <c r="E772" s="7"/>
      <c r="F772" s="7"/>
      <c r="G772" s="7"/>
      <c r="H772" s="7"/>
      <c r="I772" s="7"/>
      <c r="J772" s="7"/>
      <c r="K772" s="7"/>
      <c r="L772" s="7"/>
      <c r="M772" s="7"/>
      <c r="N772" s="7"/>
      <c r="O772" s="2"/>
      <c r="P772" s="2"/>
      <c r="Q772" s="2"/>
      <c r="R772" s="2"/>
      <c r="S772" s="2"/>
      <c r="T772" s="2"/>
      <c r="U772" s="2"/>
      <c r="V772" s="2"/>
      <c r="W772" s="2"/>
      <c r="X772" s="2"/>
      <c r="Y772" s="2"/>
      <c r="Z772" s="2"/>
    </row>
    <row r="773">
      <c r="A773" s="2"/>
      <c r="B773" s="7"/>
      <c r="C773" s="7"/>
      <c r="D773" s="7"/>
      <c r="E773" s="7"/>
      <c r="F773" s="7"/>
      <c r="G773" s="7"/>
      <c r="H773" s="7"/>
      <c r="I773" s="7"/>
      <c r="J773" s="7"/>
      <c r="K773" s="7"/>
      <c r="L773" s="7"/>
      <c r="M773" s="7"/>
      <c r="N773" s="7"/>
      <c r="O773" s="2"/>
      <c r="P773" s="2"/>
      <c r="Q773" s="2"/>
      <c r="R773" s="2"/>
      <c r="S773" s="2"/>
      <c r="T773" s="2"/>
      <c r="U773" s="2"/>
      <c r="V773" s="2"/>
      <c r="W773" s="2"/>
      <c r="X773" s="2"/>
      <c r="Y773" s="2"/>
      <c r="Z773" s="2"/>
    </row>
    <row r="774">
      <c r="A774" s="2"/>
      <c r="B774" s="7"/>
      <c r="C774" s="7"/>
      <c r="D774" s="7"/>
      <c r="E774" s="7"/>
      <c r="F774" s="7"/>
      <c r="G774" s="7"/>
      <c r="H774" s="7"/>
      <c r="I774" s="7"/>
      <c r="J774" s="7"/>
      <c r="K774" s="7"/>
      <c r="L774" s="7"/>
      <c r="M774" s="7"/>
      <c r="N774" s="7"/>
      <c r="O774" s="2"/>
      <c r="P774" s="2"/>
      <c r="Q774" s="2"/>
      <c r="R774" s="2"/>
      <c r="S774" s="2"/>
      <c r="T774" s="2"/>
      <c r="U774" s="2"/>
      <c r="V774" s="2"/>
      <c r="W774" s="2"/>
      <c r="X774" s="2"/>
      <c r="Y774" s="2"/>
      <c r="Z774" s="2"/>
    </row>
    <row r="775">
      <c r="A775" s="2"/>
      <c r="B775" s="7"/>
      <c r="C775" s="7"/>
      <c r="D775" s="7"/>
      <c r="E775" s="7"/>
      <c r="F775" s="7"/>
      <c r="G775" s="7"/>
      <c r="H775" s="7"/>
      <c r="I775" s="7"/>
      <c r="J775" s="7"/>
      <c r="K775" s="7"/>
      <c r="L775" s="7"/>
      <c r="M775" s="7"/>
      <c r="N775" s="7"/>
      <c r="O775" s="2"/>
      <c r="P775" s="2"/>
      <c r="Q775" s="2"/>
      <c r="R775" s="2"/>
      <c r="S775" s="2"/>
      <c r="T775" s="2"/>
      <c r="U775" s="2"/>
      <c r="V775" s="2"/>
      <c r="W775" s="2"/>
      <c r="X775" s="2"/>
      <c r="Y775" s="2"/>
      <c r="Z775" s="2"/>
    </row>
    <row r="776">
      <c r="A776" s="2"/>
      <c r="B776" s="7"/>
      <c r="C776" s="7"/>
      <c r="D776" s="7"/>
      <c r="E776" s="7"/>
      <c r="F776" s="7"/>
      <c r="G776" s="7"/>
      <c r="H776" s="7"/>
      <c r="I776" s="7"/>
      <c r="J776" s="7"/>
      <c r="K776" s="7"/>
      <c r="L776" s="7"/>
      <c r="M776" s="7"/>
      <c r="N776" s="7"/>
      <c r="O776" s="2"/>
      <c r="P776" s="2"/>
      <c r="Q776" s="2"/>
      <c r="R776" s="2"/>
      <c r="S776" s="2"/>
      <c r="T776" s="2"/>
      <c r="U776" s="2"/>
      <c r="V776" s="2"/>
      <c r="W776" s="2"/>
      <c r="X776" s="2"/>
      <c r="Y776" s="2"/>
      <c r="Z776" s="2"/>
    </row>
    <row r="777">
      <c r="A777" s="2"/>
      <c r="B777" s="7"/>
      <c r="C777" s="7"/>
      <c r="D777" s="7"/>
      <c r="E777" s="7"/>
      <c r="F777" s="7"/>
      <c r="G777" s="7"/>
      <c r="H777" s="7"/>
      <c r="I777" s="7"/>
      <c r="J777" s="7"/>
      <c r="K777" s="7"/>
      <c r="L777" s="7"/>
      <c r="M777" s="7"/>
      <c r="N777" s="7"/>
      <c r="O777" s="2"/>
      <c r="P777" s="2"/>
      <c r="Q777" s="2"/>
      <c r="R777" s="2"/>
      <c r="S777" s="2"/>
      <c r="T777" s="2"/>
      <c r="U777" s="2"/>
      <c r="V777" s="2"/>
      <c r="W777" s="2"/>
      <c r="X777" s="2"/>
      <c r="Y777" s="2"/>
      <c r="Z777" s="2"/>
    </row>
    <row r="778">
      <c r="A778" s="2"/>
      <c r="B778" s="7"/>
      <c r="C778" s="7"/>
      <c r="D778" s="7"/>
      <c r="E778" s="7"/>
      <c r="F778" s="7"/>
      <c r="G778" s="7"/>
      <c r="H778" s="7"/>
      <c r="I778" s="7"/>
      <c r="J778" s="7"/>
      <c r="K778" s="7"/>
      <c r="L778" s="7"/>
      <c r="M778" s="7"/>
      <c r="N778" s="7"/>
      <c r="O778" s="2"/>
      <c r="P778" s="2"/>
      <c r="Q778" s="2"/>
      <c r="R778" s="2"/>
      <c r="S778" s="2"/>
      <c r="T778" s="2"/>
      <c r="U778" s="2"/>
      <c r="V778" s="2"/>
      <c r="W778" s="2"/>
      <c r="X778" s="2"/>
      <c r="Y778" s="2"/>
      <c r="Z778" s="2"/>
    </row>
    <row r="779">
      <c r="A779" s="2"/>
      <c r="B779" s="7"/>
      <c r="C779" s="7"/>
      <c r="D779" s="7"/>
      <c r="E779" s="7"/>
      <c r="F779" s="7"/>
      <c r="G779" s="7"/>
      <c r="H779" s="7"/>
      <c r="I779" s="7"/>
      <c r="J779" s="7"/>
      <c r="K779" s="7"/>
      <c r="L779" s="7"/>
      <c r="M779" s="7"/>
      <c r="N779" s="7"/>
      <c r="O779" s="2"/>
      <c r="P779" s="2"/>
      <c r="Q779" s="2"/>
      <c r="R779" s="2"/>
      <c r="S779" s="2"/>
      <c r="T779" s="2"/>
      <c r="U779" s="2"/>
      <c r="V779" s="2"/>
      <c r="W779" s="2"/>
      <c r="X779" s="2"/>
      <c r="Y779" s="2"/>
      <c r="Z779" s="2"/>
    </row>
    <row r="780">
      <c r="A780" s="2"/>
      <c r="B780" s="7"/>
      <c r="C780" s="7"/>
      <c r="D780" s="7"/>
      <c r="E780" s="7"/>
      <c r="F780" s="7"/>
      <c r="G780" s="7"/>
      <c r="H780" s="7"/>
      <c r="I780" s="7"/>
      <c r="J780" s="7"/>
      <c r="K780" s="7"/>
      <c r="L780" s="7"/>
      <c r="M780" s="7"/>
      <c r="N780" s="7"/>
      <c r="O780" s="2"/>
      <c r="P780" s="2"/>
      <c r="Q780" s="2"/>
      <c r="R780" s="2"/>
      <c r="S780" s="2"/>
      <c r="T780" s="2"/>
      <c r="U780" s="2"/>
      <c r="V780" s="2"/>
      <c r="W780" s="2"/>
      <c r="X780" s="2"/>
      <c r="Y780" s="2"/>
      <c r="Z780" s="2"/>
    </row>
    <row r="781">
      <c r="A781" s="2"/>
      <c r="B781" s="7"/>
      <c r="C781" s="7"/>
      <c r="D781" s="7"/>
      <c r="E781" s="7"/>
      <c r="F781" s="7"/>
      <c r="G781" s="7"/>
      <c r="H781" s="7"/>
      <c r="I781" s="7"/>
      <c r="J781" s="7"/>
      <c r="K781" s="7"/>
      <c r="L781" s="7"/>
      <c r="M781" s="7"/>
      <c r="N781" s="7"/>
      <c r="O781" s="2"/>
      <c r="P781" s="2"/>
      <c r="Q781" s="2"/>
      <c r="R781" s="2"/>
      <c r="S781" s="2"/>
      <c r="T781" s="2"/>
      <c r="U781" s="2"/>
      <c r="V781" s="2"/>
      <c r="W781" s="2"/>
      <c r="X781" s="2"/>
      <c r="Y781" s="2"/>
      <c r="Z781" s="2"/>
    </row>
    <row r="782">
      <c r="A782" s="2"/>
      <c r="B782" s="7"/>
      <c r="C782" s="7"/>
      <c r="D782" s="7"/>
      <c r="E782" s="7"/>
      <c r="F782" s="7"/>
      <c r="G782" s="7"/>
      <c r="H782" s="7"/>
      <c r="I782" s="7"/>
      <c r="J782" s="7"/>
      <c r="K782" s="7"/>
      <c r="L782" s="7"/>
      <c r="M782" s="7"/>
      <c r="N782" s="7"/>
      <c r="O782" s="2"/>
      <c r="P782" s="2"/>
      <c r="Q782" s="2"/>
      <c r="R782" s="2"/>
      <c r="S782" s="2"/>
      <c r="T782" s="2"/>
      <c r="U782" s="2"/>
      <c r="V782" s="2"/>
      <c r="W782" s="2"/>
      <c r="X782" s="2"/>
      <c r="Y782" s="2"/>
      <c r="Z782" s="2"/>
    </row>
    <row r="783">
      <c r="A783" s="2"/>
      <c r="B783" s="7"/>
      <c r="C783" s="7"/>
      <c r="D783" s="7"/>
      <c r="E783" s="7"/>
      <c r="F783" s="7"/>
      <c r="G783" s="7"/>
      <c r="H783" s="7"/>
      <c r="I783" s="7"/>
      <c r="J783" s="7"/>
      <c r="K783" s="7"/>
      <c r="L783" s="7"/>
      <c r="M783" s="7"/>
      <c r="N783" s="7"/>
      <c r="O783" s="2"/>
      <c r="P783" s="2"/>
      <c r="Q783" s="2"/>
      <c r="R783" s="2"/>
      <c r="S783" s="2"/>
      <c r="T783" s="2"/>
      <c r="U783" s="2"/>
      <c r="V783" s="2"/>
      <c r="W783" s="2"/>
      <c r="X783" s="2"/>
      <c r="Y783" s="2"/>
      <c r="Z783" s="2"/>
    </row>
    <row r="784">
      <c r="A784" s="2"/>
      <c r="B784" s="7"/>
      <c r="C784" s="7"/>
      <c r="D784" s="7"/>
      <c r="E784" s="7"/>
      <c r="F784" s="7"/>
      <c r="G784" s="7"/>
      <c r="H784" s="7"/>
      <c r="I784" s="7"/>
      <c r="J784" s="7"/>
      <c r="K784" s="7"/>
      <c r="L784" s="7"/>
      <c r="M784" s="7"/>
      <c r="N784" s="7"/>
      <c r="O784" s="2"/>
      <c r="P784" s="2"/>
      <c r="Q784" s="2"/>
      <c r="R784" s="2"/>
      <c r="S784" s="2"/>
      <c r="T784" s="2"/>
      <c r="U784" s="2"/>
      <c r="V784" s="2"/>
      <c r="W784" s="2"/>
      <c r="X784" s="2"/>
      <c r="Y784" s="2"/>
      <c r="Z784" s="2"/>
    </row>
    <row r="785">
      <c r="A785" s="2"/>
      <c r="B785" s="7"/>
      <c r="C785" s="7"/>
      <c r="D785" s="7"/>
      <c r="E785" s="7"/>
      <c r="F785" s="7"/>
      <c r="G785" s="7"/>
      <c r="H785" s="7"/>
      <c r="I785" s="7"/>
      <c r="J785" s="7"/>
      <c r="K785" s="7"/>
      <c r="L785" s="7"/>
      <c r="M785" s="7"/>
      <c r="N785" s="7"/>
      <c r="O785" s="2"/>
      <c r="P785" s="2"/>
      <c r="Q785" s="2"/>
      <c r="R785" s="2"/>
      <c r="S785" s="2"/>
      <c r="T785" s="2"/>
      <c r="U785" s="2"/>
      <c r="V785" s="2"/>
      <c r="W785" s="2"/>
      <c r="X785" s="2"/>
      <c r="Y785" s="2"/>
      <c r="Z785" s="2"/>
    </row>
    <row r="786">
      <c r="A786" s="2"/>
      <c r="B786" s="7"/>
      <c r="C786" s="7"/>
      <c r="D786" s="7"/>
      <c r="E786" s="7"/>
      <c r="F786" s="7"/>
      <c r="G786" s="7"/>
      <c r="H786" s="7"/>
      <c r="I786" s="7"/>
      <c r="J786" s="7"/>
      <c r="K786" s="7"/>
      <c r="L786" s="7"/>
      <c r="M786" s="7"/>
      <c r="N786" s="7"/>
      <c r="O786" s="2"/>
      <c r="P786" s="2"/>
      <c r="Q786" s="2"/>
      <c r="R786" s="2"/>
      <c r="S786" s="2"/>
      <c r="T786" s="2"/>
      <c r="U786" s="2"/>
      <c r="V786" s="2"/>
      <c r="W786" s="2"/>
      <c r="X786" s="2"/>
      <c r="Y786" s="2"/>
      <c r="Z786" s="2"/>
    </row>
    <row r="787">
      <c r="A787" s="2"/>
      <c r="B787" s="7"/>
      <c r="C787" s="7"/>
      <c r="D787" s="7"/>
      <c r="E787" s="7"/>
      <c r="F787" s="7"/>
      <c r="G787" s="7"/>
      <c r="H787" s="7"/>
      <c r="I787" s="7"/>
      <c r="J787" s="7"/>
      <c r="K787" s="7"/>
      <c r="L787" s="7"/>
      <c r="M787" s="7"/>
      <c r="N787" s="7"/>
      <c r="O787" s="2"/>
      <c r="P787" s="2"/>
      <c r="Q787" s="2"/>
      <c r="R787" s="2"/>
      <c r="S787" s="2"/>
      <c r="T787" s="2"/>
      <c r="U787" s="2"/>
      <c r="V787" s="2"/>
      <c r="W787" s="2"/>
      <c r="X787" s="2"/>
      <c r="Y787" s="2"/>
      <c r="Z787" s="2"/>
    </row>
    <row r="788">
      <c r="A788" s="2"/>
      <c r="B788" s="7"/>
      <c r="C788" s="7"/>
      <c r="D788" s="7"/>
      <c r="E788" s="7"/>
      <c r="F788" s="7"/>
      <c r="G788" s="7"/>
      <c r="H788" s="7"/>
      <c r="I788" s="7"/>
      <c r="J788" s="7"/>
      <c r="K788" s="7"/>
      <c r="L788" s="7"/>
      <c r="M788" s="7"/>
      <c r="N788" s="7"/>
      <c r="O788" s="2"/>
      <c r="P788" s="2"/>
      <c r="Q788" s="2"/>
      <c r="R788" s="2"/>
      <c r="S788" s="2"/>
      <c r="T788" s="2"/>
      <c r="U788" s="2"/>
      <c r="V788" s="2"/>
      <c r="W788" s="2"/>
      <c r="X788" s="2"/>
      <c r="Y788" s="2"/>
      <c r="Z788" s="2"/>
    </row>
    <row r="789">
      <c r="A789" s="2"/>
      <c r="B789" s="7"/>
      <c r="C789" s="7"/>
      <c r="D789" s="7"/>
      <c r="E789" s="7"/>
      <c r="F789" s="7"/>
      <c r="G789" s="7"/>
      <c r="H789" s="7"/>
      <c r="I789" s="7"/>
      <c r="J789" s="7"/>
      <c r="K789" s="7"/>
      <c r="L789" s="7"/>
      <c r="M789" s="7"/>
      <c r="N789" s="7"/>
      <c r="O789" s="2"/>
      <c r="P789" s="2"/>
      <c r="Q789" s="2"/>
      <c r="R789" s="2"/>
      <c r="S789" s="2"/>
      <c r="T789" s="2"/>
      <c r="U789" s="2"/>
      <c r="V789" s="2"/>
      <c r="W789" s="2"/>
      <c r="X789" s="2"/>
      <c r="Y789" s="2"/>
      <c r="Z789" s="2"/>
    </row>
    <row r="790">
      <c r="A790" s="2"/>
      <c r="B790" s="7"/>
      <c r="C790" s="7"/>
      <c r="D790" s="7"/>
      <c r="E790" s="7"/>
      <c r="F790" s="7"/>
      <c r="G790" s="7"/>
      <c r="H790" s="7"/>
      <c r="I790" s="7"/>
      <c r="J790" s="7"/>
      <c r="K790" s="7"/>
      <c r="L790" s="7"/>
      <c r="M790" s="7"/>
      <c r="N790" s="7"/>
      <c r="O790" s="2"/>
      <c r="P790" s="2"/>
      <c r="Q790" s="2"/>
      <c r="R790" s="2"/>
      <c r="S790" s="2"/>
      <c r="T790" s="2"/>
      <c r="U790" s="2"/>
      <c r="V790" s="2"/>
      <c r="W790" s="2"/>
      <c r="X790" s="2"/>
      <c r="Y790" s="2"/>
      <c r="Z790" s="2"/>
    </row>
    <row r="791">
      <c r="A791" s="2"/>
      <c r="B791" s="7"/>
      <c r="C791" s="7"/>
      <c r="D791" s="7"/>
      <c r="E791" s="7"/>
      <c r="F791" s="7"/>
      <c r="G791" s="7"/>
      <c r="H791" s="7"/>
      <c r="I791" s="7"/>
      <c r="J791" s="7"/>
      <c r="K791" s="7"/>
      <c r="L791" s="7"/>
      <c r="M791" s="7"/>
      <c r="N791" s="7"/>
      <c r="O791" s="2"/>
      <c r="P791" s="2"/>
      <c r="Q791" s="2"/>
      <c r="R791" s="2"/>
      <c r="S791" s="2"/>
      <c r="T791" s="2"/>
      <c r="U791" s="2"/>
      <c r="V791" s="2"/>
      <c r="W791" s="2"/>
      <c r="X791" s="2"/>
      <c r="Y791" s="2"/>
      <c r="Z791" s="2"/>
    </row>
    <row r="792">
      <c r="A792" s="2"/>
      <c r="B792" s="7"/>
      <c r="C792" s="7"/>
      <c r="D792" s="7"/>
      <c r="E792" s="7"/>
      <c r="F792" s="7"/>
      <c r="G792" s="7"/>
      <c r="H792" s="7"/>
      <c r="I792" s="7"/>
      <c r="J792" s="7"/>
      <c r="K792" s="7"/>
      <c r="L792" s="7"/>
      <c r="M792" s="7"/>
      <c r="N792" s="7"/>
      <c r="O792" s="2"/>
      <c r="P792" s="2"/>
      <c r="Q792" s="2"/>
      <c r="R792" s="2"/>
      <c r="S792" s="2"/>
      <c r="T792" s="2"/>
      <c r="U792" s="2"/>
      <c r="V792" s="2"/>
      <c r="W792" s="2"/>
      <c r="X792" s="2"/>
      <c r="Y792" s="2"/>
      <c r="Z792" s="2"/>
    </row>
    <row r="793">
      <c r="A793" s="2"/>
      <c r="B793" s="7"/>
      <c r="C793" s="7"/>
      <c r="D793" s="7"/>
      <c r="E793" s="7"/>
      <c r="F793" s="7"/>
      <c r="G793" s="7"/>
      <c r="H793" s="7"/>
      <c r="I793" s="7"/>
      <c r="J793" s="7"/>
      <c r="K793" s="7"/>
      <c r="L793" s="7"/>
      <c r="M793" s="7"/>
      <c r="N793" s="7"/>
      <c r="O793" s="2"/>
      <c r="P793" s="2"/>
      <c r="Q793" s="2"/>
      <c r="R793" s="2"/>
      <c r="S793" s="2"/>
      <c r="T793" s="2"/>
      <c r="U793" s="2"/>
      <c r="V793" s="2"/>
      <c r="W793" s="2"/>
      <c r="X793" s="2"/>
      <c r="Y793" s="2"/>
      <c r="Z793" s="2"/>
    </row>
    <row r="794">
      <c r="A794" s="2"/>
      <c r="B794" s="7"/>
      <c r="C794" s="7"/>
      <c r="D794" s="7"/>
      <c r="E794" s="7"/>
      <c r="F794" s="7"/>
      <c r="G794" s="7"/>
      <c r="H794" s="7"/>
      <c r="I794" s="7"/>
      <c r="J794" s="7"/>
      <c r="K794" s="7"/>
      <c r="L794" s="7"/>
      <c r="M794" s="7"/>
      <c r="N794" s="7"/>
      <c r="O794" s="2"/>
      <c r="P794" s="2"/>
      <c r="Q794" s="2"/>
      <c r="R794" s="2"/>
      <c r="S794" s="2"/>
      <c r="T794" s="2"/>
      <c r="U794" s="2"/>
      <c r="V794" s="2"/>
      <c r="W794" s="2"/>
      <c r="X794" s="2"/>
      <c r="Y794" s="2"/>
      <c r="Z794" s="2"/>
    </row>
    <row r="795">
      <c r="A795" s="2"/>
      <c r="B795" s="7"/>
      <c r="C795" s="7"/>
      <c r="D795" s="7"/>
      <c r="E795" s="7"/>
      <c r="F795" s="7"/>
      <c r="G795" s="7"/>
      <c r="H795" s="7"/>
      <c r="I795" s="7"/>
      <c r="J795" s="7"/>
      <c r="K795" s="7"/>
      <c r="L795" s="7"/>
      <c r="M795" s="7"/>
      <c r="N795" s="7"/>
      <c r="O795" s="2"/>
      <c r="P795" s="2"/>
      <c r="Q795" s="2"/>
      <c r="R795" s="2"/>
      <c r="S795" s="2"/>
      <c r="T795" s="2"/>
      <c r="U795" s="2"/>
      <c r="V795" s="2"/>
      <c r="W795" s="2"/>
      <c r="X795" s="2"/>
      <c r="Y795" s="2"/>
      <c r="Z795" s="2"/>
    </row>
    <row r="796">
      <c r="A796" s="2"/>
      <c r="B796" s="7"/>
      <c r="C796" s="7"/>
      <c r="D796" s="7"/>
      <c r="E796" s="7"/>
      <c r="F796" s="7"/>
      <c r="G796" s="7"/>
      <c r="H796" s="7"/>
      <c r="I796" s="7"/>
      <c r="J796" s="7"/>
      <c r="K796" s="7"/>
      <c r="L796" s="7"/>
      <c r="M796" s="7"/>
      <c r="N796" s="7"/>
      <c r="O796" s="2"/>
      <c r="P796" s="2"/>
      <c r="Q796" s="2"/>
      <c r="R796" s="2"/>
      <c r="S796" s="2"/>
      <c r="T796" s="2"/>
      <c r="U796" s="2"/>
      <c r="V796" s="2"/>
      <c r="W796" s="2"/>
      <c r="X796" s="2"/>
      <c r="Y796" s="2"/>
      <c r="Z796" s="2"/>
    </row>
    <row r="797">
      <c r="A797" s="2"/>
      <c r="B797" s="7"/>
      <c r="C797" s="7"/>
      <c r="D797" s="7"/>
      <c r="E797" s="7"/>
      <c r="F797" s="7"/>
      <c r="G797" s="7"/>
      <c r="H797" s="7"/>
      <c r="I797" s="7"/>
      <c r="J797" s="7"/>
      <c r="K797" s="7"/>
      <c r="L797" s="7"/>
      <c r="M797" s="7"/>
      <c r="N797" s="7"/>
      <c r="O797" s="2"/>
      <c r="P797" s="2"/>
      <c r="Q797" s="2"/>
      <c r="R797" s="2"/>
      <c r="S797" s="2"/>
      <c r="T797" s="2"/>
      <c r="U797" s="2"/>
      <c r="V797" s="2"/>
      <c r="W797" s="2"/>
      <c r="X797" s="2"/>
      <c r="Y797" s="2"/>
      <c r="Z797" s="2"/>
    </row>
    <row r="798">
      <c r="A798" s="2"/>
      <c r="B798" s="7"/>
      <c r="C798" s="7"/>
      <c r="D798" s="7"/>
      <c r="E798" s="7"/>
      <c r="F798" s="7"/>
      <c r="G798" s="7"/>
      <c r="H798" s="7"/>
      <c r="I798" s="7"/>
      <c r="J798" s="7"/>
      <c r="K798" s="7"/>
      <c r="L798" s="7"/>
      <c r="M798" s="7"/>
      <c r="N798" s="7"/>
      <c r="O798" s="2"/>
      <c r="P798" s="2"/>
      <c r="Q798" s="2"/>
      <c r="R798" s="2"/>
      <c r="S798" s="2"/>
      <c r="T798" s="2"/>
      <c r="U798" s="2"/>
      <c r="V798" s="2"/>
      <c r="W798" s="2"/>
      <c r="X798" s="2"/>
      <c r="Y798" s="2"/>
      <c r="Z798" s="2"/>
    </row>
    <row r="799">
      <c r="A799" s="2"/>
      <c r="B799" s="7"/>
      <c r="C799" s="7"/>
      <c r="D799" s="7"/>
      <c r="E799" s="7"/>
      <c r="F799" s="7"/>
      <c r="G799" s="7"/>
      <c r="H799" s="7"/>
      <c r="I799" s="7"/>
      <c r="J799" s="7"/>
      <c r="K799" s="7"/>
      <c r="L799" s="7"/>
      <c r="M799" s="7"/>
      <c r="N799" s="7"/>
      <c r="O799" s="2"/>
      <c r="P799" s="2"/>
      <c r="Q799" s="2"/>
      <c r="R799" s="2"/>
      <c r="S799" s="2"/>
      <c r="T799" s="2"/>
      <c r="U799" s="2"/>
      <c r="V799" s="2"/>
      <c r="W799" s="2"/>
      <c r="X799" s="2"/>
      <c r="Y799" s="2"/>
      <c r="Z799" s="2"/>
    </row>
    <row r="800">
      <c r="A800" s="2"/>
      <c r="B800" s="7"/>
      <c r="C800" s="7"/>
      <c r="D800" s="7"/>
      <c r="E800" s="7"/>
      <c r="F800" s="7"/>
      <c r="G800" s="7"/>
      <c r="H800" s="7"/>
      <c r="I800" s="7"/>
      <c r="J800" s="7"/>
      <c r="K800" s="7"/>
      <c r="L800" s="7"/>
      <c r="M800" s="7"/>
      <c r="N800" s="7"/>
      <c r="O800" s="2"/>
      <c r="P800" s="2"/>
      <c r="Q800" s="2"/>
      <c r="R800" s="2"/>
      <c r="S800" s="2"/>
      <c r="T800" s="2"/>
      <c r="U800" s="2"/>
      <c r="V800" s="2"/>
      <c r="W800" s="2"/>
      <c r="X800" s="2"/>
      <c r="Y800" s="2"/>
      <c r="Z800" s="2"/>
    </row>
    <row r="801">
      <c r="A801" s="2"/>
      <c r="B801" s="7"/>
      <c r="C801" s="7"/>
      <c r="D801" s="7"/>
      <c r="E801" s="7"/>
      <c r="F801" s="7"/>
      <c r="G801" s="7"/>
      <c r="H801" s="7"/>
      <c r="I801" s="7"/>
      <c r="J801" s="7"/>
      <c r="K801" s="7"/>
      <c r="L801" s="7"/>
      <c r="M801" s="7"/>
      <c r="N801" s="7"/>
      <c r="O801" s="2"/>
      <c r="P801" s="2"/>
      <c r="Q801" s="2"/>
      <c r="R801" s="2"/>
      <c r="S801" s="2"/>
      <c r="T801" s="2"/>
      <c r="U801" s="2"/>
      <c r="V801" s="2"/>
      <c r="W801" s="2"/>
      <c r="X801" s="2"/>
      <c r="Y801" s="2"/>
      <c r="Z801" s="2"/>
    </row>
    <row r="802">
      <c r="A802" s="2"/>
      <c r="B802" s="7"/>
      <c r="C802" s="7"/>
      <c r="D802" s="7"/>
      <c r="E802" s="7"/>
      <c r="F802" s="7"/>
      <c r="G802" s="7"/>
      <c r="H802" s="7"/>
      <c r="I802" s="7"/>
      <c r="J802" s="7"/>
      <c r="K802" s="7"/>
      <c r="L802" s="7"/>
      <c r="M802" s="7"/>
      <c r="N802" s="7"/>
      <c r="O802" s="2"/>
      <c r="P802" s="2"/>
      <c r="Q802" s="2"/>
      <c r="R802" s="2"/>
      <c r="S802" s="2"/>
      <c r="T802" s="2"/>
      <c r="U802" s="2"/>
      <c r="V802" s="2"/>
      <c r="W802" s="2"/>
      <c r="X802" s="2"/>
      <c r="Y802" s="2"/>
      <c r="Z802" s="2"/>
    </row>
    <row r="803">
      <c r="A803" s="2"/>
      <c r="B803" s="7"/>
      <c r="C803" s="7"/>
      <c r="D803" s="7"/>
      <c r="E803" s="7"/>
      <c r="F803" s="7"/>
      <c r="G803" s="7"/>
      <c r="H803" s="7"/>
      <c r="I803" s="7"/>
      <c r="J803" s="7"/>
      <c r="K803" s="7"/>
      <c r="L803" s="7"/>
      <c r="M803" s="7"/>
      <c r="N803" s="7"/>
      <c r="O803" s="2"/>
      <c r="P803" s="2"/>
      <c r="Q803" s="2"/>
      <c r="R803" s="2"/>
      <c r="S803" s="2"/>
      <c r="T803" s="2"/>
      <c r="U803" s="2"/>
      <c r="V803" s="2"/>
      <c r="W803" s="2"/>
      <c r="X803" s="2"/>
      <c r="Y803" s="2"/>
      <c r="Z803" s="2"/>
    </row>
    <row r="804">
      <c r="A804" s="2"/>
      <c r="B804" s="7"/>
      <c r="C804" s="7"/>
      <c r="D804" s="7"/>
      <c r="E804" s="7"/>
      <c r="F804" s="7"/>
      <c r="G804" s="7"/>
      <c r="H804" s="7"/>
      <c r="I804" s="7"/>
      <c r="J804" s="7"/>
      <c r="K804" s="7"/>
      <c r="L804" s="7"/>
      <c r="M804" s="7"/>
      <c r="N804" s="7"/>
      <c r="O804" s="2"/>
      <c r="P804" s="2"/>
      <c r="Q804" s="2"/>
      <c r="R804" s="2"/>
      <c r="S804" s="2"/>
      <c r="T804" s="2"/>
      <c r="U804" s="2"/>
      <c r="V804" s="2"/>
      <c r="W804" s="2"/>
      <c r="X804" s="2"/>
      <c r="Y804" s="2"/>
      <c r="Z804" s="2"/>
    </row>
    <row r="805">
      <c r="A805" s="2"/>
      <c r="B805" s="7"/>
      <c r="C805" s="7"/>
      <c r="D805" s="7"/>
      <c r="E805" s="7"/>
      <c r="F805" s="7"/>
      <c r="G805" s="7"/>
      <c r="H805" s="7"/>
      <c r="I805" s="7"/>
      <c r="J805" s="7"/>
      <c r="K805" s="7"/>
      <c r="L805" s="7"/>
      <c r="M805" s="7"/>
      <c r="N805" s="7"/>
      <c r="O805" s="2"/>
      <c r="P805" s="2"/>
      <c r="Q805" s="2"/>
      <c r="R805" s="2"/>
      <c r="S805" s="2"/>
      <c r="T805" s="2"/>
      <c r="U805" s="2"/>
      <c r="V805" s="2"/>
      <c r="W805" s="2"/>
      <c r="X805" s="2"/>
      <c r="Y805" s="2"/>
      <c r="Z805" s="2"/>
    </row>
    <row r="806">
      <c r="A806" s="2"/>
      <c r="B806" s="7"/>
      <c r="C806" s="7"/>
      <c r="D806" s="7"/>
      <c r="E806" s="7"/>
      <c r="F806" s="7"/>
      <c r="G806" s="7"/>
      <c r="H806" s="7"/>
      <c r="I806" s="7"/>
      <c r="J806" s="7"/>
      <c r="K806" s="7"/>
      <c r="L806" s="7"/>
      <c r="M806" s="7"/>
      <c r="N806" s="7"/>
      <c r="O806" s="2"/>
      <c r="P806" s="2"/>
      <c r="Q806" s="2"/>
      <c r="R806" s="2"/>
      <c r="S806" s="2"/>
      <c r="T806" s="2"/>
      <c r="U806" s="2"/>
      <c r="V806" s="2"/>
      <c r="W806" s="2"/>
      <c r="X806" s="2"/>
      <c r="Y806" s="2"/>
      <c r="Z806" s="2"/>
    </row>
    <row r="807">
      <c r="A807" s="2"/>
      <c r="B807" s="7"/>
      <c r="C807" s="7"/>
      <c r="D807" s="7"/>
      <c r="E807" s="7"/>
      <c r="F807" s="7"/>
      <c r="G807" s="7"/>
      <c r="H807" s="7"/>
      <c r="I807" s="7"/>
      <c r="J807" s="7"/>
      <c r="K807" s="7"/>
      <c r="L807" s="7"/>
      <c r="M807" s="7"/>
      <c r="N807" s="7"/>
      <c r="O807" s="2"/>
      <c r="P807" s="2"/>
      <c r="Q807" s="2"/>
      <c r="R807" s="2"/>
      <c r="S807" s="2"/>
      <c r="T807" s="2"/>
      <c r="U807" s="2"/>
      <c r="V807" s="2"/>
      <c r="W807" s="2"/>
      <c r="X807" s="2"/>
      <c r="Y807" s="2"/>
      <c r="Z807" s="2"/>
    </row>
    <row r="808">
      <c r="A808" s="2"/>
      <c r="B808" s="7"/>
      <c r="C808" s="7"/>
      <c r="D808" s="7"/>
      <c r="E808" s="7"/>
      <c r="F808" s="7"/>
      <c r="G808" s="7"/>
      <c r="H808" s="7"/>
      <c r="I808" s="7"/>
      <c r="J808" s="7"/>
      <c r="K808" s="7"/>
      <c r="L808" s="7"/>
      <c r="M808" s="7"/>
      <c r="N808" s="7"/>
      <c r="O808" s="2"/>
      <c r="P808" s="2"/>
      <c r="Q808" s="2"/>
      <c r="R808" s="2"/>
      <c r="S808" s="2"/>
      <c r="T808" s="2"/>
      <c r="U808" s="2"/>
      <c r="V808" s="2"/>
      <c r="W808" s="2"/>
      <c r="X808" s="2"/>
      <c r="Y808" s="2"/>
      <c r="Z808" s="2"/>
    </row>
    <row r="809">
      <c r="A809" s="2"/>
      <c r="B809" s="7"/>
      <c r="C809" s="7"/>
      <c r="D809" s="7"/>
      <c r="E809" s="7"/>
      <c r="F809" s="7"/>
      <c r="G809" s="7"/>
      <c r="H809" s="7"/>
      <c r="I809" s="7"/>
      <c r="J809" s="7"/>
      <c r="K809" s="7"/>
      <c r="L809" s="7"/>
      <c r="M809" s="7"/>
      <c r="N809" s="7"/>
      <c r="O809" s="2"/>
      <c r="P809" s="2"/>
      <c r="Q809" s="2"/>
      <c r="R809" s="2"/>
      <c r="S809" s="2"/>
      <c r="T809" s="2"/>
      <c r="U809" s="2"/>
      <c r="V809" s="2"/>
      <c r="W809" s="2"/>
      <c r="X809" s="2"/>
      <c r="Y809" s="2"/>
      <c r="Z809" s="2"/>
    </row>
    <row r="810">
      <c r="A810" s="2"/>
      <c r="B810" s="7"/>
      <c r="C810" s="7"/>
      <c r="D810" s="7"/>
      <c r="E810" s="7"/>
      <c r="F810" s="7"/>
      <c r="G810" s="7"/>
      <c r="H810" s="7"/>
      <c r="I810" s="7"/>
      <c r="J810" s="7"/>
      <c r="K810" s="7"/>
      <c r="L810" s="7"/>
      <c r="M810" s="7"/>
      <c r="N810" s="7"/>
      <c r="O810" s="2"/>
      <c r="P810" s="2"/>
      <c r="Q810" s="2"/>
      <c r="R810" s="2"/>
      <c r="S810" s="2"/>
      <c r="T810" s="2"/>
      <c r="U810" s="2"/>
      <c r="V810" s="2"/>
      <c r="W810" s="2"/>
      <c r="X810" s="2"/>
      <c r="Y810" s="2"/>
      <c r="Z810" s="2"/>
    </row>
    <row r="811">
      <c r="A811" s="2"/>
      <c r="B811" s="7"/>
      <c r="C811" s="7"/>
      <c r="D811" s="7"/>
      <c r="E811" s="7"/>
      <c r="F811" s="7"/>
      <c r="G811" s="7"/>
      <c r="H811" s="7"/>
      <c r="I811" s="7"/>
      <c r="J811" s="7"/>
      <c r="K811" s="7"/>
      <c r="L811" s="7"/>
      <c r="M811" s="7"/>
      <c r="N811" s="7"/>
      <c r="O811" s="2"/>
      <c r="P811" s="2"/>
      <c r="Q811" s="2"/>
      <c r="R811" s="2"/>
      <c r="S811" s="2"/>
      <c r="T811" s="2"/>
      <c r="U811" s="2"/>
      <c r="V811" s="2"/>
      <c r="W811" s="2"/>
      <c r="X811" s="2"/>
      <c r="Y811" s="2"/>
      <c r="Z811" s="2"/>
    </row>
    <row r="812">
      <c r="A812" s="2"/>
      <c r="B812" s="7"/>
      <c r="C812" s="7"/>
      <c r="D812" s="7"/>
      <c r="E812" s="7"/>
      <c r="F812" s="7"/>
      <c r="G812" s="7"/>
      <c r="H812" s="7"/>
      <c r="I812" s="7"/>
      <c r="J812" s="7"/>
      <c r="K812" s="7"/>
      <c r="L812" s="7"/>
      <c r="M812" s="7"/>
      <c r="N812" s="7"/>
      <c r="O812" s="2"/>
      <c r="P812" s="2"/>
      <c r="Q812" s="2"/>
      <c r="R812" s="2"/>
      <c r="S812" s="2"/>
      <c r="T812" s="2"/>
      <c r="U812" s="2"/>
      <c r="V812" s="2"/>
      <c r="W812" s="2"/>
      <c r="X812" s="2"/>
      <c r="Y812" s="2"/>
      <c r="Z812" s="2"/>
    </row>
    <row r="813">
      <c r="A813" s="2"/>
      <c r="B813" s="7"/>
      <c r="C813" s="7"/>
      <c r="D813" s="7"/>
      <c r="E813" s="7"/>
      <c r="F813" s="7"/>
      <c r="G813" s="7"/>
      <c r="H813" s="7"/>
      <c r="I813" s="7"/>
      <c r="J813" s="7"/>
      <c r="K813" s="7"/>
      <c r="L813" s="7"/>
      <c r="M813" s="7"/>
      <c r="N813" s="7"/>
      <c r="O813" s="2"/>
      <c r="P813" s="2"/>
      <c r="Q813" s="2"/>
      <c r="R813" s="2"/>
      <c r="S813" s="2"/>
      <c r="T813" s="2"/>
      <c r="U813" s="2"/>
      <c r="V813" s="2"/>
      <c r="W813" s="2"/>
      <c r="X813" s="2"/>
      <c r="Y813" s="2"/>
      <c r="Z813" s="2"/>
    </row>
    <row r="814">
      <c r="A814" s="2"/>
      <c r="B814" s="7"/>
      <c r="C814" s="7"/>
      <c r="D814" s="7"/>
      <c r="E814" s="7"/>
      <c r="F814" s="7"/>
      <c r="G814" s="7"/>
      <c r="H814" s="7"/>
      <c r="I814" s="7"/>
      <c r="J814" s="7"/>
      <c r="K814" s="7"/>
      <c r="L814" s="7"/>
      <c r="M814" s="7"/>
      <c r="N814" s="7"/>
      <c r="O814" s="2"/>
      <c r="P814" s="2"/>
      <c r="Q814" s="2"/>
      <c r="R814" s="2"/>
      <c r="S814" s="2"/>
      <c r="T814" s="2"/>
      <c r="U814" s="2"/>
      <c r="V814" s="2"/>
      <c r="W814" s="2"/>
      <c r="X814" s="2"/>
      <c r="Y814" s="2"/>
      <c r="Z814" s="2"/>
    </row>
    <row r="815">
      <c r="A815" s="2"/>
      <c r="B815" s="7"/>
      <c r="C815" s="7"/>
      <c r="D815" s="7"/>
      <c r="E815" s="7"/>
      <c r="F815" s="7"/>
      <c r="G815" s="7"/>
      <c r="H815" s="7"/>
      <c r="I815" s="7"/>
      <c r="J815" s="7"/>
      <c r="K815" s="7"/>
      <c r="L815" s="7"/>
      <c r="M815" s="7"/>
      <c r="N815" s="7"/>
      <c r="O815" s="2"/>
      <c r="P815" s="2"/>
      <c r="Q815" s="2"/>
      <c r="R815" s="2"/>
      <c r="S815" s="2"/>
      <c r="T815" s="2"/>
      <c r="U815" s="2"/>
      <c r="V815" s="2"/>
      <c r="W815" s="2"/>
      <c r="X815" s="2"/>
      <c r="Y815" s="2"/>
      <c r="Z815" s="2"/>
    </row>
    <row r="816">
      <c r="A816" s="2"/>
      <c r="B816" s="7"/>
      <c r="C816" s="7"/>
      <c r="D816" s="7"/>
      <c r="E816" s="7"/>
      <c r="F816" s="7"/>
      <c r="G816" s="7"/>
      <c r="H816" s="7"/>
      <c r="I816" s="7"/>
      <c r="J816" s="7"/>
      <c r="K816" s="7"/>
      <c r="L816" s="7"/>
      <c r="M816" s="7"/>
      <c r="N816" s="7"/>
      <c r="O816" s="2"/>
      <c r="P816" s="2"/>
      <c r="Q816" s="2"/>
      <c r="R816" s="2"/>
      <c r="S816" s="2"/>
      <c r="T816" s="2"/>
      <c r="U816" s="2"/>
      <c r="V816" s="2"/>
      <c r="W816" s="2"/>
      <c r="X816" s="2"/>
      <c r="Y816" s="2"/>
      <c r="Z816" s="2"/>
    </row>
    <row r="817">
      <c r="A817" s="2"/>
      <c r="B817" s="7"/>
      <c r="C817" s="7"/>
      <c r="D817" s="7"/>
      <c r="E817" s="7"/>
      <c r="F817" s="7"/>
      <c r="G817" s="7"/>
      <c r="H817" s="7"/>
      <c r="I817" s="7"/>
      <c r="J817" s="7"/>
      <c r="K817" s="7"/>
      <c r="L817" s="7"/>
      <c r="M817" s="7"/>
      <c r="N817" s="7"/>
      <c r="O817" s="2"/>
      <c r="P817" s="2"/>
      <c r="Q817" s="2"/>
      <c r="R817" s="2"/>
      <c r="S817" s="2"/>
      <c r="T817" s="2"/>
      <c r="U817" s="2"/>
      <c r="V817" s="2"/>
      <c r="W817" s="2"/>
      <c r="X817" s="2"/>
      <c r="Y817" s="2"/>
      <c r="Z817" s="2"/>
    </row>
    <row r="818">
      <c r="A818" s="2"/>
      <c r="B818" s="7"/>
      <c r="C818" s="7"/>
      <c r="D818" s="7"/>
      <c r="E818" s="7"/>
      <c r="F818" s="7"/>
      <c r="G818" s="7"/>
      <c r="H818" s="7"/>
      <c r="I818" s="7"/>
      <c r="J818" s="7"/>
      <c r="K818" s="7"/>
      <c r="L818" s="7"/>
      <c r="M818" s="7"/>
      <c r="N818" s="7"/>
      <c r="O818" s="2"/>
      <c r="P818" s="2"/>
      <c r="Q818" s="2"/>
      <c r="R818" s="2"/>
      <c r="S818" s="2"/>
      <c r="T818" s="2"/>
      <c r="U818" s="2"/>
      <c r="V818" s="2"/>
      <c r="W818" s="2"/>
      <c r="X818" s="2"/>
      <c r="Y818" s="2"/>
      <c r="Z818" s="2"/>
    </row>
    <row r="819">
      <c r="A819" s="2"/>
      <c r="B819" s="7"/>
      <c r="C819" s="7"/>
      <c r="D819" s="7"/>
      <c r="E819" s="7"/>
      <c r="F819" s="7"/>
      <c r="G819" s="7"/>
      <c r="H819" s="7"/>
      <c r="I819" s="7"/>
      <c r="J819" s="7"/>
      <c r="K819" s="7"/>
      <c r="L819" s="7"/>
      <c r="M819" s="7"/>
      <c r="N819" s="7"/>
      <c r="O819" s="2"/>
      <c r="P819" s="2"/>
      <c r="Q819" s="2"/>
      <c r="R819" s="2"/>
      <c r="S819" s="2"/>
      <c r="T819" s="2"/>
      <c r="U819" s="2"/>
      <c r="V819" s="2"/>
      <c r="W819" s="2"/>
      <c r="X819" s="2"/>
      <c r="Y819" s="2"/>
      <c r="Z819" s="2"/>
    </row>
    <row r="820">
      <c r="A820" s="2"/>
      <c r="B820" s="7"/>
      <c r="C820" s="7"/>
      <c r="D820" s="7"/>
      <c r="E820" s="7"/>
      <c r="F820" s="7"/>
      <c r="G820" s="7"/>
      <c r="H820" s="7"/>
      <c r="I820" s="7"/>
      <c r="J820" s="7"/>
      <c r="K820" s="7"/>
      <c r="L820" s="7"/>
      <c r="M820" s="7"/>
      <c r="N820" s="7"/>
      <c r="O820" s="2"/>
      <c r="P820" s="2"/>
      <c r="Q820" s="2"/>
      <c r="R820" s="2"/>
      <c r="S820" s="2"/>
      <c r="T820" s="2"/>
      <c r="U820" s="2"/>
      <c r="V820" s="2"/>
      <c r="W820" s="2"/>
      <c r="X820" s="2"/>
      <c r="Y820" s="2"/>
      <c r="Z820" s="2"/>
    </row>
    <row r="821">
      <c r="A821" s="2"/>
      <c r="B821" s="7"/>
      <c r="C821" s="7"/>
      <c r="D821" s="7"/>
      <c r="E821" s="7"/>
      <c r="F821" s="7"/>
      <c r="G821" s="7"/>
      <c r="H821" s="7"/>
      <c r="I821" s="7"/>
      <c r="J821" s="7"/>
      <c r="K821" s="7"/>
      <c r="L821" s="7"/>
      <c r="M821" s="7"/>
      <c r="N821" s="7"/>
      <c r="O821" s="2"/>
      <c r="P821" s="2"/>
      <c r="Q821" s="2"/>
      <c r="R821" s="2"/>
      <c r="S821" s="2"/>
      <c r="T821" s="2"/>
      <c r="U821" s="2"/>
      <c r="V821" s="2"/>
      <c r="W821" s="2"/>
      <c r="X821" s="2"/>
      <c r="Y821" s="2"/>
      <c r="Z821" s="2"/>
    </row>
    <row r="822">
      <c r="A822" s="2"/>
      <c r="B822" s="7"/>
      <c r="C822" s="7"/>
      <c r="D822" s="7"/>
      <c r="E822" s="7"/>
      <c r="F822" s="7"/>
      <c r="G822" s="7"/>
      <c r="H822" s="7"/>
      <c r="I822" s="7"/>
      <c r="J822" s="7"/>
      <c r="K822" s="7"/>
      <c r="L822" s="7"/>
      <c r="M822" s="7"/>
      <c r="N822" s="7"/>
      <c r="O822" s="2"/>
      <c r="P822" s="2"/>
      <c r="Q822" s="2"/>
      <c r="R822" s="2"/>
      <c r="S822" s="2"/>
      <c r="T822" s="2"/>
      <c r="U822" s="2"/>
      <c r="V822" s="2"/>
      <c r="W822" s="2"/>
      <c r="X822" s="2"/>
      <c r="Y822" s="2"/>
      <c r="Z822" s="2"/>
    </row>
    <row r="823">
      <c r="A823" s="2"/>
      <c r="B823" s="7"/>
      <c r="C823" s="7"/>
      <c r="D823" s="7"/>
      <c r="E823" s="7"/>
      <c r="F823" s="7"/>
      <c r="G823" s="7"/>
      <c r="H823" s="7"/>
      <c r="I823" s="7"/>
      <c r="J823" s="7"/>
      <c r="K823" s="7"/>
      <c r="L823" s="7"/>
      <c r="M823" s="7"/>
      <c r="N823" s="7"/>
      <c r="O823" s="2"/>
      <c r="P823" s="2"/>
      <c r="Q823" s="2"/>
      <c r="R823" s="2"/>
      <c r="S823" s="2"/>
      <c r="T823" s="2"/>
      <c r="U823" s="2"/>
      <c r="V823" s="2"/>
      <c r="W823" s="2"/>
      <c r="X823" s="2"/>
      <c r="Y823" s="2"/>
      <c r="Z823" s="2"/>
    </row>
    <row r="824">
      <c r="A824" s="2"/>
      <c r="B824" s="7"/>
      <c r="C824" s="7"/>
      <c r="D824" s="7"/>
      <c r="E824" s="7"/>
      <c r="F824" s="7"/>
      <c r="G824" s="7"/>
      <c r="H824" s="7"/>
      <c r="I824" s="7"/>
      <c r="J824" s="7"/>
      <c r="K824" s="7"/>
      <c r="L824" s="7"/>
      <c r="M824" s="7"/>
      <c r="N824" s="7"/>
      <c r="O824" s="2"/>
      <c r="P824" s="2"/>
      <c r="Q824" s="2"/>
      <c r="R824" s="2"/>
      <c r="S824" s="2"/>
      <c r="T824" s="2"/>
      <c r="U824" s="2"/>
      <c r="V824" s="2"/>
      <c r="W824" s="2"/>
      <c r="X824" s="2"/>
      <c r="Y824" s="2"/>
      <c r="Z824" s="2"/>
    </row>
    <row r="825">
      <c r="A825" s="2"/>
      <c r="B825" s="7"/>
      <c r="C825" s="7"/>
      <c r="D825" s="7"/>
      <c r="E825" s="7"/>
      <c r="F825" s="7"/>
      <c r="G825" s="7"/>
      <c r="H825" s="7"/>
      <c r="I825" s="7"/>
      <c r="J825" s="7"/>
      <c r="K825" s="7"/>
      <c r="L825" s="7"/>
      <c r="M825" s="7"/>
      <c r="N825" s="7"/>
      <c r="O825" s="2"/>
      <c r="P825" s="2"/>
      <c r="Q825" s="2"/>
      <c r="R825" s="2"/>
      <c r="S825" s="2"/>
      <c r="T825" s="2"/>
      <c r="U825" s="2"/>
      <c r="V825" s="2"/>
      <c r="W825" s="2"/>
      <c r="X825" s="2"/>
      <c r="Y825" s="2"/>
      <c r="Z825" s="2"/>
    </row>
    <row r="826">
      <c r="A826" s="2"/>
      <c r="B826" s="7"/>
      <c r="C826" s="7"/>
      <c r="D826" s="7"/>
      <c r="E826" s="7"/>
      <c r="F826" s="7"/>
      <c r="G826" s="7"/>
      <c r="H826" s="7"/>
      <c r="I826" s="7"/>
      <c r="J826" s="7"/>
      <c r="K826" s="7"/>
      <c r="L826" s="7"/>
      <c r="M826" s="7"/>
      <c r="N826" s="7"/>
      <c r="O826" s="2"/>
      <c r="P826" s="2"/>
      <c r="Q826" s="2"/>
      <c r="R826" s="2"/>
      <c r="S826" s="2"/>
      <c r="T826" s="2"/>
      <c r="U826" s="2"/>
      <c r="V826" s="2"/>
      <c r="W826" s="2"/>
      <c r="X826" s="2"/>
      <c r="Y826" s="2"/>
      <c r="Z826" s="2"/>
    </row>
    <row r="827">
      <c r="A827" s="2"/>
      <c r="B827" s="7"/>
      <c r="C827" s="7"/>
      <c r="D827" s="7"/>
      <c r="E827" s="7"/>
      <c r="F827" s="7"/>
      <c r="G827" s="7"/>
      <c r="H827" s="7"/>
      <c r="I827" s="7"/>
      <c r="J827" s="7"/>
      <c r="K827" s="7"/>
      <c r="L827" s="7"/>
      <c r="M827" s="7"/>
      <c r="N827" s="7"/>
      <c r="O827" s="2"/>
      <c r="P827" s="2"/>
      <c r="Q827" s="2"/>
      <c r="R827" s="2"/>
      <c r="S827" s="2"/>
      <c r="T827" s="2"/>
      <c r="U827" s="2"/>
      <c r="V827" s="2"/>
      <c r="W827" s="2"/>
      <c r="X827" s="2"/>
      <c r="Y827" s="2"/>
      <c r="Z827" s="2"/>
    </row>
    <row r="828">
      <c r="A828" s="2"/>
      <c r="B828" s="7"/>
      <c r="C828" s="7"/>
      <c r="D828" s="7"/>
      <c r="E828" s="7"/>
      <c r="F828" s="7"/>
      <c r="G828" s="7"/>
      <c r="H828" s="7"/>
      <c r="I828" s="7"/>
      <c r="J828" s="7"/>
      <c r="K828" s="7"/>
      <c r="L828" s="7"/>
      <c r="M828" s="7"/>
      <c r="N828" s="7"/>
      <c r="O828" s="2"/>
      <c r="P828" s="2"/>
      <c r="Q828" s="2"/>
      <c r="R828" s="2"/>
      <c r="S828" s="2"/>
      <c r="T828" s="2"/>
      <c r="U828" s="2"/>
      <c r="V828" s="2"/>
      <c r="W828" s="2"/>
      <c r="X828" s="2"/>
      <c r="Y828" s="2"/>
      <c r="Z828" s="2"/>
    </row>
    <row r="829">
      <c r="A829" s="2"/>
      <c r="B829" s="7"/>
      <c r="C829" s="7"/>
      <c r="D829" s="7"/>
      <c r="E829" s="7"/>
      <c r="F829" s="7"/>
      <c r="G829" s="7"/>
      <c r="H829" s="7"/>
      <c r="I829" s="7"/>
      <c r="J829" s="7"/>
      <c r="K829" s="7"/>
      <c r="L829" s="7"/>
      <c r="M829" s="7"/>
      <c r="N829" s="7"/>
      <c r="O829" s="2"/>
      <c r="P829" s="2"/>
      <c r="Q829" s="2"/>
      <c r="R829" s="2"/>
      <c r="S829" s="2"/>
      <c r="T829" s="2"/>
      <c r="U829" s="2"/>
      <c r="V829" s="2"/>
      <c r="W829" s="2"/>
      <c r="X829" s="2"/>
      <c r="Y829" s="2"/>
      <c r="Z829" s="2"/>
    </row>
    <row r="830">
      <c r="A830" s="2"/>
      <c r="B830" s="7"/>
      <c r="C830" s="7"/>
      <c r="D830" s="7"/>
      <c r="E830" s="7"/>
      <c r="F830" s="7"/>
      <c r="G830" s="7"/>
      <c r="H830" s="7"/>
      <c r="I830" s="7"/>
      <c r="J830" s="7"/>
      <c r="K830" s="7"/>
      <c r="L830" s="7"/>
      <c r="M830" s="7"/>
      <c r="N830" s="7"/>
      <c r="O830" s="2"/>
      <c r="P830" s="2"/>
      <c r="Q830" s="2"/>
      <c r="R830" s="2"/>
      <c r="S830" s="2"/>
      <c r="T830" s="2"/>
      <c r="U830" s="2"/>
      <c r="V830" s="2"/>
      <c r="W830" s="2"/>
      <c r="X830" s="2"/>
      <c r="Y830" s="2"/>
      <c r="Z830" s="2"/>
    </row>
    <row r="831">
      <c r="A831" s="2"/>
      <c r="B831" s="7"/>
      <c r="C831" s="7"/>
      <c r="D831" s="7"/>
      <c r="E831" s="7"/>
      <c r="F831" s="7"/>
      <c r="G831" s="7"/>
      <c r="H831" s="7"/>
      <c r="I831" s="7"/>
      <c r="J831" s="7"/>
      <c r="K831" s="7"/>
      <c r="L831" s="7"/>
      <c r="M831" s="7"/>
      <c r="N831" s="7"/>
      <c r="O831" s="2"/>
      <c r="P831" s="2"/>
      <c r="Q831" s="2"/>
      <c r="R831" s="2"/>
      <c r="S831" s="2"/>
      <c r="T831" s="2"/>
      <c r="U831" s="2"/>
      <c r="V831" s="2"/>
      <c r="W831" s="2"/>
      <c r="X831" s="2"/>
      <c r="Y831" s="2"/>
      <c r="Z831" s="2"/>
    </row>
    <row r="832">
      <c r="A832" s="2"/>
      <c r="B832" s="7"/>
      <c r="C832" s="7"/>
      <c r="D832" s="7"/>
      <c r="E832" s="7"/>
      <c r="F832" s="7"/>
      <c r="G832" s="7"/>
      <c r="H832" s="7"/>
      <c r="I832" s="7"/>
      <c r="J832" s="7"/>
      <c r="K832" s="7"/>
      <c r="L832" s="7"/>
      <c r="M832" s="7"/>
      <c r="N832" s="7"/>
      <c r="O832" s="2"/>
      <c r="P832" s="2"/>
      <c r="Q832" s="2"/>
      <c r="R832" s="2"/>
      <c r="S832" s="2"/>
      <c r="T832" s="2"/>
      <c r="U832" s="2"/>
      <c r="V832" s="2"/>
      <c r="W832" s="2"/>
      <c r="X832" s="2"/>
      <c r="Y832" s="2"/>
      <c r="Z832" s="2"/>
    </row>
    <row r="833">
      <c r="A833" s="2"/>
      <c r="B833" s="7"/>
      <c r="C833" s="7"/>
      <c r="D833" s="7"/>
      <c r="E833" s="7"/>
      <c r="F833" s="7"/>
      <c r="G833" s="7"/>
      <c r="H833" s="7"/>
      <c r="I833" s="7"/>
      <c r="J833" s="7"/>
      <c r="K833" s="7"/>
      <c r="L833" s="7"/>
      <c r="M833" s="7"/>
      <c r="N833" s="7"/>
      <c r="O833" s="2"/>
      <c r="P833" s="2"/>
      <c r="Q833" s="2"/>
      <c r="R833" s="2"/>
      <c r="S833" s="2"/>
      <c r="T833" s="2"/>
      <c r="U833" s="2"/>
      <c r="V833" s="2"/>
      <c r="W833" s="2"/>
      <c r="X833" s="2"/>
      <c r="Y833" s="2"/>
      <c r="Z833" s="2"/>
    </row>
    <row r="834">
      <c r="A834" s="2"/>
      <c r="B834" s="7"/>
      <c r="C834" s="7"/>
      <c r="D834" s="7"/>
      <c r="E834" s="7"/>
      <c r="F834" s="7"/>
      <c r="G834" s="7"/>
      <c r="H834" s="7"/>
      <c r="I834" s="7"/>
      <c r="J834" s="7"/>
      <c r="K834" s="7"/>
      <c r="L834" s="7"/>
      <c r="M834" s="7"/>
      <c r="N834" s="7"/>
      <c r="O834" s="2"/>
      <c r="P834" s="2"/>
      <c r="Q834" s="2"/>
      <c r="R834" s="2"/>
      <c r="S834" s="2"/>
      <c r="T834" s="2"/>
      <c r="U834" s="2"/>
      <c r="V834" s="2"/>
      <c r="W834" s="2"/>
      <c r="X834" s="2"/>
      <c r="Y834" s="2"/>
      <c r="Z834" s="2"/>
    </row>
    <row r="835">
      <c r="A835" s="2"/>
      <c r="B835" s="7"/>
      <c r="C835" s="7"/>
      <c r="D835" s="7"/>
      <c r="E835" s="7"/>
      <c r="F835" s="7"/>
      <c r="G835" s="7"/>
      <c r="H835" s="7"/>
      <c r="I835" s="7"/>
      <c r="J835" s="7"/>
      <c r="K835" s="7"/>
      <c r="L835" s="7"/>
      <c r="M835" s="7"/>
      <c r="N835" s="7"/>
      <c r="O835" s="2"/>
      <c r="P835" s="2"/>
      <c r="Q835" s="2"/>
      <c r="R835" s="2"/>
      <c r="S835" s="2"/>
      <c r="T835" s="2"/>
      <c r="U835" s="2"/>
      <c r="V835" s="2"/>
      <c r="W835" s="2"/>
      <c r="X835" s="2"/>
      <c r="Y835" s="2"/>
      <c r="Z835" s="2"/>
    </row>
    <row r="836">
      <c r="A836" s="2"/>
      <c r="B836" s="7"/>
      <c r="C836" s="7"/>
      <c r="D836" s="7"/>
      <c r="E836" s="7"/>
      <c r="F836" s="7"/>
      <c r="G836" s="7"/>
      <c r="H836" s="7"/>
      <c r="I836" s="7"/>
      <c r="J836" s="7"/>
      <c r="K836" s="7"/>
      <c r="L836" s="7"/>
      <c r="M836" s="7"/>
      <c r="N836" s="7"/>
      <c r="O836" s="2"/>
      <c r="P836" s="2"/>
      <c r="Q836" s="2"/>
      <c r="R836" s="2"/>
      <c r="S836" s="2"/>
      <c r="T836" s="2"/>
      <c r="U836" s="2"/>
      <c r="V836" s="2"/>
      <c r="W836" s="2"/>
      <c r="X836" s="2"/>
      <c r="Y836" s="2"/>
      <c r="Z836" s="2"/>
    </row>
    <row r="837">
      <c r="A837" s="2"/>
      <c r="B837" s="7"/>
      <c r="C837" s="7"/>
      <c r="D837" s="7"/>
      <c r="E837" s="7"/>
      <c r="F837" s="7"/>
      <c r="G837" s="7"/>
      <c r="H837" s="7"/>
      <c r="I837" s="7"/>
      <c r="J837" s="7"/>
      <c r="K837" s="7"/>
      <c r="L837" s="7"/>
      <c r="M837" s="7"/>
      <c r="N837" s="7"/>
      <c r="O837" s="2"/>
      <c r="P837" s="2"/>
      <c r="Q837" s="2"/>
      <c r="R837" s="2"/>
      <c r="S837" s="2"/>
      <c r="T837" s="2"/>
      <c r="U837" s="2"/>
      <c r="V837" s="2"/>
      <c r="W837" s="2"/>
      <c r="X837" s="2"/>
      <c r="Y837" s="2"/>
      <c r="Z837" s="2"/>
    </row>
    <row r="838">
      <c r="A838" s="2"/>
      <c r="B838" s="7"/>
      <c r="C838" s="7"/>
      <c r="D838" s="7"/>
      <c r="E838" s="7"/>
      <c r="F838" s="7"/>
      <c r="G838" s="7"/>
      <c r="H838" s="7"/>
      <c r="I838" s="7"/>
      <c r="J838" s="7"/>
      <c r="K838" s="7"/>
      <c r="L838" s="7"/>
      <c r="M838" s="7"/>
      <c r="N838" s="7"/>
      <c r="O838" s="2"/>
      <c r="P838" s="2"/>
      <c r="Q838" s="2"/>
      <c r="R838" s="2"/>
      <c r="S838" s="2"/>
      <c r="T838" s="2"/>
      <c r="U838" s="2"/>
      <c r="V838" s="2"/>
      <c r="W838" s="2"/>
      <c r="X838" s="2"/>
      <c r="Y838" s="2"/>
      <c r="Z838" s="2"/>
    </row>
    <row r="839">
      <c r="A839" s="2"/>
      <c r="B839" s="7"/>
      <c r="C839" s="7"/>
      <c r="D839" s="7"/>
      <c r="E839" s="7"/>
      <c r="F839" s="7"/>
      <c r="G839" s="7"/>
      <c r="H839" s="7"/>
      <c r="I839" s="7"/>
      <c r="J839" s="7"/>
      <c r="K839" s="7"/>
      <c r="L839" s="7"/>
      <c r="M839" s="7"/>
      <c r="N839" s="7"/>
      <c r="O839" s="2"/>
      <c r="P839" s="2"/>
      <c r="Q839" s="2"/>
      <c r="R839" s="2"/>
      <c r="S839" s="2"/>
      <c r="T839" s="2"/>
      <c r="U839" s="2"/>
      <c r="V839" s="2"/>
      <c r="W839" s="2"/>
      <c r="X839" s="2"/>
      <c r="Y839" s="2"/>
      <c r="Z839" s="2"/>
    </row>
    <row r="840">
      <c r="A840" s="2"/>
      <c r="B840" s="7"/>
      <c r="C840" s="7"/>
      <c r="D840" s="7"/>
      <c r="E840" s="7"/>
      <c r="F840" s="7"/>
      <c r="G840" s="7"/>
      <c r="H840" s="7"/>
      <c r="I840" s="7"/>
      <c r="J840" s="7"/>
      <c r="K840" s="7"/>
      <c r="L840" s="7"/>
      <c r="M840" s="7"/>
      <c r="N840" s="7"/>
      <c r="O840" s="2"/>
      <c r="P840" s="2"/>
      <c r="Q840" s="2"/>
      <c r="R840" s="2"/>
      <c r="S840" s="2"/>
      <c r="T840" s="2"/>
      <c r="U840" s="2"/>
      <c r="V840" s="2"/>
      <c r="W840" s="2"/>
      <c r="X840" s="2"/>
      <c r="Y840" s="2"/>
      <c r="Z840" s="2"/>
    </row>
    <row r="841">
      <c r="A841" s="2"/>
      <c r="B841" s="7"/>
      <c r="C841" s="7"/>
      <c r="D841" s="7"/>
      <c r="E841" s="7"/>
      <c r="F841" s="7"/>
      <c r="G841" s="7"/>
      <c r="H841" s="7"/>
      <c r="I841" s="7"/>
      <c r="J841" s="7"/>
      <c r="K841" s="7"/>
      <c r="L841" s="7"/>
      <c r="M841" s="7"/>
      <c r="N841" s="7"/>
      <c r="O841" s="2"/>
      <c r="P841" s="2"/>
      <c r="Q841" s="2"/>
      <c r="R841" s="2"/>
      <c r="S841" s="2"/>
      <c r="T841" s="2"/>
      <c r="U841" s="2"/>
      <c r="V841" s="2"/>
      <c r="W841" s="2"/>
      <c r="X841" s="2"/>
      <c r="Y841" s="2"/>
      <c r="Z841" s="2"/>
    </row>
    <row r="842">
      <c r="A842" s="2"/>
      <c r="B842" s="7"/>
      <c r="C842" s="7"/>
      <c r="D842" s="7"/>
      <c r="E842" s="7"/>
      <c r="F842" s="7"/>
      <c r="G842" s="7"/>
      <c r="H842" s="7"/>
      <c r="I842" s="7"/>
      <c r="J842" s="7"/>
      <c r="K842" s="7"/>
      <c r="L842" s="7"/>
      <c r="M842" s="7"/>
      <c r="N842" s="7"/>
      <c r="O842" s="2"/>
      <c r="P842" s="2"/>
      <c r="Q842" s="2"/>
      <c r="R842" s="2"/>
      <c r="S842" s="2"/>
      <c r="T842" s="2"/>
      <c r="U842" s="2"/>
      <c r="V842" s="2"/>
      <c r="W842" s="2"/>
      <c r="X842" s="2"/>
      <c r="Y842" s="2"/>
      <c r="Z842" s="2"/>
    </row>
    <row r="843">
      <c r="A843" s="2"/>
      <c r="B843" s="7"/>
      <c r="C843" s="7"/>
      <c r="D843" s="7"/>
      <c r="E843" s="7"/>
      <c r="F843" s="7"/>
      <c r="G843" s="7"/>
      <c r="H843" s="7"/>
      <c r="I843" s="7"/>
      <c r="J843" s="7"/>
      <c r="K843" s="7"/>
      <c r="L843" s="7"/>
      <c r="M843" s="7"/>
      <c r="N843" s="7"/>
      <c r="O843" s="2"/>
      <c r="P843" s="2"/>
      <c r="Q843" s="2"/>
      <c r="R843" s="2"/>
      <c r="S843" s="2"/>
      <c r="T843" s="2"/>
      <c r="U843" s="2"/>
      <c r="V843" s="2"/>
      <c r="W843" s="2"/>
      <c r="X843" s="2"/>
      <c r="Y843" s="2"/>
      <c r="Z843" s="2"/>
    </row>
    <row r="844">
      <c r="A844" s="2"/>
      <c r="B844" s="7"/>
      <c r="C844" s="7"/>
      <c r="D844" s="7"/>
      <c r="E844" s="7"/>
      <c r="F844" s="7"/>
      <c r="G844" s="7"/>
      <c r="H844" s="7"/>
      <c r="I844" s="7"/>
      <c r="J844" s="7"/>
      <c r="K844" s="7"/>
      <c r="L844" s="7"/>
      <c r="M844" s="7"/>
      <c r="N844" s="7"/>
      <c r="O844" s="2"/>
      <c r="P844" s="2"/>
      <c r="Q844" s="2"/>
      <c r="R844" s="2"/>
      <c r="S844" s="2"/>
      <c r="T844" s="2"/>
      <c r="U844" s="2"/>
      <c r="V844" s="2"/>
      <c r="W844" s="2"/>
      <c r="X844" s="2"/>
      <c r="Y844" s="2"/>
      <c r="Z844" s="2"/>
    </row>
    <row r="845">
      <c r="A845" s="2"/>
      <c r="B845" s="7"/>
      <c r="C845" s="7"/>
      <c r="D845" s="7"/>
      <c r="E845" s="7"/>
      <c r="F845" s="7"/>
      <c r="G845" s="7"/>
      <c r="H845" s="7"/>
      <c r="I845" s="7"/>
      <c r="J845" s="7"/>
      <c r="K845" s="7"/>
      <c r="L845" s="7"/>
      <c r="M845" s="7"/>
      <c r="N845" s="7"/>
      <c r="O845" s="2"/>
      <c r="P845" s="2"/>
      <c r="Q845" s="2"/>
      <c r="R845" s="2"/>
      <c r="S845" s="2"/>
      <c r="T845" s="2"/>
      <c r="U845" s="2"/>
      <c r="V845" s="2"/>
      <c r="W845" s="2"/>
      <c r="X845" s="2"/>
      <c r="Y845" s="2"/>
      <c r="Z845" s="2"/>
    </row>
    <row r="846">
      <c r="A846" s="2"/>
      <c r="B846" s="7"/>
      <c r="C846" s="7"/>
      <c r="D846" s="7"/>
      <c r="E846" s="7"/>
      <c r="F846" s="7"/>
      <c r="G846" s="7"/>
      <c r="H846" s="7"/>
      <c r="I846" s="7"/>
      <c r="J846" s="7"/>
      <c r="K846" s="7"/>
      <c r="L846" s="7"/>
      <c r="M846" s="7"/>
      <c r="N846" s="7"/>
      <c r="O846" s="2"/>
      <c r="P846" s="2"/>
      <c r="Q846" s="2"/>
      <c r="R846" s="2"/>
      <c r="S846" s="2"/>
      <c r="T846" s="2"/>
      <c r="U846" s="2"/>
      <c r="V846" s="2"/>
      <c r="W846" s="2"/>
      <c r="X846" s="2"/>
      <c r="Y846" s="2"/>
      <c r="Z846" s="2"/>
    </row>
    <row r="847">
      <c r="A847" s="2"/>
      <c r="B847" s="7"/>
      <c r="C847" s="7"/>
      <c r="D847" s="7"/>
      <c r="E847" s="7"/>
      <c r="F847" s="7"/>
      <c r="G847" s="7"/>
      <c r="H847" s="7"/>
      <c r="I847" s="7"/>
      <c r="J847" s="7"/>
      <c r="K847" s="7"/>
      <c r="L847" s="7"/>
      <c r="M847" s="7"/>
      <c r="N847" s="7"/>
      <c r="O847" s="2"/>
      <c r="P847" s="2"/>
      <c r="Q847" s="2"/>
      <c r="R847" s="2"/>
      <c r="S847" s="2"/>
      <c r="T847" s="2"/>
      <c r="U847" s="2"/>
      <c r="V847" s="2"/>
      <c r="W847" s="2"/>
      <c r="X847" s="2"/>
      <c r="Y847" s="2"/>
      <c r="Z847" s="2"/>
    </row>
    <row r="848">
      <c r="A848" s="2"/>
      <c r="B848" s="7"/>
      <c r="C848" s="7"/>
      <c r="D848" s="7"/>
      <c r="E848" s="7"/>
      <c r="F848" s="7"/>
      <c r="G848" s="7"/>
      <c r="H848" s="7"/>
      <c r="I848" s="7"/>
      <c r="J848" s="7"/>
      <c r="K848" s="7"/>
      <c r="L848" s="7"/>
      <c r="M848" s="7"/>
      <c r="N848" s="7"/>
      <c r="O848" s="2"/>
      <c r="P848" s="2"/>
      <c r="Q848" s="2"/>
      <c r="R848" s="2"/>
      <c r="S848" s="2"/>
      <c r="T848" s="2"/>
      <c r="U848" s="2"/>
      <c r="V848" s="2"/>
      <c r="W848" s="2"/>
      <c r="X848" s="2"/>
      <c r="Y848" s="2"/>
      <c r="Z848" s="2"/>
    </row>
    <row r="849">
      <c r="A849" s="2"/>
      <c r="B849" s="7"/>
      <c r="C849" s="7"/>
      <c r="D849" s="7"/>
      <c r="E849" s="7"/>
      <c r="F849" s="7"/>
      <c r="G849" s="7"/>
      <c r="H849" s="7"/>
      <c r="I849" s="7"/>
      <c r="J849" s="7"/>
      <c r="K849" s="7"/>
      <c r="L849" s="7"/>
      <c r="M849" s="7"/>
      <c r="N849" s="7"/>
      <c r="O849" s="2"/>
      <c r="P849" s="2"/>
      <c r="Q849" s="2"/>
      <c r="R849" s="2"/>
      <c r="S849" s="2"/>
      <c r="T849" s="2"/>
      <c r="U849" s="2"/>
      <c r="V849" s="2"/>
      <c r="W849" s="2"/>
      <c r="X849" s="2"/>
      <c r="Y849" s="2"/>
      <c r="Z849" s="2"/>
    </row>
    <row r="850">
      <c r="A850" s="2"/>
      <c r="B850" s="7"/>
      <c r="C850" s="7"/>
      <c r="D850" s="7"/>
      <c r="E850" s="7"/>
      <c r="F850" s="7"/>
      <c r="G850" s="7"/>
      <c r="H850" s="7"/>
      <c r="I850" s="7"/>
      <c r="J850" s="7"/>
      <c r="K850" s="7"/>
      <c r="L850" s="7"/>
      <c r="M850" s="7"/>
      <c r="N850" s="7"/>
      <c r="O850" s="2"/>
      <c r="P850" s="2"/>
      <c r="Q850" s="2"/>
      <c r="R850" s="2"/>
      <c r="S850" s="2"/>
      <c r="T850" s="2"/>
      <c r="U850" s="2"/>
      <c r="V850" s="2"/>
      <c r="W850" s="2"/>
      <c r="X850" s="2"/>
      <c r="Y850" s="2"/>
      <c r="Z850" s="2"/>
    </row>
    <row r="851">
      <c r="A851" s="2"/>
      <c r="B851" s="7"/>
      <c r="C851" s="7"/>
      <c r="D851" s="7"/>
      <c r="E851" s="7"/>
      <c r="F851" s="7"/>
      <c r="G851" s="7"/>
      <c r="H851" s="7"/>
      <c r="I851" s="7"/>
      <c r="J851" s="7"/>
      <c r="K851" s="7"/>
      <c r="L851" s="7"/>
      <c r="M851" s="7"/>
      <c r="N851" s="7"/>
      <c r="O851" s="2"/>
      <c r="P851" s="2"/>
      <c r="Q851" s="2"/>
      <c r="R851" s="2"/>
      <c r="S851" s="2"/>
      <c r="T851" s="2"/>
      <c r="U851" s="2"/>
      <c r="V851" s="2"/>
      <c r="W851" s="2"/>
      <c r="X851" s="2"/>
      <c r="Y851" s="2"/>
      <c r="Z851" s="2"/>
    </row>
    <row r="852">
      <c r="A852" s="2"/>
      <c r="B852" s="7"/>
      <c r="C852" s="7"/>
      <c r="D852" s="7"/>
      <c r="E852" s="7"/>
      <c r="F852" s="7"/>
      <c r="G852" s="7"/>
      <c r="H852" s="7"/>
      <c r="I852" s="7"/>
      <c r="J852" s="7"/>
      <c r="K852" s="7"/>
      <c r="L852" s="7"/>
      <c r="M852" s="7"/>
      <c r="N852" s="7"/>
      <c r="O852" s="2"/>
      <c r="P852" s="2"/>
      <c r="Q852" s="2"/>
      <c r="R852" s="2"/>
      <c r="S852" s="2"/>
      <c r="T852" s="2"/>
      <c r="U852" s="2"/>
      <c r="V852" s="2"/>
      <c r="W852" s="2"/>
      <c r="X852" s="2"/>
      <c r="Y852" s="2"/>
      <c r="Z852" s="2"/>
    </row>
    <row r="853">
      <c r="A853" s="2"/>
      <c r="B853" s="7"/>
      <c r="C853" s="7"/>
      <c r="D853" s="7"/>
      <c r="E853" s="7"/>
      <c r="F853" s="7"/>
      <c r="G853" s="7"/>
      <c r="H853" s="7"/>
      <c r="I853" s="7"/>
      <c r="J853" s="7"/>
      <c r="K853" s="7"/>
      <c r="L853" s="7"/>
      <c r="M853" s="7"/>
      <c r="N853" s="7"/>
      <c r="O853" s="2"/>
      <c r="P853" s="2"/>
      <c r="Q853" s="2"/>
      <c r="R853" s="2"/>
      <c r="S853" s="2"/>
      <c r="T853" s="2"/>
      <c r="U853" s="2"/>
      <c r="V853" s="2"/>
      <c r="W853" s="2"/>
      <c r="X853" s="2"/>
      <c r="Y853" s="2"/>
      <c r="Z853" s="2"/>
    </row>
    <row r="854">
      <c r="A854" s="2"/>
      <c r="B854" s="7"/>
      <c r="C854" s="7"/>
      <c r="D854" s="7"/>
      <c r="E854" s="7"/>
      <c r="F854" s="7"/>
      <c r="G854" s="7"/>
      <c r="H854" s="7"/>
      <c r="I854" s="7"/>
      <c r="J854" s="7"/>
      <c r="K854" s="7"/>
      <c r="L854" s="7"/>
      <c r="M854" s="7"/>
      <c r="N854" s="7"/>
      <c r="O854" s="2"/>
      <c r="P854" s="2"/>
      <c r="Q854" s="2"/>
      <c r="R854" s="2"/>
      <c r="S854" s="2"/>
      <c r="T854" s="2"/>
      <c r="U854" s="2"/>
      <c r="V854" s="2"/>
      <c r="W854" s="2"/>
      <c r="X854" s="2"/>
      <c r="Y854" s="2"/>
      <c r="Z854" s="2"/>
    </row>
    <row r="855">
      <c r="A855" s="2"/>
      <c r="B855" s="7"/>
      <c r="C855" s="7"/>
      <c r="D855" s="7"/>
      <c r="E855" s="7"/>
      <c r="F855" s="7"/>
      <c r="G855" s="7"/>
      <c r="H855" s="7"/>
      <c r="I855" s="7"/>
      <c r="J855" s="7"/>
      <c r="K855" s="7"/>
      <c r="L855" s="7"/>
      <c r="M855" s="7"/>
      <c r="N855" s="7"/>
      <c r="O855" s="2"/>
      <c r="P855" s="2"/>
      <c r="Q855" s="2"/>
      <c r="R855" s="2"/>
      <c r="S855" s="2"/>
      <c r="T855" s="2"/>
      <c r="U855" s="2"/>
      <c r="V855" s="2"/>
      <c r="W855" s="2"/>
      <c r="X855" s="2"/>
      <c r="Y855" s="2"/>
      <c r="Z855" s="2"/>
    </row>
    <row r="856">
      <c r="A856" s="2"/>
      <c r="B856" s="7"/>
      <c r="C856" s="7"/>
      <c r="D856" s="7"/>
      <c r="E856" s="7"/>
      <c r="F856" s="7"/>
      <c r="G856" s="7"/>
      <c r="H856" s="7"/>
      <c r="I856" s="7"/>
      <c r="J856" s="7"/>
      <c r="K856" s="7"/>
      <c r="L856" s="7"/>
      <c r="M856" s="7"/>
      <c r="N856" s="7"/>
      <c r="O856" s="2"/>
      <c r="P856" s="2"/>
      <c r="Q856" s="2"/>
      <c r="R856" s="2"/>
      <c r="S856" s="2"/>
      <c r="T856" s="2"/>
      <c r="U856" s="2"/>
      <c r="V856" s="2"/>
      <c r="W856" s="2"/>
      <c r="X856" s="2"/>
      <c r="Y856" s="2"/>
      <c r="Z856" s="2"/>
    </row>
    <row r="857">
      <c r="A857" s="2"/>
      <c r="B857" s="7"/>
      <c r="C857" s="7"/>
      <c r="D857" s="7"/>
      <c r="E857" s="7"/>
      <c r="F857" s="7"/>
      <c r="G857" s="7"/>
      <c r="H857" s="7"/>
      <c r="I857" s="7"/>
      <c r="J857" s="7"/>
      <c r="K857" s="7"/>
      <c r="L857" s="7"/>
      <c r="M857" s="7"/>
      <c r="N857" s="7"/>
      <c r="O857" s="2"/>
      <c r="P857" s="2"/>
      <c r="Q857" s="2"/>
      <c r="R857" s="2"/>
      <c r="S857" s="2"/>
      <c r="T857" s="2"/>
      <c r="U857" s="2"/>
      <c r="V857" s="2"/>
      <c r="W857" s="2"/>
      <c r="X857" s="2"/>
      <c r="Y857" s="2"/>
      <c r="Z857" s="2"/>
    </row>
    <row r="858">
      <c r="A858" s="2"/>
      <c r="B858" s="7"/>
      <c r="C858" s="7"/>
      <c r="D858" s="7"/>
      <c r="E858" s="7"/>
      <c r="F858" s="7"/>
      <c r="G858" s="7"/>
      <c r="H858" s="7"/>
      <c r="I858" s="7"/>
      <c r="J858" s="7"/>
      <c r="K858" s="7"/>
      <c r="L858" s="7"/>
      <c r="M858" s="7"/>
      <c r="N858" s="7"/>
      <c r="O858" s="2"/>
      <c r="P858" s="2"/>
      <c r="Q858" s="2"/>
      <c r="R858" s="2"/>
      <c r="S858" s="2"/>
      <c r="T858" s="2"/>
      <c r="U858" s="2"/>
      <c r="V858" s="2"/>
      <c r="W858" s="2"/>
      <c r="X858" s="2"/>
      <c r="Y858" s="2"/>
      <c r="Z858" s="2"/>
    </row>
    <row r="859">
      <c r="A859" s="2"/>
      <c r="B859" s="7"/>
      <c r="C859" s="7"/>
      <c r="D859" s="7"/>
      <c r="E859" s="7"/>
      <c r="F859" s="7"/>
      <c r="G859" s="7"/>
      <c r="H859" s="7"/>
      <c r="I859" s="7"/>
      <c r="J859" s="7"/>
      <c r="K859" s="7"/>
      <c r="L859" s="7"/>
      <c r="M859" s="7"/>
      <c r="N859" s="7"/>
      <c r="O859" s="2"/>
      <c r="P859" s="2"/>
      <c r="Q859" s="2"/>
      <c r="R859" s="2"/>
      <c r="S859" s="2"/>
      <c r="T859" s="2"/>
      <c r="U859" s="2"/>
      <c r="V859" s="2"/>
      <c r="W859" s="2"/>
      <c r="X859" s="2"/>
      <c r="Y859" s="2"/>
      <c r="Z859" s="2"/>
    </row>
    <row r="860">
      <c r="A860" s="2"/>
      <c r="B860" s="7"/>
      <c r="C860" s="7"/>
      <c r="D860" s="7"/>
      <c r="E860" s="7"/>
      <c r="F860" s="7"/>
      <c r="G860" s="7"/>
      <c r="H860" s="7"/>
      <c r="I860" s="7"/>
      <c r="J860" s="7"/>
      <c r="K860" s="7"/>
      <c r="L860" s="7"/>
      <c r="M860" s="7"/>
      <c r="N860" s="7"/>
      <c r="O860" s="2"/>
      <c r="P860" s="2"/>
      <c r="Q860" s="2"/>
      <c r="R860" s="2"/>
      <c r="S860" s="2"/>
      <c r="T860" s="2"/>
      <c r="U860" s="2"/>
      <c r="V860" s="2"/>
      <c r="W860" s="2"/>
      <c r="X860" s="2"/>
      <c r="Y860" s="2"/>
      <c r="Z860" s="2"/>
    </row>
    <row r="861">
      <c r="A861" s="2"/>
      <c r="B861" s="7"/>
      <c r="C861" s="7"/>
      <c r="D861" s="7"/>
      <c r="E861" s="7"/>
      <c r="F861" s="7"/>
      <c r="G861" s="7"/>
      <c r="H861" s="7"/>
      <c r="I861" s="7"/>
      <c r="J861" s="7"/>
      <c r="K861" s="7"/>
      <c r="L861" s="7"/>
      <c r="M861" s="7"/>
      <c r="N861" s="7"/>
      <c r="O861" s="2"/>
      <c r="P861" s="2"/>
      <c r="Q861" s="2"/>
      <c r="R861" s="2"/>
      <c r="S861" s="2"/>
      <c r="T861" s="2"/>
      <c r="U861" s="2"/>
      <c r="V861" s="2"/>
      <c r="W861" s="2"/>
      <c r="X861" s="2"/>
      <c r="Y861" s="2"/>
      <c r="Z861" s="2"/>
    </row>
    <row r="862">
      <c r="A862" s="2"/>
      <c r="B862" s="7"/>
      <c r="C862" s="7"/>
      <c r="D862" s="7"/>
      <c r="E862" s="7"/>
      <c r="F862" s="7"/>
      <c r="G862" s="7"/>
      <c r="H862" s="7"/>
      <c r="I862" s="7"/>
      <c r="J862" s="7"/>
      <c r="K862" s="7"/>
      <c r="L862" s="7"/>
      <c r="M862" s="7"/>
      <c r="N862" s="7"/>
      <c r="O862" s="2"/>
      <c r="P862" s="2"/>
      <c r="Q862" s="2"/>
      <c r="R862" s="2"/>
      <c r="S862" s="2"/>
      <c r="T862" s="2"/>
      <c r="U862" s="2"/>
      <c r="V862" s="2"/>
      <c r="W862" s="2"/>
      <c r="X862" s="2"/>
      <c r="Y862" s="2"/>
      <c r="Z862" s="2"/>
    </row>
    <row r="863">
      <c r="A863" s="2"/>
      <c r="B863" s="7"/>
      <c r="C863" s="7"/>
      <c r="D863" s="7"/>
      <c r="E863" s="7"/>
      <c r="F863" s="7"/>
      <c r="G863" s="7"/>
      <c r="H863" s="7"/>
      <c r="I863" s="7"/>
      <c r="J863" s="7"/>
      <c r="K863" s="7"/>
      <c r="L863" s="7"/>
      <c r="M863" s="7"/>
      <c r="N863" s="7"/>
      <c r="O863" s="2"/>
      <c r="P863" s="2"/>
      <c r="Q863" s="2"/>
      <c r="R863" s="2"/>
      <c r="S863" s="2"/>
      <c r="T863" s="2"/>
      <c r="U863" s="2"/>
      <c r="V863" s="2"/>
      <c r="W863" s="2"/>
      <c r="X863" s="2"/>
      <c r="Y863" s="2"/>
      <c r="Z863" s="2"/>
    </row>
    <row r="864">
      <c r="A864" s="2"/>
      <c r="B864" s="7"/>
      <c r="C864" s="7"/>
      <c r="D864" s="7"/>
      <c r="E864" s="7"/>
      <c r="F864" s="7"/>
      <c r="G864" s="7"/>
      <c r="H864" s="7"/>
      <c r="I864" s="7"/>
      <c r="J864" s="7"/>
      <c r="K864" s="7"/>
      <c r="L864" s="7"/>
      <c r="M864" s="7"/>
      <c r="N864" s="7"/>
      <c r="O864" s="2"/>
      <c r="P864" s="2"/>
      <c r="Q864" s="2"/>
      <c r="R864" s="2"/>
      <c r="S864" s="2"/>
      <c r="T864" s="2"/>
      <c r="U864" s="2"/>
      <c r="V864" s="2"/>
      <c r="W864" s="2"/>
      <c r="X864" s="2"/>
      <c r="Y864" s="2"/>
      <c r="Z864" s="2"/>
    </row>
    <row r="865">
      <c r="A865" s="2"/>
      <c r="B865" s="7"/>
      <c r="C865" s="7"/>
      <c r="D865" s="7"/>
      <c r="E865" s="7"/>
      <c r="F865" s="7"/>
      <c r="G865" s="7"/>
      <c r="H865" s="7"/>
      <c r="I865" s="7"/>
      <c r="J865" s="7"/>
      <c r="K865" s="7"/>
      <c r="L865" s="7"/>
      <c r="M865" s="7"/>
      <c r="N865" s="7"/>
      <c r="O865" s="2"/>
      <c r="P865" s="2"/>
      <c r="Q865" s="2"/>
      <c r="R865" s="2"/>
      <c r="S865" s="2"/>
      <c r="T865" s="2"/>
      <c r="U865" s="2"/>
      <c r="V865" s="2"/>
      <c r="W865" s="2"/>
      <c r="X865" s="2"/>
      <c r="Y865" s="2"/>
      <c r="Z865" s="2"/>
    </row>
    <row r="866">
      <c r="A866" s="2"/>
      <c r="B866" s="7"/>
      <c r="C866" s="7"/>
      <c r="D866" s="7"/>
      <c r="E866" s="7"/>
      <c r="F866" s="7"/>
      <c r="G866" s="7"/>
      <c r="H866" s="7"/>
      <c r="I866" s="7"/>
      <c r="J866" s="7"/>
      <c r="K866" s="7"/>
      <c r="L866" s="7"/>
      <c r="M866" s="7"/>
      <c r="N866" s="7"/>
      <c r="O866" s="2"/>
      <c r="P866" s="2"/>
      <c r="Q866" s="2"/>
      <c r="R866" s="2"/>
      <c r="S866" s="2"/>
      <c r="T866" s="2"/>
      <c r="U866" s="2"/>
      <c r="V866" s="2"/>
      <c r="W866" s="2"/>
      <c r="X866" s="2"/>
      <c r="Y866" s="2"/>
      <c r="Z866" s="2"/>
    </row>
    <row r="867">
      <c r="A867" s="2"/>
      <c r="B867" s="7"/>
      <c r="C867" s="7"/>
      <c r="D867" s="7"/>
      <c r="E867" s="7"/>
      <c r="F867" s="7"/>
      <c r="G867" s="7"/>
      <c r="H867" s="7"/>
      <c r="I867" s="7"/>
      <c r="J867" s="7"/>
      <c r="K867" s="7"/>
      <c r="L867" s="7"/>
      <c r="M867" s="7"/>
      <c r="N867" s="7"/>
      <c r="O867" s="2"/>
      <c r="P867" s="2"/>
      <c r="Q867" s="2"/>
      <c r="R867" s="2"/>
      <c r="S867" s="2"/>
      <c r="T867" s="2"/>
      <c r="U867" s="2"/>
      <c r="V867" s="2"/>
      <c r="W867" s="2"/>
      <c r="X867" s="2"/>
      <c r="Y867" s="2"/>
      <c r="Z867" s="2"/>
    </row>
    <row r="868">
      <c r="A868" s="2"/>
      <c r="B868" s="7"/>
      <c r="C868" s="7"/>
      <c r="D868" s="7"/>
      <c r="E868" s="7"/>
      <c r="F868" s="7"/>
      <c r="G868" s="7"/>
      <c r="H868" s="7"/>
      <c r="I868" s="7"/>
      <c r="J868" s="7"/>
      <c r="K868" s="7"/>
      <c r="L868" s="7"/>
      <c r="M868" s="7"/>
      <c r="N868" s="7"/>
      <c r="O868" s="2"/>
      <c r="P868" s="2"/>
      <c r="Q868" s="2"/>
      <c r="R868" s="2"/>
      <c r="S868" s="2"/>
      <c r="T868" s="2"/>
      <c r="U868" s="2"/>
      <c r="V868" s="2"/>
      <c r="W868" s="2"/>
      <c r="X868" s="2"/>
      <c r="Y868" s="2"/>
      <c r="Z868" s="2"/>
    </row>
    <row r="869">
      <c r="A869" s="2"/>
      <c r="B869" s="7"/>
      <c r="C869" s="7"/>
      <c r="D869" s="7"/>
      <c r="E869" s="7"/>
      <c r="F869" s="7"/>
      <c r="G869" s="7"/>
      <c r="H869" s="7"/>
      <c r="I869" s="7"/>
      <c r="J869" s="7"/>
      <c r="K869" s="7"/>
      <c r="L869" s="7"/>
      <c r="M869" s="7"/>
      <c r="N869" s="7"/>
      <c r="O869" s="2"/>
      <c r="P869" s="2"/>
      <c r="Q869" s="2"/>
      <c r="R869" s="2"/>
      <c r="S869" s="2"/>
      <c r="T869" s="2"/>
      <c r="U869" s="2"/>
      <c r="V869" s="2"/>
      <c r="W869" s="2"/>
      <c r="X869" s="2"/>
      <c r="Y869" s="2"/>
      <c r="Z869" s="2"/>
    </row>
    <row r="870">
      <c r="A870" s="2"/>
      <c r="B870" s="7"/>
      <c r="C870" s="7"/>
      <c r="D870" s="7"/>
      <c r="E870" s="7"/>
      <c r="F870" s="7"/>
      <c r="G870" s="7"/>
      <c r="H870" s="7"/>
      <c r="I870" s="7"/>
      <c r="J870" s="7"/>
      <c r="K870" s="7"/>
      <c r="L870" s="7"/>
      <c r="M870" s="7"/>
      <c r="N870" s="7"/>
      <c r="O870" s="2"/>
      <c r="P870" s="2"/>
      <c r="Q870" s="2"/>
      <c r="R870" s="2"/>
      <c r="S870" s="2"/>
      <c r="T870" s="2"/>
      <c r="U870" s="2"/>
      <c r="V870" s="2"/>
      <c r="W870" s="2"/>
      <c r="X870" s="2"/>
      <c r="Y870" s="2"/>
      <c r="Z870" s="2"/>
    </row>
    <row r="871">
      <c r="A871" s="2"/>
      <c r="B871" s="7"/>
      <c r="C871" s="7"/>
      <c r="D871" s="7"/>
      <c r="E871" s="7"/>
      <c r="F871" s="7"/>
      <c r="G871" s="7"/>
      <c r="H871" s="7"/>
      <c r="I871" s="7"/>
      <c r="J871" s="7"/>
      <c r="K871" s="7"/>
      <c r="L871" s="7"/>
      <c r="M871" s="7"/>
      <c r="N871" s="7"/>
      <c r="O871" s="2"/>
      <c r="P871" s="2"/>
      <c r="Q871" s="2"/>
      <c r="R871" s="2"/>
      <c r="S871" s="2"/>
      <c r="T871" s="2"/>
      <c r="U871" s="2"/>
      <c r="V871" s="2"/>
      <c r="W871" s="2"/>
      <c r="X871" s="2"/>
      <c r="Y871" s="2"/>
      <c r="Z871" s="2"/>
    </row>
    <row r="872">
      <c r="A872" s="2"/>
      <c r="B872" s="7"/>
      <c r="C872" s="7"/>
      <c r="D872" s="7"/>
      <c r="E872" s="7"/>
      <c r="F872" s="7"/>
      <c r="G872" s="7"/>
      <c r="H872" s="7"/>
      <c r="I872" s="7"/>
      <c r="J872" s="7"/>
      <c r="K872" s="7"/>
      <c r="L872" s="7"/>
      <c r="M872" s="7"/>
      <c r="N872" s="7"/>
      <c r="O872" s="2"/>
      <c r="P872" s="2"/>
      <c r="Q872" s="2"/>
      <c r="R872" s="2"/>
      <c r="S872" s="2"/>
      <c r="T872" s="2"/>
      <c r="U872" s="2"/>
      <c r="V872" s="2"/>
      <c r="W872" s="2"/>
      <c r="X872" s="2"/>
      <c r="Y872" s="2"/>
      <c r="Z872" s="2"/>
    </row>
    <row r="873">
      <c r="A873" s="2"/>
      <c r="B873" s="7"/>
      <c r="C873" s="7"/>
      <c r="D873" s="7"/>
      <c r="E873" s="7"/>
      <c r="F873" s="7"/>
      <c r="G873" s="7"/>
      <c r="H873" s="7"/>
      <c r="I873" s="7"/>
      <c r="J873" s="7"/>
      <c r="K873" s="7"/>
      <c r="L873" s="7"/>
      <c r="M873" s="7"/>
      <c r="N873" s="7"/>
      <c r="O873" s="2"/>
      <c r="P873" s="2"/>
      <c r="Q873" s="2"/>
      <c r="R873" s="2"/>
      <c r="S873" s="2"/>
      <c r="T873" s="2"/>
      <c r="U873" s="2"/>
      <c r="V873" s="2"/>
      <c r="W873" s="2"/>
      <c r="X873" s="2"/>
      <c r="Y873" s="2"/>
      <c r="Z873" s="2"/>
    </row>
    <row r="874">
      <c r="A874" s="2"/>
      <c r="B874" s="7"/>
      <c r="C874" s="7"/>
      <c r="D874" s="7"/>
      <c r="E874" s="7"/>
      <c r="F874" s="7"/>
      <c r="G874" s="7"/>
      <c r="H874" s="7"/>
      <c r="I874" s="7"/>
      <c r="J874" s="7"/>
      <c r="K874" s="7"/>
      <c r="L874" s="7"/>
      <c r="M874" s="7"/>
      <c r="N874" s="7"/>
      <c r="O874" s="2"/>
      <c r="P874" s="2"/>
      <c r="Q874" s="2"/>
      <c r="R874" s="2"/>
      <c r="S874" s="2"/>
      <c r="T874" s="2"/>
      <c r="U874" s="2"/>
      <c r="V874" s="2"/>
      <c r="W874" s="2"/>
      <c r="X874" s="2"/>
      <c r="Y874" s="2"/>
      <c r="Z874" s="2"/>
    </row>
    <row r="875">
      <c r="A875" s="2"/>
      <c r="B875" s="7"/>
      <c r="C875" s="7"/>
      <c r="D875" s="7"/>
      <c r="E875" s="7"/>
      <c r="F875" s="7"/>
      <c r="G875" s="7"/>
      <c r="H875" s="7"/>
      <c r="I875" s="7"/>
      <c r="J875" s="7"/>
      <c r="K875" s="7"/>
      <c r="L875" s="7"/>
      <c r="M875" s="7"/>
      <c r="N875" s="7"/>
      <c r="O875" s="2"/>
      <c r="P875" s="2"/>
      <c r="Q875" s="2"/>
      <c r="R875" s="2"/>
      <c r="S875" s="2"/>
      <c r="T875" s="2"/>
      <c r="U875" s="2"/>
      <c r="V875" s="2"/>
      <c r="W875" s="2"/>
      <c r="X875" s="2"/>
      <c r="Y875" s="2"/>
      <c r="Z875" s="2"/>
    </row>
    <row r="876">
      <c r="A876" s="2"/>
      <c r="B876" s="7"/>
      <c r="C876" s="7"/>
      <c r="D876" s="7"/>
      <c r="E876" s="7"/>
      <c r="F876" s="7"/>
      <c r="G876" s="7"/>
      <c r="H876" s="7"/>
      <c r="I876" s="7"/>
      <c r="J876" s="7"/>
      <c r="K876" s="7"/>
      <c r="L876" s="7"/>
      <c r="M876" s="7"/>
      <c r="N876" s="7"/>
      <c r="O876" s="2"/>
      <c r="P876" s="2"/>
      <c r="Q876" s="2"/>
      <c r="R876" s="2"/>
      <c r="S876" s="2"/>
      <c r="T876" s="2"/>
      <c r="U876" s="2"/>
      <c r="V876" s="2"/>
      <c r="W876" s="2"/>
      <c r="X876" s="2"/>
      <c r="Y876" s="2"/>
      <c r="Z876" s="2"/>
    </row>
    <row r="877">
      <c r="A877" s="2"/>
      <c r="B877" s="7"/>
      <c r="C877" s="7"/>
      <c r="D877" s="7"/>
      <c r="E877" s="7"/>
      <c r="F877" s="7"/>
      <c r="G877" s="7"/>
      <c r="H877" s="7"/>
      <c r="I877" s="7"/>
      <c r="J877" s="7"/>
      <c r="K877" s="7"/>
      <c r="L877" s="7"/>
      <c r="M877" s="7"/>
      <c r="N877" s="7"/>
      <c r="O877" s="2"/>
      <c r="P877" s="2"/>
      <c r="Q877" s="2"/>
      <c r="R877" s="2"/>
      <c r="S877" s="2"/>
      <c r="T877" s="2"/>
      <c r="U877" s="2"/>
      <c r="V877" s="2"/>
      <c r="W877" s="2"/>
      <c r="X877" s="2"/>
      <c r="Y877" s="2"/>
      <c r="Z877" s="2"/>
    </row>
    <row r="878">
      <c r="A878" s="2"/>
      <c r="B878" s="7"/>
      <c r="C878" s="7"/>
      <c r="D878" s="7"/>
      <c r="E878" s="7"/>
      <c r="F878" s="7"/>
      <c r="G878" s="7"/>
      <c r="H878" s="7"/>
      <c r="I878" s="7"/>
      <c r="J878" s="7"/>
      <c r="K878" s="7"/>
      <c r="L878" s="7"/>
      <c r="M878" s="7"/>
      <c r="N878" s="7"/>
      <c r="O878" s="2"/>
      <c r="P878" s="2"/>
      <c r="Q878" s="2"/>
      <c r="R878" s="2"/>
      <c r="S878" s="2"/>
      <c r="T878" s="2"/>
      <c r="U878" s="2"/>
      <c r="V878" s="2"/>
      <c r="W878" s="2"/>
      <c r="X878" s="2"/>
      <c r="Y878" s="2"/>
      <c r="Z878" s="2"/>
    </row>
    <row r="879">
      <c r="A879" s="2"/>
      <c r="B879" s="7"/>
      <c r="C879" s="7"/>
      <c r="D879" s="7"/>
      <c r="E879" s="7"/>
      <c r="F879" s="7"/>
      <c r="G879" s="7"/>
      <c r="H879" s="7"/>
      <c r="I879" s="7"/>
      <c r="J879" s="7"/>
      <c r="K879" s="7"/>
      <c r="L879" s="7"/>
      <c r="M879" s="7"/>
      <c r="N879" s="7"/>
      <c r="O879" s="2"/>
      <c r="P879" s="2"/>
      <c r="Q879" s="2"/>
      <c r="R879" s="2"/>
      <c r="S879" s="2"/>
      <c r="T879" s="2"/>
      <c r="U879" s="2"/>
      <c r="V879" s="2"/>
      <c r="W879" s="2"/>
      <c r="X879" s="2"/>
      <c r="Y879" s="2"/>
      <c r="Z879" s="2"/>
    </row>
    <row r="880">
      <c r="A880" s="2"/>
      <c r="B880" s="7"/>
      <c r="C880" s="7"/>
      <c r="D880" s="7"/>
      <c r="E880" s="7"/>
      <c r="F880" s="7"/>
      <c r="G880" s="7"/>
      <c r="H880" s="7"/>
      <c r="I880" s="7"/>
      <c r="J880" s="7"/>
      <c r="K880" s="7"/>
      <c r="L880" s="7"/>
      <c r="M880" s="7"/>
      <c r="N880" s="7"/>
      <c r="O880" s="2"/>
      <c r="P880" s="2"/>
      <c r="Q880" s="2"/>
      <c r="R880" s="2"/>
      <c r="S880" s="2"/>
      <c r="T880" s="2"/>
      <c r="U880" s="2"/>
      <c r="V880" s="2"/>
      <c r="W880" s="2"/>
      <c r="X880" s="2"/>
      <c r="Y880" s="2"/>
      <c r="Z880" s="2"/>
    </row>
    <row r="881">
      <c r="A881" s="2"/>
      <c r="B881" s="7"/>
      <c r="C881" s="7"/>
      <c r="D881" s="7"/>
      <c r="E881" s="7"/>
      <c r="F881" s="7"/>
      <c r="G881" s="7"/>
      <c r="H881" s="7"/>
      <c r="I881" s="7"/>
      <c r="J881" s="7"/>
      <c r="K881" s="7"/>
      <c r="L881" s="7"/>
      <c r="M881" s="7"/>
      <c r="N881" s="7"/>
      <c r="O881" s="2"/>
      <c r="P881" s="2"/>
      <c r="Q881" s="2"/>
      <c r="R881" s="2"/>
      <c r="S881" s="2"/>
      <c r="T881" s="2"/>
      <c r="U881" s="2"/>
      <c r="V881" s="2"/>
      <c r="W881" s="2"/>
      <c r="X881" s="2"/>
      <c r="Y881" s="2"/>
      <c r="Z881" s="2"/>
    </row>
    <row r="882">
      <c r="A882" s="2"/>
      <c r="B882" s="7"/>
      <c r="C882" s="7"/>
      <c r="D882" s="7"/>
      <c r="E882" s="7"/>
      <c r="F882" s="7"/>
      <c r="G882" s="7"/>
      <c r="H882" s="7"/>
      <c r="I882" s="7"/>
      <c r="J882" s="7"/>
      <c r="K882" s="7"/>
      <c r="L882" s="7"/>
      <c r="M882" s="7"/>
      <c r="N882" s="7"/>
      <c r="O882" s="2"/>
      <c r="P882" s="2"/>
      <c r="Q882" s="2"/>
      <c r="R882" s="2"/>
      <c r="S882" s="2"/>
      <c r="T882" s="2"/>
      <c r="U882" s="2"/>
      <c r="V882" s="2"/>
      <c r="W882" s="2"/>
      <c r="X882" s="2"/>
      <c r="Y882" s="2"/>
      <c r="Z882" s="2"/>
    </row>
    <row r="883">
      <c r="A883" s="2"/>
      <c r="B883" s="7"/>
      <c r="C883" s="7"/>
      <c r="D883" s="7"/>
      <c r="E883" s="7"/>
      <c r="F883" s="7"/>
      <c r="G883" s="7"/>
      <c r="H883" s="7"/>
      <c r="I883" s="7"/>
      <c r="J883" s="7"/>
      <c r="K883" s="7"/>
      <c r="L883" s="7"/>
      <c r="M883" s="7"/>
      <c r="N883" s="7"/>
      <c r="O883" s="2"/>
      <c r="P883" s="2"/>
      <c r="Q883" s="2"/>
      <c r="R883" s="2"/>
      <c r="S883" s="2"/>
      <c r="T883" s="2"/>
      <c r="U883" s="2"/>
      <c r="V883" s="2"/>
      <c r="W883" s="2"/>
      <c r="X883" s="2"/>
      <c r="Y883" s="2"/>
      <c r="Z883" s="2"/>
    </row>
    <row r="884">
      <c r="A884" s="2"/>
      <c r="B884" s="7"/>
      <c r="C884" s="7"/>
      <c r="D884" s="7"/>
      <c r="E884" s="7"/>
      <c r="F884" s="7"/>
      <c r="G884" s="7"/>
      <c r="H884" s="7"/>
      <c r="I884" s="7"/>
      <c r="J884" s="7"/>
      <c r="K884" s="7"/>
      <c r="L884" s="7"/>
      <c r="M884" s="7"/>
      <c r="N884" s="7"/>
      <c r="O884" s="2"/>
      <c r="P884" s="2"/>
      <c r="Q884" s="2"/>
      <c r="R884" s="2"/>
      <c r="S884" s="2"/>
      <c r="T884" s="2"/>
      <c r="U884" s="2"/>
      <c r="V884" s="2"/>
      <c r="W884" s="2"/>
      <c r="X884" s="2"/>
      <c r="Y884" s="2"/>
      <c r="Z884" s="2"/>
    </row>
    <row r="885">
      <c r="A885" s="2"/>
      <c r="B885" s="7"/>
      <c r="C885" s="7"/>
      <c r="D885" s="7"/>
      <c r="E885" s="7"/>
      <c r="F885" s="7"/>
      <c r="G885" s="7"/>
      <c r="H885" s="7"/>
      <c r="I885" s="7"/>
      <c r="J885" s="7"/>
      <c r="K885" s="7"/>
      <c r="L885" s="7"/>
      <c r="M885" s="7"/>
      <c r="N885" s="7"/>
      <c r="O885" s="2"/>
      <c r="P885" s="2"/>
      <c r="Q885" s="2"/>
      <c r="R885" s="2"/>
      <c r="S885" s="2"/>
      <c r="T885" s="2"/>
      <c r="U885" s="2"/>
      <c r="V885" s="2"/>
      <c r="W885" s="2"/>
      <c r="X885" s="2"/>
      <c r="Y885" s="2"/>
      <c r="Z885" s="2"/>
    </row>
    <row r="886">
      <c r="A886" s="2"/>
      <c r="B886" s="7"/>
      <c r="C886" s="7"/>
      <c r="D886" s="7"/>
      <c r="E886" s="7"/>
      <c r="F886" s="7"/>
      <c r="G886" s="7"/>
      <c r="H886" s="7"/>
      <c r="I886" s="7"/>
      <c r="J886" s="7"/>
      <c r="K886" s="7"/>
      <c r="L886" s="7"/>
      <c r="M886" s="7"/>
      <c r="N886" s="7"/>
      <c r="O886" s="2"/>
      <c r="P886" s="2"/>
      <c r="Q886" s="2"/>
      <c r="R886" s="2"/>
      <c r="S886" s="2"/>
      <c r="T886" s="2"/>
      <c r="U886" s="2"/>
      <c r="V886" s="2"/>
      <c r="W886" s="2"/>
      <c r="X886" s="2"/>
      <c r="Y886" s="2"/>
      <c r="Z886" s="2"/>
    </row>
    <row r="887">
      <c r="A887" s="2"/>
      <c r="B887" s="7"/>
      <c r="C887" s="7"/>
      <c r="D887" s="7"/>
      <c r="E887" s="7"/>
      <c r="F887" s="7"/>
      <c r="G887" s="7"/>
      <c r="H887" s="7"/>
      <c r="I887" s="7"/>
      <c r="J887" s="7"/>
      <c r="K887" s="7"/>
      <c r="L887" s="7"/>
      <c r="M887" s="7"/>
      <c r="N887" s="7"/>
      <c r="O887" s="2"/>
      <c r="P887" s="2"/>
      <c r="Q887" s="2"/>
      <c r="R887" s="2"/>
      <c r="S887" s="2"/>
      <c r="T887" s="2"/>
      <c r="U887" s="2"/>
      <c r="V887" s="2"/>
      <c r="W887" s="2"/>
      <c r="X887" s="2"/>
      <c r="Y887" s="2"/>
      <c r="Z887" s="2"/>
    </row>
    <row r="888">
      <c r="A888" s="2"/>
      <c r="B888" s="7"/>
      <c r="C888" s="7"/>
      <c r="D888" s="7"/>
      <c r="E888" s="7"/>
      <c r="F888" s="7"/>
      <c r="G888" s="7"/>
      <c r="H888" s="7"/>
      <c r="I888" s="7"/>
      <c r="J888" s="7"/>
      <c r="K888" s="7"/>
      <c r="L888" s="7"/>
      <c r="M888" s="7"/>
      <c r="N888" s="7"/>
      <c r="O888" s="2"/>
      <c r="P888" s="2"/>
      <c r="Q888" s="2"/>
      <c r="R888" s="2"/>
      <c r="S888" s="2"/>
      <c r="T888" s="2"/>
      <c r="U888" s="2"/>
      <c r="V888" s="2"/>
      <c r="W888" s="2"/>
      <c r="X888" s="2"/>
      <c r="Y888" s="2"/>
      <c r="Z888" s="2"/>
    </row>
    <row r="889">
      <c r="A889" s="2"/>
      <c r="B889" s="7"/>
      <c r="C889" s="7"/>
      <c r="D889" s="7"/>
      <c r="E889" s="7"/>
      <c r="F889" s="7"/>
      <c r="G889" s="7"/>
      <c r="H889" s="7"/>
      <c r="I889" s="7"/>
      <c r="J889" s="7"/>
      <c r="K889" s="7"/>
      <c r="L889" s="7"/>
      <c r="M889" s="7"/>
      <c r="N889" s="7"/>
      <c r="O889" s="2"/>
      <c r="P889" s="2"/>
      <c r="Q889" s="2"/>
      <c r="R889" s="2"/>
      <c r="S889" s="2"/>
      <c r="T889" s="2"/>
      <c r="U889" s="2"/>
      <c r="V889" s="2"/>
      <c r="W889" s="2"/>
      <c r="X889" s="2"/>
      <c r="Y889" s="2"/>
      <c r="Z889" s="2"/>
    </row>
    <row r="890">
      <c r="A890" s="2"/>
      <c r="B890" s="7"/>
      <c r="C890" s="7"/>
      <c r="D890" s="7"/>
      <c r="E890" s="7"/>
      <c r="F890" s="7"/>
      <c r="G890" s="7"/>
      <c r="H890" s="7"/>
      <c r="I890" s="7"/>
      <c r="J890" s="7"/>
      <c r="K890" s="7"/>
      <c r="L890" s="7"/>
      <c r="M890" s="7"/>
      <c r="N890" s="7"/>
      <c r="O890" s="2"/>
      <c r="P890" s="2"/>
      <c r="Q890" s="2"/>
      <c r="R890" s="2"/>
      <c r="S890" s="2"/>
      <c r="T890" s="2"/>
      <c r="U890" s="2"/>
      <c r="V890" s="2"/>
      <c r="W890" s="2"/>
      <c r="X890" s="2"/>
      <c r="Y890" s="2"/>
      <c r="Z890" s="2"/>
    </row>
    <row r="891">
      <c r="A891" s="2"/>
      <c r="B891" s="7"/>
      <c r="C891" s="7"/>
      <c r="D891" s="7"/>
      <c r="E891" s="7"/>
      <c r="F891" s="7"/>
      <c r="G891" s="7"/>
      <c r="H891" s="7"/>
      <c r="I891" s="7"/>
      <c r="J891" s="7"/>
      <c r="K891" s="7"/>
      <c r="L891" s="7"/>
      <c r="M891" s="7"/>
      <c r="N891" s="7"/>
      <c r="O891" s="2"/>
      <c r="P891" s="2"/>
      <c r="Q891" s="2"/>
      <c r="R891" s="2"/>
      <c r="S891" s="2"/>
      <c r="T891" s="2"/>
      <c r="U891" s="2"/>
      <c r="V891" s="2"/>
      <c r="W891" s="2"/>
      <c r="X891" s="2"/>
      <c r="Y891" s="2"/>
      <c r="Z891" s="2"/>
    </row>
    <row r="892">
      <c r="A892" s="2"/>
      <c r="B892" s="7"/>
      <c r="C892" s="7"/>
      <c r="D892" s="7"/>
      <c r="E892" s="7"/>
      <c r="F892" s="7"/>
      <c r="G892" s="7"/>
      <c r="H892" s="7"/>
      <c r="I892" s="7"/>
      <c r="J892" s="7"/>
      <c r="K892" s="7"/>
      <c r="L892" s="7"/>
      <c r="M892" s="7"/>
      <c r="N892" s="7"/>
      <c r="O892" s="2"/>
      <c r="P892" s="2"/>
      <c r="Q892" s="2"/>
      <c r="R892" s="2"/>
      <c r="S892" s="2"/>
      <c r="T892" s="2"/>
      <c r="U892" s="2"/>
      <c r="V892" s="2"/>
      <c r="W892" s="2"/>
      <c r="X892" s="2"/>
      <c r="Y892" s="2"/>
      <c r="Z892" s="2"/>
    </row>
    <row r="893">
      <c r="A893" s="2"/>
      <c r="B893" s="7"/>
      <c r="C893" s="7"/>
      <c r="D893" s="7"/>
      <c r="E893" s="7"/>
      <c r="F893" s="7"/>
      <c r="G893" s="7"/>
      <c r="H893" s="7"/>
      <c r="I893" s="7"/>
      <c r="J893" s="7"/>
      <c r="K893" s="7"/>
      <c r="L893" s="7"/>
      <c r="M893" s="7"/>
      <c r="N893" s="7"/>
      <c r="O893" s="2"/>
      <c r="P893" s="2"/>
      <c r="Q893" s="2"/>
      <c r="R893" s="2"/>
      <c r="S893" s="2"/>
      <c r="T893" s="2"/>
      <c r="U893" s="2"/>
      <c r="V893" s="2"/>
      <c r="W893" s="2"/>
      <c r="X893" s="2"/>
      <c r="Y893" s="2"/>
      <c r="Z893" s="2"/>
    </row>
    <row r="894">
      <c r="A894" s="2"/>
      <c r="B894" s="7"/>
      <c r="C894" s="7"/>
      <c r="D894" s="7"/>
      <c r="E894" s="7"/>
      <c r="F894" s="7"/>
      <c r="G894" s="7"/>
      <c r="H894" s="7"/>
      <c r="I894" s="7"/>
      <c r="J894" s="7"/>
      <c r="K894" s="7"/>
      <c r="L894" s="7"/>
      <c r="M894" s="7"/>
      <c r="N894" s="7"/>
      <c r="O894" s="2"/>
      <c r="P894" s="2"/>
      <c r="Q894" s="2"/>
      <c r="R894" s="2"/>
      <c r="S894" s="2"/>
      <c r="T894" s="2"/>
      <c r="U894" s="2"/>
      <c r="V894" s="2"/>
      <c r="W894" s="2"/>
      <c r="X894" s="2"/>
      <c r="Y894" s="2"/>
      <c r="Z894" s="2"/>
    </row>
    <row r="895">
      <c r="A895" s="2"/>
      <c r="B895" s="7"/>
      <c r="C895" s="7"/>
      <c r="D895" s="7"/>
      <c r="E895" s="7"/>
      <c r="F895" s="7"/>
      <c r="G895" s="7"/>
      <c r="H895" s="7"/>
      <c r="I895" s="7"/>
      <c r="J895" s="7"/>
      <c r="K895" s="7"/>
      <c r="L895" s="7"/>
      <c r="M895" s="7"/>
      <c r="N895" s="7"/>
      <c r="O895" s="2"/>
      <c r="P895" s="2"/>
      <c r="Q895" s="2"/>
      <c r="R895" s="2"/>
      <c r="S895" s="2"/>
      <c r="T895" s="2"/>
      <c r="U895" s="2"/>
      <c r="V895" s="2"/>
      <c r="W895" s="2"/>
      <c r="X895" s="2"/>
      <c r="Y895" s="2"/>
      <c r="Z895" s="2"/>
    </row>
    <row r="896">
      <c r="A896" s="2"/>
      <c r="B896" s="7"/>
      <c r="C896" s="7"/>
      <c r="D896" s="7"/>
      <c r="E896" s="7"/>
      <c r="F896" s="7"/>
      <c r="G896" s="7"/>
      <c r="H896" s="7"/>
      <c r="I896" s="7"/>
      <c r="J896" s="7"/>
      <c r="K896" s="7"/>
      <c r="L896" s="7"/>
      <c r="M896" s="7"/>
      <c r="N896" s="7"/>
      <c r="O896" s="2"/>
      <c r="P896" s="2"/>
      <c r="Q896" s="2"/>
      <c r="R896" s="2"/>
      <c r="S896" s="2"/>
      <c r="T896" s="2"/>
      <c r="U896" s="2"/>
      <c r="V896" s="2"/>
      <c r="W896" s="2"/>
      <c r="X896" s="2"/>
      <c r="Y896" s="2"/>
      <c r="Z896" s="2"/>
    </row>
    <row r="897">
      <c r="A897" s="2"/>
      <c r="B897" s="7"/>
      <c r="C897" s="7"/>
      <c r="D897" s="7"/>
      <c r="E897" s="7"/>
      <c r="F897" s="7"/>
      <c r="G897" s="7"/>
      <c r="H897" s="7"/>
      <c r="I897" s="7"/>
      <c r="J897" s="7"/>
      <c r="K897" s="7"/>
      <c r="L897" s="7"/>
      <c r="M897" s="7"/>
      <c r="N897" s="7"/>
      <c r="O897" s="2"/>
      <c r="P897" s="2"/>
      <c r="Q897" s="2"/>
      <c r="R897" s="2"/>
      <c r="S897" s="2"/>
      <c r="T897" s="2"/>
      <c r="U897" s="2"/>
      <c r="V897" s="2"/>
      <c r="W897" s="2"/>
      <c r="X897" s="2"/>
      <c r="Y897" s="2"/>
      <c r="Z897" s="2"/>
    </row>
    <row r="898">
      <c r="A898" s="2"/>
      <c r="B898" s="7"/>
      <c r="C898" s="7"/>
      <c r="D898" s="7"/>
      <c r="E898" s="7"/>
      <c r="F898" s="7"/>
      <c r="G898" s="7"/>
      <c r="H898" s="7"/>
      <c r="I898" s="7"/>
      <c r="J898" s="7"/>
      <c r="K898" s="7"/>
      <c r="L898" s="7"/>
      <c r="M898" s="7"/>
      <c r="N898" s="7"/>
      <c r="O898" s="2"/>
      <c r="P898" s="2"/>
      <c r="Q898" s="2"/>
      <c r="R898" s="2"/>
      <c r="S898" s="2"/>
      <c r="T898" s="2"/>
      <c r="U898" s="2"/>
      <c r="V898" s="2"/>
      <c r="W898" s="2"/>
      <c r="X898" s="2"/>
      <c r="Y898" s="2"/>
      <c r="Z898" s="2"/>
    </row>
    <row r="899">
      <c r="A899" s="2"/>
      <c r="B899" s="7"/>
      <c r="C899" s="7"/>
      <c r="D899" s="7"/>
      <c r="E899" s="7"/>
      <c r="F899" s="7"/>
      <c r="G899" s="7"/>
      <c r="H899" s="7"/>
      <c r="I899" s="7"/>
      <c r="J899" s="7"/>
      <c r="K899" s="7"/>
      <c r="L899" s="7"/>
      <c r="M899" s="7"/>
      <c r="N899" s="7"/>
      <c r="O899" s="2"/>
      <c r="P899" s="2"/>
      <c r="Q899" s="2"/>
      <c r="R899" s="2"/>
      <c r="S899" s="2"/>
      <c r="T899" s="2"/>
      <c r="U899" s="2"/>
      <c r="V899" s="2"/>
      <c r="W899" s="2"/>
      <c r="X899" s="2"/>
      <c r="Y899" s="2"/>
      <c r="Z899" s="2"/>
    </row>
    <row r="900">
      <c r="A900" s="2"/>
      <c r="B900" s="7"/>
      <c r="C900" s="7"/>
      <c r="D900" s="7"/>
      <c r="E900" s="7"/>
      <c r="F900" s="7"/>
      <c r="G900" s="7"/>
      <c r="H900" s="7"/>
      <c r="I900" s="7"/>
      <c r="J900" s="7"/>
      <c r="K900" s="7"/>
      <c r="L900" s="7"/>
      <c r="M900" s="7"/>
      <c r="N900" s="7"/>
      <c r="O900" s="2"/>
      <c r="P900" s="2"/>
      <c r="Q900" s="2"/>
      <c r="R900" s="2"/>
      <c r="S900" s="2"/>
      <c r="T900" s="2"/>
      <c r="U900" s="2"/>
      <c r="V900" s="2"/>
      <c r="W900" s="2"/>
      <c r="X900" s="2"/>
      <c r="Y900" s="2"/>
      <c r="Z900" s="2"/>
    </row>
    <row r="901">
      <c r="A901" s="2"/>
      <c r="B901" s="7"/>
      <c r="C901" s="7"/>
      <c r="D901" s="7"/>
      <c r="E901" s="7"/>
      <c r="F901" s="7"/>
      <c r="G901" s="7"/>
      <c r="H901" s="7"/>
      <c r="I901" s="7"/>
      <c r="J901" s="7"/>
      <c r="K901" s="7"/>
      <c r="L901" s="7"/>
      <c r="M901" s="7"/>
      <c r="N901" s="7"/>
      <c r="O901" s="2"/>
      <c r="P901" s="2"/>
      <c r="Q901" s="2"/>
      <c r="R901" s="2"/>
      <c r="S901" s="2"/>
      <c r="T901" s="2"/>
      <c r="U901" s="2"/>
      <c r="V901" s="2"/>
      <c r="W901" s="2"/>
      <c r="X901" s="2"/>
      <c r="Y901" s="2"/>
      <c r="Z901" s="2"/>
    </row>
    <row r="902">
      <c r="A902" s="2"/>
      <c r="B902" s="7"/>
      <c r="C902" s="7"/>
      <c r="D902" s="7"/>
      <c r="E902" s="7"/>
      <c r="F902" s="7"/>
      <c r="G902" s="7"/>
      <c r="H902" s="7"/>
      <c r="I902" s="7"/>
      <c r="J902" s="7"/>
      <c r="K902" s="7"/>
      <c r="L902" s="7"/>
      <c r="M902" s="7"/>
      <c r="N902" s="7"/>
      <c r="O902" s="2"/>
      <c r="P902" s="2"/>
      <c r="Q902" s="2"/>
      <c r="R902" s="2"/>
      <c r="S902" s="2"/>
      <c r="T902" s="2"/>
      <c r="U902" s="2"/>
      <c r="V902" s="2"/>
      <c r="W902" s="2"/>
      <c r="X902" s="2"/>
      <c r="Y902" s="2"/>
      <c r="Z902" s="2"/>
    </row>
    <row r="903">
      <c r="A903" s="2"/>
      <c r="B903" s="7"/>
      <c r="C903" s="7"/>
      <c r="D903" s="7"/>
      <c r="E903" s="7"/>
      <c r="F903" s="7"/>
      <c r="G903" s="7"/>
      <c r="H903" s="7"/>
      <c r="I903" s="7"/>
      <c r="J903" s="7"/>
      <c r="K903" s="7"/>
      <c r="L903" s="7"/>
      <c r="M903" s="7"/>
      <c r="N903" s="7"/>
      <c r="O903" s="2"/>
      <c r="P903" s="2"/>
      <c r="Q903" s="2"/>
      <c r="R903" s="2"/>
      <c r="S903" s="2"/>
      <c r="T903" s="2"/>
      <c r="U903" s="2"/>
      <c r="V903" s="2"/>
      <c r="W903" s="2"/>
      <c r="X903" s="2"/>
      <c r="Y903" s="2"/>
      <c r="Z903" s="2"/>
    </row>
    <row r="904">
      <c r="A904" s="2"/>
      <c r="B904" s="7"/>
      <c r="C904" s="7"/>
      <c r="D904" s="7"/>
      <c r="E904" s="7"/>
      <c r="F904" s="7"/>
      <c r="G904" s="7"/>
      <c r="H904" s="7"/>
      <c r="I904" s="7"/>
      <c r="J904" s="7"/>
      <c r="K904" s="7"/>
      <c r="L904" s="7"/>
      <c r="M904" s="7"/>
      <c r="N904" s="7"/>
      <c r="O904" s="2"/>
      <c r="P904" s="2"/>
      <c r="Q904" s="2"/>
      <c r="R904" s="2"/>
      <c r="S904" s="2"/>
      <c r="T904" s="2"/>
      <c r="U904" s="2"/>
      <c r="V904" s="2"/>
      <c r="W904" s="2"/>
      <c r="X904" s="2"/>
      <c r="Y904" s="2"/>
      <c r="Z904" s="2"/>
    </row>
    <row r="905">
      <c r="A905" s="2"/>
      <c r="B905" s="7"/>
      <c r="C905" s="7"/>
      <c r="D905" s="7"/>
      <c r="E905" s="7"/>
      <c r="F905" s="7"/>
      <c r="G905" s="7"/>
      <c r="H905" s="7"/>
      <c r="I905" s="7"/>
      <c r="J905" s="7"/>
      <c r="K905" s="7"/>
      <c r="L905" s="7"/>
      <c r="M905" s="7"/>
      <c r="N905" s="7"/>
      <c r="O905" s="2"/>
      <c r="P905" s="2"/>
      <c r="Q905" s="2"/>
      <c r="R905" s="2"/>
      <c r="S905" s="2"/>
      <c r="T905" s="2"/>
      <c r="U905" s="2"/>
      <c r="V905" s="2"/>
      <c r="W905" s="2"/>
      <c r="X905" s="2"/>
      <c r="Y905" s="2"/>
      <c r="Z905" s="2"/>
    </row>
    <row r="906">
      <c r="A906" s="2"/>
      <c r="B906" s="7"/>
      <c r="C906" s="7"/>
      <c r="D906" s="7"/>
      <c r="E906" s="7"/>
      <c r="F906" s="7"/>
      <c r="G906" s="7"/>
      <c r="H906" s="7"/>
      <c r="I906" s="7"/>
      <c r="J906" s="7"/>
      <c r="K906" s="7"/>
      <c r="L906" s="7"/>
      <c r="M906" s="7"/>
      <c r="N906" s="7"/>
      <c r="O906" s="2"/>
      <c r="P906" s="2"/>
      <c r="Q906" s="2"/>
      <c r="R906" s="2"/>
      <c r="S906" s="2"/>
      <c r="T906" s="2"/>
      <c r="U906" s="2"/>
      <c r="V906" s="2"/>
      <c r="W906" s="2"/>
      <c r="X906" s="2"/>
      <c r="Y906" s="2"/>
      <c r="Z906" s="2"/>
    </row>
    <row r="907">
      <c r="A907" s="2"/>
      <c r="B907" s="7"/>
      <c r="C907" s="7"/>
      <c r="D907" s="7"/>
      <c r="E907" s="7"/>
      <c r="F907" s="7"/>
      <c r="G907" s="7"/>
      <c r="H907" s="7"/>
      <c r="I907" s="7"/>
      <c r="J907" s="7"/>
      <c r="K907" s="7"/>
      <c r="L907" s="7"/>
      <c r="M907" s="7"/>
      <c r="N907" s="7"/>
      <c r="O907" s="2"/>
      <c r="P907" s="2"/>
      <c r="Q907" s="2"/>
      <c r="R907" s="2"/>
      <c r="S907" s="2"/>
      <c r="T907" s="2"/>
      <c r="U907" s="2"/>
      <c r="V907" s="2"/>
      <c r="W907" s="2"/>
      <c r="X907" s="2"/>
      <c r="Y907" s="2"/>
      <c r="Z907" s="2"/>
    </row>
    <row r="908">
      <c r="A908" s="2"/>
      <c r="B908" s="7"/>
      <c r="C908" s="7"/>
      <c r="D908" s="7"/>
      <c r="E908" s="7"/>
      <c r="F908" s="7"/>
      <c r="G908" s="7"/>
      <c r="H908" s="7"/>
      <c r="I908" s="7"/>
      <c r="J908" s="7"/>
      <c r="K908" s="7"/>
      <c r="L908" s="7"/>
      <c r="M908" s="7"/>
      <c r="N908" s="7"/>
      <c r="O908" s="2"/>
      <c r="P908" s="2"/>
      <c r="Q908" s="2"/>
      <c r="R908" s="2"/>
      <c r="S908" s="2"/>
      <c r="T908" s="2"/>
      <c r="U908" s="2"/>
      <c r="V908" s="2"/>
      <c r="W908" s="2"/>
      <c r="X908" s="2"/>
      <c r="Y908" s="2"/>
      <c r="Z908" s="2"/>
    </row>
    <row r="909">
      <c r="A909" s="2"/>
      <c r="B909" s="7"/>
      <c r="C909" s="7"/>
      <c r="D909" s="7"/>
      <c r="E909" s="7"/>
      <c r="F909" s="7"/>
      <c r="G909" s="7"/>
      <c r="H909" s="7"/>
      <c r="I909" s="7"/>
      <c r="J909" s="7"/>
      <c r="K909" s="7"/>
      <c r="L909" s="7"/>
      <c r="M909" s="7"/>
      <c r="N909" s="7"/>
      <c r="O909" s="2"/>
      <c r="P909" s="2"/>
      <c r="Q909" s="2"/>
      <c r="R909" s="2"/>
      <c r="S909" s="2"/>
      <c r="T909" s="2"/>
      <c r="U909" s="2"/>
      <c r="V909" s="2"/>
      <c r="W909" s="2"/>
      <c r="X909" s="2"/>
      <c r="Y909" s="2"/>
      <c r="Z909" s="2"/>
    </row>
    <row r="910">
      <c r="A910" s="2"/>
      <c r="B910" s="7"/>
      <c r="C910" s="7"/>
      <c r="D910" s="7"/>
      <c r="E910" s="7"/>
      <c r="F910" s="7"/>
      <c r="G910" s="7"/>
      <c r="H910" s="7"/>
      <c r="I910" s="7"/>
      <c r="J910" s="7"/>
      <c r="K910" s="7"/>
      <c r="L910" s="7"/>
      <c r="M910" s="7"/>
      <c r="N910" s="7"/>
      <c r="O910" s="2"/>
      <c r="P910" s="2"/>
      <c r="Q910" s="2"/>
      <c r="R910" s="2"/>
      <c r="S910" s="2"/>
      <c r="T910" s="2"/>
      <c r="U910" s="2"/>
      <c r="V910" s="2"/>
      <c r="W910" s="2"/>
      <c r="X910" s="2"/>
      <c r="Y910" s="2"/>
      <c r="Z910" s="2"/>
    </row>
    <row r="911">
      <c r="A911" s="2"/>
      <c r="B911" s="7"/>
      <c r="C911" s="7"/>
      <c r="D911" s="7"/>
      <c r="E911" s="7"/>
      <c r="F911" s="7"/>
      <c r="G911" s="7"/>
      <c r="H911" s="7"/>
      <c r="I911" s="7"/>
      <c r="J911" s="7"/>
      <c r="K911" s="7"/>
      <c r="L911" s="7"/>
      <c r="M911" s="7"/>
      <c r="N911" s="7"/>
      <c r="O911" s="2"/>
      <c r="P911" s="2"/>
      <c r="Q911" s="2"/>
      <c r="R911" s="2"/>
      <c r="S911" s="2"/>
      <c r="T911" s="2"/>
      <c r="U911" s="2"/>
      <c r="V911" s="2"/>
      <c r="W911" s="2"/>
      <c r="X911" s="2"/>
      <c r="Y911" s="2"/>
      <c r="Z911" s="2"/>
    </row>
    <row r="912">
      <c r="A912" s="2"/>
      <c r="B912" s="7"/>
      <c r="C912" s="7"/>
      <c r="D912" s="7"/>
      <c r="E912" s="7"/>
      <c r="F912" s="7"/>
      <c r="G912" s="7"/>
      <c r="H912" s="7"/>
      <c r="I912" s="7"/>
      <c r="J912" s="7"/>
      <c r="K912" s="7"/>
      <c r="L912" s="7"/>
      <c r="M912" s="7"/>
      <c r="N912" s="7"/>
      <c r="O912" s="2"/>
      <c r="P912" s="2"/>
      <c r="Q912" s="2"/>
      <c r="R912" s="2"/>
      <c r="S912" s="2"/>
      <c r="T912" s="2"/>
      <c r="U912" s="2"/>
      <c r="V912" s="2"/>
      <c r="W912" s="2"/>
      <c r="X912" s="2"/>
      <c r="Y912" s="2"/>
      <c r="Z912" s="2"/>
    </row>
    <row r="913">
      <c r="A913" s="2"/>
      <c r="B913" s="7"/>
      <c r="C913" s="7"/>
      <c r="D913" s="7"/>
      <c r="E913" s="7"/>
      <c r="F913" s="7"/>
      <c r="G913" s="7"/>
      <c r="H913" s="7"/>
      <c r="I913" s="7"/>
      <c r="J913" s="7"/>
      <c r="K913" s="7"/>
      <c r="L913" s="7"/>
      <c r="M913" s="7"/>
      <c r="N913" s="7"/>
      <c r="O913" s="2"/>
      <c r="P913" s="2"/>
      <c r="Q913" s="2"/>
      <c r="R913" s="2"/>
      <c r="S913" s="2"/>
      <c r="T913" s="2"/>
      <c r="U913" s="2"/>
      <c r="V913" s="2"/>
      <c r="W913" s="2"/>
      <c r="X913" s="2"/>
      <c r="Y913" s="2"/>
      <c r="Z913" s="2"/>
    </row>
    <row r="914">
      <c r="A914" s="2"/>
      <c r="B914" s="7"/>
      <c r="C914" s="7"/>
      <c r="D914" s="7"/>
      <c r="E914" s="7"/>
      <c r="F914" s="7"/>
      <c r="G914" s="7"/>
      <c r="H914" s="7"/>
      <c r="I914" s="7"/>
      <c r="J914" s="7"/>
      <c r="K914" s="7"/>
      <c r="L914" s="7"/>
      <c r="M914" s="7"/>
      <c r="N914" s="7"/>
      <c r="O914" s="2"/>
      <c r="P914" s="2"/>
      <c r="Q914" s="2"/>
      <c r="R914" s="2"/>
      <c r="S914" s="2"/>
      <c r="T914" s="2"/>
      <c r="U914" s="2"/>
      <c r="V914" s="2"/>
      <c r="W914" s="2"/>
      <c r="X914" s="2"/>
      <c r="Y914" s="2"/>
      <c r="Z914" s="2"/>
    </row>
    <row r="915">
      <c r="A915" s="2"/>
      <c r="B915" s="7"/>
      <c r="C915" s="7"/>
      <c r="D915" s="7"/>
      <c r="E915" s="7"/>
      <c r="F915" s="7"/>
      <c r="G915" s="7"/>
      <c r="H915" s="7"/>
      <c r="I915" s="7"/>
      <c r="J915" s="7"/>
      <c r="K915" s="7"/>
      <c r="L915" s="7"/>
      <c r="M915" s="7"/>
      <c r="N915" s="7"/>
      <c r="O915" s="2"/>
      <c r="P915" s="2"/>
      <c r="Q915" s="2"/>
      <c r="R915" s="2"/>
      <c r="S915" s="2"/>
      <c r="T915" s="2"/>
      <c r="U915" s="2"/>
      <c r="V915" s="2"/>
      <c r="W915" s="2"/>
      <c r="X915" s="2"/>
      <c r="Y915" s="2"/>
      <c r="Z915" s="2"/>
    </row>
    <row r="916">
      <c r="A916" s="2"/>
      <c r="B916" s="7"/>
      <c r="C916" s="7"/>
      <c r="D916" s="7"/>
      <c r="E916" s="7"/>
      <c r="F916" s="7"/>
      <c r="G916" s="7"/>
      <c r="H916" s="7"/>
      <c r="I916" s="7"/>
      <c r="J916" s="7"/>
      <c r="K916" s="7"/>
      <c r="L916" s="7"/>
      <c r="M916" s="7"/>
      <c r="N916" s="7"/>
      <c r="O916" s="2"/>
      <c r="P916" s="2"/>
      <c r="Q916" s="2"/>
      <c r="R916" s="2"/>
      <c r="S916" s="2"/>
      <c r="T916" s="2"/>
      <c r="U916" s="2"/>
      <c r="V916" s="2"/>
      <c r="W916" s="2"/>
      <c r="X916" s="2"/>
      <c r="Y916" s="2"/>
      <c r="Z916" s="2"/>
    </row>
    <row r="917">
      <c r="A917" s="2"/>
      <c r="B917" s="7"/>
      <c r="C917" s="7"/>
      <c r="D917" s="7"/>
      <c r="E917" s="7"/>
      <c r="F917" s="7"/>
      <c r="G917" s="7"/>
      <c r="H917" s="7"/>
      <c r="I917" s="7"/>
      <c r="J917" s="7"/>
      <c r="K917" s="7"/>
      <c r="L917" s="7"/>
      <c r="M917" s="7"/>
      <c r="N917" s="7"/>
      <c r="O917" s="2"/>
      <c r="P917" s="2"/>
      <c r="Q917" s="2"/>
      <c r="R917" s="2"/>
      <c r="S917" s="2"/>
      <c r="T917" s="2"/>
      <c r="U917" s="2"/>
      <c r="V917" s="2"/>
      <c r="W917" s="2"/>
      <c r="X917" s="2"/>
      <c r="Y917" s="2"/>
      <c r="Z917" s="2"/>
    </row>
    <row r="918">
      <c r="A918" s="2"/>
      <c r="B918" s="7"/>
      <c r="C918" s="7"/>
      <c r="D918" s="7"/>
      <c r="E918" s="7"/>
      <c r="F918" s="7"/>
      <c r="G918" s="7"/>
      <c r="H918" s="7"/>
      <c r="I918" s="7"/>
      <c r="J918" s="7"/>
      <c r="K918" s="7"/>
      <c r="L918" s="7"/>
      <c r="M918" s="7"/>
      <c r="N918" s="7"/>
      <c r="O918" s="2"/>
      <c r="P918" s="2"/>
      <c r="Q918" s="2"/>
      <c r="R918" s="2"/>
      <c r="S918" s="2"/>
      <c r="T918" s="2"/>
      <c r="U918" s="2"/>
      <c r="V918" s="2"/>
      <c r="W918" s="2"/>
      <c r="X918" s="2"/>
      <c r="Y918" s="2"/>
      <c r="Z918" s="2"/>
    </row>
    <row r="919">
      <c r="A919" s="2"/>
      <c r="B919" s="7"/>
      <c r="C919" s="7"/>
      <c r="D919" s="7"/>
      <c r="E919" s="7"/>
      <c r="F919" s="7"/>
      <c r="G919" s="7"/>
      <c r="H919" s="7"/>
      <c r="I919" s="7"/>
      <c r="J919" s="7"/>
      <c r="K919" s="7"/>
      <c r="L919" s="7"/>
      <c r="M919" s="7"/>
      <c r="N919" s="7"/>
      <c r="O919" s="2"/>
      <c r="P919" s="2"/>
      <c r="Q919" s="2"/>
      <c r="R919" s="2"/>
      <c r="S919" s="2"/>
      <c r="T919" s="2"/>
      <c r="U919" s="2"/>
      <c r="V919" s="2"/>
      <c r="W919" s="2"/>
      <c r="X919" s="2"/>
      <c r="Y919" s="2"/>
      <c r="Z919" s="2"/>
    </row>
    <row r="920">
      <c r="A920" s="2"/>
      <c r="B920" s="7"/>
      <c r="C920" s="7"/>
      <c r="D920" s="7"/>
      <c r="E920" s="7"/>
      <c r="F920" s="7"/>
      <c r="G920" s="7"/>
      <c r="H920" s="7"/>
      <c r="I920" s="7"/>
      <c r="J920" s="7"/>
      <c r="K920" s="7"/>
      <c r="L920" s="7"/>
      <c r="M920" s="7"/>
      <c r="N920" s="7"/>
      <c r="O920" s="2"/>
      <c r="P920" s="2"/>
      <c r="Q920" s="2"/>
      <c r="R920" s="2"/>
      <c r="S920" s="2"/>
      <c r="T920" s="2"/>
      <c r="U920" s="2"/>
      <c r="V920" s="2"/>
      <c r="W920" s="2"/>
      <c r="X920" s="2"/>
      <c r="Y920" s="2"/>
      <c r="Z920" s="2"/>
    </row>
    <row r="921">
      <c r="A921" s="2"/>
      <c r="B921" s="7"/>
      <c r="C921" s="7"/>
      <c r="D921" s="7"/>
      <c r="E921" s="7"/>
      <c r="F921" s="7"/>
      <c r="G921" s="7"/>
      <c r="H921" s="7"/>
      <c r="I921" s="7"/>
      <c r="J921" s="7"/>
      <c r="K921" s="7"/>
      <c r="L921" s="7"/>
      <c r="M921" s="7"/>
      <c r="N921" s="7"/>
      <c r="O921" s="2"/>
      <c r="P921" s="2"/>
      <c r="Q921" s="2"/>
      <c r="R921" s="2"/>
      <c r="S921" s="2"/>
      <c r="T921" s="2"/>
      <c r="U921" s="2"/>
      <c r="V921" s="2"/>
      <c r="W921" s="2"/>
      <c r="X921" s="2"/>
      <c r="Y921" s="2"/>
      <c r="Z921" s="2"/>
    </row>
    <row r="922">
      <c r="A922" s="2"/>
      <c r="B922" s="7"/>
      <c r="C922" s="7"/>
      <c r="D922" s="7"/>
      <c r="E922" s="7"/>
      <c r="F922" s="7"/>
      <c r="G922" s="7"/>
      <c r="H922" s="7"/>
      <c r="I922" s="7"/>
      <c r="J922" s="7"/>
      <c r="K922" s="7"/>
      <c r="L922" s="7"/>
      <c r="M922" s="7"/>
      <c r="N922" s="7"/>
      <c r="O922" s="2"/>
      <c r="P922" s="2"/>
      <c r="Q922" s="2"/>
      <c r="R922" s="2"/>
      <c r="S922" s="2"/>
      <c r="T922" s="2"/>
      <c r="U922" s="2"/>
      <c r="V922" s="2"/>
      <c r="W922" s="2"/>
      <c r="X922" s="2"/>
      <c r="Y922" s="2"/>
      <c r="Z922" s="2"/>
    </row>
    <row r="923">
      <c r="A923" s="2"/>
      <c r="B923" s="7"/>
      <c r="C923" s="7"/>
      <c r="D923" s="7"/>
      <c r="E923" s="7"/>
      <c r="F923" s="7"/>
      <c r="G923" s="7"/>
      <c r="H923" s="7"/>
      <c r="I923" s="7"/>
      <c r="J923" s="7"/>
      <c r="K923" s="7"/>
      <c r="L923" s="7"/>
      <c r="M923" s="7"/>
      <c r="N923" s="7"/>
      <c r="O923" s="2"/>
      <c r="P923" s="2"/>
      <c r="Q923" s="2"/>
      <c r="R923" s="2"/>
      <c r="S923" s="2"/>
      <c r="T923" s="2"/>
      <c r="U923" s="2"/>
      <c r="V923" s="2"/>
      <c r="W923" s="2"/>
      <c r="X923" s="2"/>
      <c r="Y923" s="2"/>
      <c r="Z923" s="2"/>
    </row>
    <row r="924">
      <c r="A924" s="2"/>
      <c r="B924" s="7"/>
      <c r="C924" s="7"/>
      <c r="D924" s="7"/>
      <c r="E924" s="7"/>
      <c r="F924" s="7"/>
      <c r="G924" s="7"/>
      <c r="H924" s="7"/>
      <c r="I924" s="7"/>
      <c r="J924" s="7"/>
      <c r="K924" s="7"/>
      <c r="L924" s="7"/>
      <c r="M924" s="7"/>
      <c r="N924" s="7"/>
      <c r="O924" s="2"/>
      <c r="P924" s="2"/>
      <c r="Q924" s="2"/>
      <c r="R924" s="2"/>
      <c r="S924" s="2"/>
      <c r="T924" s="2"/>
      <c r="U924" s="2"/>
      <c r="V924" s="2"/>
      <c r="W924" s="2"/>
      <c r="X924" s="2"/>
      <c r="Y924" s="2"/>
      <c r="Z924" s="2"/>
    </row>
    <row r="925">
      <c r="A925" s="2"/>
      <c r="B925" s="7"/>
      <c r="C925" s="7"/>
      <c r="D925" s="7"/>
      <c r="E925" s="7"/>
      <c r="F925" s="7"/>
      <c r="G925" s="7"/>
      <c r="H925" s="7"/>
      <c r="I925" s="7"/>
      <c r="J925" s="7"/>
      <c r="K925" s="7"/>
      <c r="L925" s="7"/>
      <c r="M925" s="7"/>
      <c r="N925" s="7"/>
      <c r="O925" s="2"/>
      <c r="P925" s="2"/>
      <c r="Q925" s="2"/>
      <c r="R925" s="2"/>
      <c r="S925" s="2"/>
      <c r="T925" s="2"/>
      <c r="U925" s="2"/>
      <c r="V925" s="2"/>
      <c r="W925" s="2"/>
      <c r="X925" s="2"/>
      <c r="Y925" s="2"/>
      <c r="Z925" s="2"/>
    </row>
    <row r="926">
      <c r="A926" s="2"/>
      <c r="B926" s="7"/>
      <c r="C926" s="7"/>
      <c r="D926" s="7"/>
      <c r="E926" s="7"/>
      <c r="F926" s="7"/>
      <c r="G926" s="7"/>
      <c r="H926" s="7"/>
      <c r="I926" s="7"/>
      <c r="J926" s="7"/>
      <c r="K926" s="7"/>
      <c r="L926" s="7"/>
      <c r="M926" s="7"/>
      <c r="N926" s="7"/>
      <c r="O926" s="2"/>
      <c r="P926" s="2"/>
      <c r="Q926" s="2"/>
      <c r="R926" s="2"/>
      <c r="S926" s="2"/>
      <c r="T926" s="2"/>
      <c r="U926" s="2"/>
      <c r="V926" s="2"/>
      <c r="W926" s="2"/>
      <c r="X926" s="2"/>
      <c r="Y926" s="2"/>
      <c r="Z926" s="2"/>
    </row>
    <row r="927">
      <c r="A927" s="2"/>
      <c r="B927" s="7"/>
      <c r="C927" s="7"/>
      <c r="D927" s="7"/>
      <c r="E927" s="7"/>
      <c r="F927" s="7"/>
      <c r="G927" s="7"/>
      <c r="H927" s="7"/>
      <c r="I927" s="7"/>
      <c r="J927" s="7"/>
      <c r="K927" s="7"/>
      <c r="L927" s="7"/>
      <c r="M927" s="7"/>
      <c r="N927" s="7"/>
      <c r="O927" s="2"/>
      <c r="P927" s="2"/>
      <c r="Q927" s="2"/>
      <c r="R927" s="2"/>
      <c r="S927" s="2"/>
      <c r="T927" s="2"/>
      <c r="U927" s="2"/>
      <c r="V927" s="2"/>
      <c r="W927" s="2"/>
      <c r="X927" s="2"/>
      <c r="Y927" s="2"/>
      <c r="Z927" s="2"/>
    </row>
    <row r="928">
      <c r="A928" s="2"/>
      <c r="B928" s="7"/>
      <c r="C928" s="7"/>
      <c r="D928" s="7"/>
      <c r="E928" s="7"/>
      <c r="F928" s="7"/>
      <c r="G928" s="7"/>
      <c r="H928" s="7"/>
      <c r="I928" s="7"/>
      <c r="J928" s="7"/>
      <c r="K928" s="7"/>
      <c r="L928" s="7"/>
      <c r="M928" s="7"/>
      <c r="N928" s="7"/>
      <c r="O928" s="2"/>
      <c r="P928" s="2"/>
      <c r="Q928" s="2"/>
      <c r="R928" s="2"/>
      <c r="S928" s="2"/>
      <c r="T928" s="2"/>
      <c r="U928" s="2"/>
      <c r="V928" s="2"/>
      <c r="W928" s="2"/>
      <c r="X928" s="2"/>
      <c r="Y928" s="2"/>
      <c r="Z928" s="2"/>
    </row>
    <row r="929">
      <c r="A929" s="2"/>
      <c r="B929" s="7"/>
      <c r="C929" s="7"/>
      <c r="D929" s="7"/>
      <c r="E929" s="7"/>
      <c r="F929" s="7"/>
      <c r="G929" s="7"/>
      <c r="H929" s="7"/>
      <c r="I929" s="7"/>
      <c r="J929" s="7"/>
      <c r="K929" s="7"/>
      <c r="L929" s="7"/>
      <c r="M929" s="7"/>
      <c r="N929" s="7"/>
      <c r="O929" s="2"/>
      <c r="P929" s="2"/>
      <c r="Q929" s="2"/>
      <c r="R929" s="2"/>
      <c r="S929" s="2"/>
      <c r="T929" s="2"/>
      <c r="U929" s="2"/>
      <c r="V929" s="2"/>
      <c r="W929" s="2"/>
      <c r="X929" s="2"/>
      <c r="Y929" s="2"/>
      <c r="Z929" s="2"/>
    </row>
    <row r="930">
      <c r="A930" s="2"/>
      <c r="B930" s="7"/>
      <c r="C930" s="7"/>
      <c r="D930" s="7"/>
      <c r="E930" s="7"/>
      <c r="F930" s="7"/>
      <c r="G930" s="7"/>
      <c r="H930" s="7"/>
      <c r="I930" s="7"/>
      <c r="J930" s="7"/>
      <c r="K930" s="7"/>
      <c r="L930" s="7"/>
      <c r="M930" s="7"/>
      <c r="N930" s="7"/>
      <c r="O930" s="2"/>
      <c r="P930" s="2"/>
      <c r="Q930" s="2"/>
      <c r="R930" s="2"/>
      <c r="S930" s="2"/>
      <c r="T930" s="2"/>
      <c r="U930" s="2"/>
      <c r="V930" s="2"/>
      <c r="W930" s="2"/>
      <c r="X930" s="2"/>
      <c r="Y930" s="2"/>
      <c r="Z930" s="2"/>
    </row>
    <row r="931">
      <c r="A931" s="2"/>
      <c r="B931" s="7"/>
      <c r="C931" s="7"/>
      <c r="D931" s="7"/>
      <c r="E931" s="7"/>
      <c r="F931" s="7"/>
      <c r="G931" s="7"/>
      <c r="H931" s="7"/>
      <c r="I931" s="7"/>
      <c r="J931" s="7"/>
      <c r="K931" s="7"/>
      <c r="L931" s="7"/>
      <c r="M931" s="7"/>
      <c r="N931" s="7"/>
      <c r="O931" s="2"/>
      <c r="P931" s="2"/>
      <c r="Q931" s="2"/>
      <c r="R931" s="2"/>
      <c r="S931" s="2"/>
      <c r="T931" s="2"/>
      <c r="U931" s="2"/>
      <c r="V931" s="2"/>
      <c r="W931" s="2"/>
      <c r="X931" s="2"/>
      <c r="Y931" s="2"/>
      <c r="Z931" s="2"/>
    </row>
    <row r="932">
      <c r="A932" s="2"/>
      <c r="B932" s="7"/>
      <c r="C932" s="7"/>
      <c r="D932" s="7"/>
      <c r="E932" s="7"/>
      <c r="F932" s="7"/>
      <c r="G932" s="7"/>
      <c r="H932" s="7"/>
      <c r="I932" s="7"/>
      <c r="J932" s="7"/>
      <c r="K932" s="7"/>
      <c r="L932" s="7"/>
      <c r="M932" s="7"/>
      <c r="N932" s="7"/>
      <c r="O932" s="2"/>
      <c r="P932" s="2"/>
      <c r="Q932" s="2"/>
      <c r="R932" s="2"/>
      <c r="S932" s="2"/>
      <c r="T932" s="2"/>
      <c r="U932" s="2"/>
      <c r="V932" s="2"/>
      <c r="W932" s="2"/>
      <c r="X932" s="2"/>
      <c r="Y932" s="2"/>
      <c r="Z932" s="2"/>
    </row>
    <row r="933">
      <c r="A933" s="2"/>
      <c r="B933" s="7"/>
      <c r="C933" s="7"/>
      <c r="D933" s="7"/>
      <c r="E933" s="7"/>
      <c r="F933" s="7"/>
      <c r="G933" s="7"/>
      <c r="H933" s="7"/>
      <c r="I933" s="7"/>
      <c r="J933" s="7"/>
      <c r="K933" s="7"/>
      <c r="L933" s="7"/>
      <c r="M933" s="7"/>
      <c r="N933" s="7"/>
      <c r="O933" s="2"/>
      <c r="P933" s="2"/>
      <c r="Q933" s="2"/>
      <c r="R933" s="2"/>
      <c r="S933" s="2"/>
      <c r="T933" s="2"/>
      <c r="U933" s="2"/>
      <c r="V933" s="2"/>
      <c r="W933" s="2"/>
      <c r="X933" s="2"/>
      <c r="Y933" s="2"/>
      <c r="Z933" s="2"/>
    </row>
    <row r="934">
      <c r="A934" s="2"/>
      <c r="B934" s="7"/>
      <c r="C934" s="7"/>
      <c r="D934" s="7"/>
      <c r="E934" s="7"/>
      <c r="F934" s="7"/>
      <c r="G934" s="7"/>
      <c r="H934" s="7"/>
      <c r="I934" s="7"/>
      <c r="J934" s="7"/>
      <c r="K934" s="7"/>
      <c r="L934" s="7"/>
      <c r="M934" s="7"/>
      <c r="N934" s="7"/>
      <c r="O934" s="2"/>
      <c r="P934" s="2"/>
      <c r="Q934" s="2"/>
      <c r="R934" s="2"/>
      <c r="S934" s="2"/>
      <c r="T934" s="2"/>
      <c r="U934" s="2"/>
      <c r="V934" s="2"/>
      <c r="W934" s="2"/>
      <c r="X934" s="2"/>
      <c r="Y934" s="2"/>
      <c r="Z934" s="2"/>
    </row>
    <row r="935">
      <c r="A935" s="2"/>
      <c r="B935" s="7"/>
      <c r="C935" s="7"/>
      <c r="D935" s="7"/>
      <c r="E935" s="7"/>
      <c r="F935" s="7"/>
      <c r="G935" s="7"/>
      <c r="H935" s="7"/>
      <c r="I935" s="7"/>
      <c r="J935" s="7"/>
      <c r="K935" s="7"/>
      <c r="L935" s="7"/>
      <c r="M935" s="7"/>
      <c r="N935" s="7"/>
      <c r="O935" s="2"/>
      <c r="P935" s="2"/>
      <c r="Q935" s="2"/>
      <c r="R935" s="2"/>
      <c r="S935" s="2"/>
      <c r="T935" s="2"/>
      <c r="U935" s="2"/>
      <c r="V935" s="2"/>
      <c r="W935" s="2"/>
      <c r="X935" s="2"/>
      <c r="Y935" s="2"/>
      <c r="Z935" s="2"/>
    </row>
    <row r="936">
      <c r="A936" s="2"/>
      <c r="B936" s="7"/>
      <c r="C936" s="7"/>
      <c r="D936" s="7"/>
      <c r="E936" s="7"/>
      <c r="F936" s="7"/>
      <c r="G936" s="7"/>
      <c r="H936" s="7"/>
      <c r="I936" s="7"/>
      <c r="J936" s="7"/>
      <c r="K936" s="7"/>
      <c r="L936" s="7"/>
      <c r="M936" s="7"/>
      <c r="N936" s="7"/>
      <c r="O936" s="2"/>
      <c r="P936" s="2"/>
      <c r="Q936" s="2"/>
      <c r="R936" s="2"/>
      <c r="S936" s="2"/>
      <c r="T936" s="2"/>
      <c r="U936" s="2"/>
      <c r="V936" s="2"/>
      <c r="W936" s="2"/>
      <c r="X936" s="2"/>
      <c r="Y936" s="2"/>
      <c r="Z936" s="2"/>
    </row>
    <row r="937">
      <c r="A937" s="2"/>
      <c r="B937" s="7"/>
      <c r="C937" s="7"/>
      <c r="D937" s="7"/>
      <c r="E937" s="7"/>
      <c r="F937" s="7"/>
      <c r="G937" s="7"/>
      <c r="H937" s="7"/>
      <c r="I937" s="7"/>
      <c r="J937" s="7"/>
      <c r="K937" s="7"/>
      <c r="L937" s="7"/>
      <c r="M937" s="7"/>
      <c r="N937" s="7"/>
      <c r="O937" s="2"/>
      <c r="P937" s="2"/>
      <c r="Q937" s="2"/>
      <c r="R937" s="2"/>
      <c r="S937" s="2"/>
      <c r="T937" s="2"/>
      <c r="U937" s="2"/>
      <c r="V937" s="2"/>
      <c r="W937" s="2"/>
      <c r="X937" s="2"/>
      <c r="Y937" s="2"/>
      <c r="Z937" s="2"/>
    </row>
    <row r="938">
      <c r="A938" s="2"/>
      <c r="B938" s="7"/>
      <c r="C938" s="7"/>
      <c r="D938" s="7"/>
      <c r="E938" s="7"/>
      <c r="F938" s="7"/>
      <c r="G938" s="7"/>
      <c r="H938" s="7"/>
      <c r="I938" s="7"/>
      <c r="J938" s="7"/>
      <c r="K938" s="7"/>
      <c r="L938" s="7"/>
      <c r="M938" s="7"/>
      <c r="N938" s="7"/>
      <c r="O938" s="2"/>
      <c r="P938" s="2"/>
      <c r="Q938" s="2"/>
      <c r="R938" s="2"/>
      <c r="S938" s="2"/>
      <c r="T938" s="2"/>
      <c r="U938" s="2"/>
      <c r="V938" s="2"/>
      <c r="W938" s="2"/>
      <c r="X938" s="2"/>
      <c r="Y938" s="2"/>
      <c r="Z938" s="2"/>
    </row>
    <row r="939">
      <c r="A939" s="2"/>
      <c r="B939" s="7"/>
      <c r="C939" s="7"/>
      <c r="D939" s="7"/>
      <c r="E939" s="7"/>
      <c r="F939" s="7"/>
      <c r="G939" s="7"/>
      <c r="H939" s="7"/>
      <c r="I939" s="7"/>
      <c r="J939" s="7"/>
      <c r="K939" s="7"/>
      <c r="L939" s="7"/>
      <c r="M939" s="7"/>
      <c r="N939" s="7"/>
      <c r="O939" s="2"/>
      <c r="P939" s="2"/>
      <c r="Q939" s="2"/>
      <c r="R939" s="2"/>
      <c r="S939" s="2"/>
      <c r="T939" s="2"/>
      <c r="U939" s="2"/>
      <c r="V939" s="2"/>
      <c r="W939" s="2"/>
      <c r="X939" s="2"/>
      <c r="Y939" s="2"/>
      <c r="Z939" s="2"/>
    </row>
    <row r="940">
      <c r="A940" s="2"/>
      <c r="B940" s="7"/>
      <c r="C940" s="7"/>
      <c r="D940" s="7"/>
      <c r="E940" s="7"/>
      <c r="F940" s="7"/>
      <c r="G940" s="7"/>
      <c r="H940" s="7"/>
      <c r="I940" s="7"/>
      <c r="J940" s="7"/>
      <c r="K940" s="7"/>
      <c r="L940" s="7"/>
      <c r="M940" s="7"/>
      <c r="N940" s="7"/>
      <c r="O940" s="2"/>
      <c r="P940" s="2"/>
      <c r="Q940" s="2"/>
      <c r="R940" s="2"/>
      <c r="S940" s="2"/>
      <c r="T940" s="2"/>
      <c r="U940" s="2"/>
      <c r="V940" s="2"/>
      <c r="W940" s="2"/>
      <c r="X940" s="2"/>
      <c r="Y940" s="2"/>
      <c r="Z940" s="2"/>
    </row>
    <row r="941">
      <c r="A941" s="2"/>
      <c r="B941" s="7"/>
      <c r="C941" s="7"/>
      <c r="D941" s="7"/>
      <c r="E941" s="7"/>
      <c r="F941" s="7"/>
      <c r="G941" s="7"/>
      <c r="H941" s="7"/>
      <c r="I941" s="7"/>
      <c r="J941" s="7"/>
      <c r="K941" s="7"/>
      <c r="L941" s="7"/>
      <c r="M941" s="7"/>
      <c r="N941" s="7"/>
      <c r="O941" s="2"/>
      <c r="P941" s="2"/>
      <c r="Q941" s="2"/>
      <c r="R941" s="2"/>
      <c r="S941" s="2"/>
      <c r="T941" s="2"/>
      <c r="U941" s="2"/>
      <c r="V941" s="2"/>
      <c r="W941" s="2"/>
      <c r="X941" s="2"/>
      <c r="Y941" s="2"/>
      <c r="Z941" s="2"/>
    </row>
    <row r="942">
      <c r="A942" s="2"/>
      <c r="B942" s="7"/>
      <c r="C942" s="7"/>
      <c r="D942" s="7"/>
      <c r="E942" s="7"/>
      <c r="F942" s="7"/>
      <c r="G942" s="7"/>
      <c r="H942" s="7"/>
      <c r="I942" s="7"/>
      <c r="J942" s="7"/>
      <c r="K942" s="7"/>
      <c r="L942" s="7"/>
      <c r="M942" s="7"/>
      <c r="N942" s="7"/>
      <c r="O942" s="2"/>
      <c r="P942" s="2"/>
      <c r="Q942" s="2"/>
      <c r="R942" s="2"/>
      <c r="S942" s="2"/>
      <c r="T942" s="2"/>
      <c r="U942" s="2"/>
      <c r="V942" s="2"/>
      <c r="W942" s="2"/>
      <c r="X942" s="2"/>
      <c r="Y942" s="2"/>
      <c r="Z942" s="2"/>
    </row>
    <row r="943">
      <c r="A943" s="2"/>
      <c r="B943" s="7"/>
      <c r="C943" s="7"/>
      <c r="D943" s="7"/>
      <c r="E943" s="7"/>
      <c r="F943" s="7"/>
      <c r="G943" s="7"/>
      <c r="H943" s="7"/>
      <c r="I943" s="7"/>
      <c r="J943" s="7"/>
      <c r="K943" s="7"/>
      <c r="L943" s="7"/>
      <c r="M943" s="7"/>
      <c r="N943" s="7"/>
      <c r="O943" s="2"/>
      <c r="P943" s="2"/>
      <c r="Q943" s="2"/>
      <c r="R943" s="2"/>
      <c r="S943" s="2"/>
      <c r="T943" s="2"/>
      <c r="U943" s="2"/>
      <c r="V943" s="2"/>
      <c r="W943" s="2"/>
      <c r="X943" s="2"/>
      <c r="Y943" s="2"/>
      <c r="Z943" s="2"/>
    </row>
    <row r="944">
      <c r="A944" s="2"/>
      <c r="B944" s="7"/>
      <c r="C944" s="7"/>
      <c r="D944" s="7"/>
      <c r="E944" s="7"/>
      <c r="F944" s="7"/>
      <c r="G944" s="7"/>
      <c r="H944" s="7"/>
      <c r="I944" s="7"/>
      <c r="J944" s="7"/>
      <c r="K944" s="7"/>
      <c r="L944" s="7"/>
      <c r="M944" s="7"/>
      <c r="N944" s="7"/>
      <c r="O944" s="2"/>
      <c r="P944" s="2"/>
      <c r="Q944" s="2"/>
      <c r="R944" s="2"/>
      <c r="S944" s="2"/>
      <c r="T944" s="2"/>
      <c r="U944" s="2"/>
      <c r="V944" s="2"/>
      <c r="W944" s="2"/>
      <c r="X944" s="2"/>
      <c r="Y944" s="2"/>
      <c r="Z944" s="2"/>
    </row>
    <row r="945">
      <c r="A945" s="2"/>
      <c r="B945" s="7"/>
      <c r="C945" s="7"/>
      <c r="D945" s="7"/>
      <c r="E945" s="7"/>
      <c r="F945" s="7"/>
      <c r="G945" s="7"/>
      <c r="H945" s="7"/>
      <c r="I945" s="7"/>
      <c r="J945" s="7"/>
      <c r="K945" s="7"/>
      <c r="L945" s="7"/>
      <c r="M945" s="7"/>
      <c r="N945" s="7"/>
      <c r="O945" s="2"/>
      <c r="P945" s="2"/>
      <c r="Q945" s="2"/>
      <c r="R945" s="2"/>
      <c r="S945" s="2"/>
      <c r="T945" s="2"/>
      <c r="U945" s="2"/>
      <c r="V945" s="2"/>
      <c r="W945" s="2"/>
      <c r="X945" s="2"/>
      <c r="Y945" s="2"/>
      <c r="Z945" s="2"/>
    </row>
    <row r="946">
      <c r="A946" s="2"/>
      <c r="B946" s="7"/>
      <c r="C946" s="7"/>
      <c r="D946" s="7"/>
      <c r="E946" s="7"/>
      <c r="F946" s="7"/>
      <c r="G946" s="7"/>
      <c r="H946" s="7"/>
      <c r="I946" s="7"/>
      <c r="J946" s="7"/>
      <c r="K946" s="7"/>
      <c r="L946" s="7"/>
      <c r="M946" s="7"/>
      <c r="N946" s="7"/>
      <c r="O946" s="2"/>
      <c r="P946" s="2"/>
      <c r="Q946" s="2"/>
      <c r="R946" s="2"/>
      <c r="S946" s="2"/>
      <c r="T946" s="2"/>
      <c r="U946" s="2"/>
      <c r="V946" s="2"/>
      <c r="W946" s="2"/>
      <c r="X946" s="2"/>
      <c r="Y946" s="2"/>
      <c r="Z946" s="2"/>
    </row>
    <row r="947">
      <c r="A947" s="2"/>
      <c r="B947" s="7"/>
      <c r="C947" s="7"/>
      <c r="D947" s="7"/>
      <c r="E947" s="7"/>
      <c r="F947" s="7"/>
      <c r="G947" s="7"/>
      <c r="H947" s="7"/>
      <c r="I947" s="7"/>
      <c r="J947" s="7"/>
      <c r="K947" s="7"/>
      <c r="L947" s="7"/>
      <c r="M947" s="7"/>
      <c r="N947" s="7"/>
      <c r="O947" s="2"/>
      <c r="P947" s="2"/>
      <c r="Q947" s="2"/>
      <c r="R947" s="2"/>
      <c r="S947" s="2"/>
      <c r="T947" s="2"/>
      <c r="U947" s="2"/>
      <c r="V947" s="2"/>
      <c r="W947" s="2"/>
      <c r="X947" s="2"/>
      <c r="Y947" s="2"/>
      <c r="Z947" s="2"/>
    </row>
    <row r="948">
      <c r="A948" s="2"/>
      <c r="B948" s="7"/>
      <c r="C948" s="7"/>
      <c r="D948" s="7"/>
      <c r="E948" s="7"/>
      <c r="F948" s="7"/>
      <c r="G948" s="7"/>
      <c r="H948" s="7"/>
      <c r="I948" s="7"/>
      <c r="J948" s="7"/>
      <c r="K948" s="7"/>
      <c r="L948" s="7"/>
      <c r="M948" s="7"/>
      <c r="N948" s="7"/>
      <c r="O948" s="2"/>
      <c r="P948" s="2"/>
      <c r="Q948" s="2"/>
      <c r="R948" s="2"/>
      <c r="S948" s="2"/>
      <c r="T948" s="2"/>
      <c r="U948" s="2"/>
      <c r="V948" s="2"/>
      <c r="W948" s="2"/>
      <c r="X948" s="2"/>
      <c r="Y948" s="2"/>
      <c r="Z948" s="2"/>
    </row>
    <row r="949">
      <c r="A949" s="2"/>
      <c r="B949" s="7"/>
      <c r="C949" s="7"/>
      <c r="D949" s="7"/>
      <c r="E949" s="7"/>
      <c r="F949" s="7"/>
      <c r="G949" s="7"/>
      <c r="H949" s="7"/>
      <c r="I949" s="7"/>
      <c r="J949" s="7"/>
      <c r="K949" s="7"/>
      <c r="L949" s="7"/>
      <c r="M949" s="7"/>
      <c r="N949" s="7"/>
      <c r="O949" s="2"/>
      <c r="P949" s="2"/>
      <c r="Q949" s="2"/>
      <c r="R949" s="2"/>
      <c r="S949" s="2"/>
      <c r="T949" s="2"/>
      <c r="U949" s="2"/>
      <c r="V949" s="2"/>
      <c r="W949" s="2"/>
      <c r="X949" s="2"/>
      <c r="Y949" s="2"/>
      <c r="Z949" s="2"/>
    </row>
    <row r="950">
      <c r="A950" s="2"/>
      <c r="B950" s="7"/>
      <c r="C950" s="7"/>
      <c r="D950" s="7"/>
      <c r="E950" s="7"/>
      <c r="F950" s="7"/>
      <c r="G950" s="7"/>
      <c r="H950" s="7"/>
      <c r="I950" s="7"/>
      <c r="J950" s="7"/>
      <c r="K950" s="7"/>
      <c r="L950" s="7"/>
      <c r="M950" s="7"/>
      <c r="N950" s="7"/>
      <c r="O950" s="2"/>
      <c r="P950" s="2"/>
      <c r="Q950" s="2"/>
      <c r="R950" s="2"/>
      <c r="S950" s="2"/>
      <c r="T950" s="2"/>
      <c r="U950" s="2"/>
      <c r="V950" s="2"/>
      <c r="W950" s="2"/>
      <c r="X950" s="2"/>
      <c r="Y950" s="2"/>
      <c r="Z950" s="2"/>
    </row>
    <row r="951">
      <c r="A951" s="2"/>
      <c r="B951" s="7"/>
      <c r="C951" s="7"/>
      <c r="D951" s="7"/>
      <c r="E951" s="7"/>
      <c r="F951" s="7"/>
      <c r="G951" s="7"/>
      <c r="H951" s="7"/>
      <c r="I951" s="7"/>
      <c r="J951" s="7"/>
      <c r="K951" s="7"/>
      <c r="L951" s="7"/>
      <c r="M951" s="7"/>
      <c r="N951" s="7"/>
      <c r="O951" s="2"/>
      <c r="P951" s="2"/>
      <c r="Q951" s="2"/>
      <c r="R951" s="2"/>
      <c r="S951" s="2"/>
      <c r="T951" s="2"/>
      <c r="U951" s="2"/>
      <c r="V951" s="2"/>
      <c r="W951" s="2"/>
      <c r="X951" s="2"/>
      <c r="Y951" s="2"/>
      <c r="Z951" s="2"/>
    </row>
    <row r="952">
      <c r="A952" s="2"/>
      <c r="B952" s="7"/>
      <c r="C952" s="7"/>
      <c r="D952" s="7"/>
      <c r="E952" s="7"/>
      <c r="F952" s="7"/>
      <c r="G952" s="7"/>
      <c r="H952" s="7"/>
      <c r="I952" s="7"/>
      <c r="J952" s="7"/>
      <c r="K952" s="7"/>
      <c r="L952" s="7"/>
      <c r="M952" s="7"/>
      <c r="N952" s="7"/>
      <c r="O952" s="2"/>
      <c r="P952" s="2"/>
      <c r="Q952" s="2"/>
      <c r="R952" s="2"/>
      <c r="S952" s="2"/>
      <c r="T952" s="2"/>
      <c r="U952" s="2"/>
      <c r="V952" s="2"/>
      <c r="W952" s="2"/>
      <c r="X952" s="2"/>
      <c r="Y952" s="2"/>
      <c r="Z952" s="2"/>
    </row>
    <row r="953">
      <c r="A953" s="2"/>
      <c r="B953" s="7"/>
      <c r="C953" s="7"/>
      <c r="D953" s="7"/>
      <c r="E953" s="7"/>
      <c r="F953" s="7"/>
      <c r="G953" s="7"/>
      <c r="H953" s="7"/>
      <c r="I953" s="7"/>
      <c r="J953" s="7"/>
      <c r="K953" s="7"/>
      <c r="L953" s="7"/>
      <c r="M953" s="7"/>
      <c r="N953" s="7"/>
      <c r="O953" s="2"/>
      <c r="P953" s="2"/>
      <c r="Q953" s="2"/>
      <c r="R953" s="2"/>
      <c r="S953" s="2"/>
      <c r="T953" s="2"/>
      <c r="U953" s="2"/>
      <c r="V953" s="2"/>
      <c r="W953" s="2"/>
      <c r="X953" s="2"/>
      <c r="Y953" s="2"/>
      <c r="Z953" s="2"/>
    </row>
    <row r="954">
      <c r="A954" s="2"/>
      <c r="B954" s="7"/>
      <c r="C954" s="7"/>
      <c r="D954" s="7"/>
      <c r="E954" s="7"/>
      <c r="F954" s="7"/>
      <c r="G954" s="7"/>
      <c r="H954" s="7"/>
      <c r="I954" s="7"/>
      <c r="J954" s="7"/>
      <c r="K954" s="7"/>
      <c r="L954" s="7"/>
      <c r="M954" s="7"/>
      <c r="N954" s="7"/>
      <c r="O954" s="2"/>
      <c r="P954" s="2"/>
      <c r="Q954" s="2"/>
      <c r="R954" s="2"/>
      <c r="S954" s="2"/>
      <c r="T954" s="2"/>
      <c r="U954" s="2"/>
      <c r="V954" s="2"/>
      <c r="W954" s="2"/>
      <c r="X954" s="2"/>
      <c r="Y954" s="2"/>
      <c r="Z954" s="2"/>
    </row>
    <row r="955">
      <c r="A955" s="2"/>
      <c r="B955" s="7"/>
      <c r="C955" s="7"/>
      <c r="D955" s="7"/>
      <c r="E955" s="7"/>
      <c r="F955" s="7"/>
      <c r="G955" s="7"/>
      <c r="H955" s="7"/>
      <c r="I955" s="7"/>
      <c r="J955" s="7"/>
      <c r="K955" s="7"/>
      <c r="L955" s="7"/>
      <c r="M955" s="7"/>
      <c r="N955" s="7"/>
      <c r="O955" s="2"/>
      <c r="P955" s="2"/>
      <c r="Q955" s="2"/>
      <c r="R955" s="2"/>
      <c r="S955" s="2"/>
      <c r="T955" s="2"/>
      <c r="U955" s="2"/>
      <c r="V955" s="2"/>
      <c r="W955" s="2"/>
      <c r="X955" s="2"/>
      <c r="Y955" s="2"/>
      <c r="Z955" s="2"/>
    </row>
    <row r="956">
      <c r="A956" s="2"/>
      <c r="B956" s="7"/>
      <c r="C956" s="7"/>
      <c r="D956" s="7"/>
      <c r="E956" s="7"/>
      <c r="F956" s="7"/>
      <c r="G956" s="7"/>
      <c r="H956" s="7"/>
      <c r="I956" s="7"/>
      <c r="J956" s="7"/>
      <c r="K956" s="7"/>
      <c r="L956" s="7"/>
      <c r="M956" s="7"/>
      <c r="N956" s="7"/>
      <c r="O956" s="2"/>
      <c r="P956" s="2"/>
      <c r="Q956" s="2"/>
      <c r="R956" s="2"/>
      <c r="S956" s="2"/>
      <c r="T956" s="2"/>
      <c r="U956" s="2"/>
      <c r="V956" s="2"/>
      <c r="W956" s="2"/>
      <c r="X956" s="2"/>
      <c r="Y956" s="2"/>
      <c r="Z956" s="2"/>
    </row>
    <row r="957">
      <c r="A957" s="2"/>
      <c r="B957" s="7"/>
      <c r="C957" s="7"/>
      <c r="D957" s="7"/>
      <c r="E957" s="7"/>
      <c r="F957" s="7"/>
      <c r="G957" s="7"/>
      <c r="H957" s="7"/>
      <c r="I957" s="7"/>
      <c r="J957" s="7"/>
      <c r="K957" s="7"/>
      <c r="L957" s="7"/>
      <c r="M957" s="7"/>
      <c r="N957" s="7"/>
      <c r="O957" s="2"/>
      <c r="P957" s="2"/>
      <c r="Q957" s="2"/>
      <c r="R957" s="2"/>
      <c r="S957" s="2"/>
      <c r="T957" s="2"/>
      <c r="U957" s="2"/>
      <c r="V957" s="2"/>
      <c r="W957" s="2"/>
      <c r="X957" s="2"/>
      <c r="Y957" s="2"/>
      <c r="Z957" s="2"/>
    </row>
    <row r="958">
      <c r="A958" s="2"/>
      <c r="B958" s="7"/>
      <c r="C958" s="7"/>
      <c r="D958" s="7"/>
      <c r="E958" s="7"/>
      <c r="F958" s="7"/>
      <c r="G958" s="7"/>
      <c r="H958" s="7"/>
      <c r="I958" s="7"/>
      <c r="J958" s="7"/>
      <c r="K958" s="7"/>
      <c r="L958" s="7"/>
      <c r="M958" s="7"/>
      <c r="N958" s="7"/>
      <c r="O958" s="2"/>
      <c r="P958" s="2"/>
      <c r="Q958" s="2"/>
      <c r="R958" s="2"/>
      <c r="S958" s="2"/>
      <c r="T958" s="2"/>
      <c r="U958" s="2"/>
      <c r="V958" s="2"/>
      <c r="W958" s="2"/>
      <c r="X958" s="2"/>
      <c r="Y958" s="2"/>
      <c r="Z958" s="2"/>
    </row>
    <row r="959">
      <c r="A959" s="2"/>
      <c r="B959" s="7"/>
      <c r="C959" s="7"/>
      <c r="D959" s="7"/>
      <c r="E959" s="7"/>
      <c r="F959" s="7"/>
      <c r="G959" s="7"/>
      <c r="H959" s="7"/>
      <c r="I959" s="7"/>
      <c r="J959" s="7"/>
      <c r="K959" s="7"/>
      <c r="L959" s="7"/>
      <c r="M959" s="7"/>
      <c r="N959" s="7"/>
      <c r="O959" s="2"/>
      <c r="P959" s="2"/>
      <c r="Q959" s="2"/>
      <c r="R959" s="2"/>
      <c r="S959" s="2"/>
      <c r="T959" s="2"/>
      <c r="U959" s="2"/>
      <c r="V959" s="2"/>
      <c r="W959" s="2"/>
      <c r="X959" s="2"/>
      <c r="Y959" s="2"/>
      <c r="Z959" s="2"/>
    </row>
    <row r="960">
      <c r="A960" s="2"/>
      <c r="B960" s="7"/>
      <c r="C960" s="7"/>
      <c r="D960" s="7"/>
      <c r="E960" s="7"/>
      <c r="F960" s="7"/>
      <c r="G960" s="7"/>
      <c r="H960" s="7"/>
      <c r="I960" s="7"/>
      <c r="J960" s="7"/>
      <c r="K960" s="7"/>
      <c r="L960" s="7"/>
      <c r="M960" s="7"/>
      <c r="N960" s="7"/>
      <c r="O960" s="2"/>
      <c r="P960" s="2"/>
      <c r="Q960" s="2"/>
      <c r="R960" s="2"/>
      <c r="S960" s="2"/>
      <c r="T960" s="2"/>
      <c r="U960" s="2"/>
      <c r="V960" s="2"/>
      <c r="W960" s="2"/>
      <c r="X960" s="2"/>
      <c r="Y960" s="2"/>
      <c r="Z960" s="2"/>
    </row>
    <row r="961">
      <c r="A961" s="2"/>
      <c r="B961" s="7"/>
      <c r="C961" s="7"/>
      <c r="D961" s="7"/>
      <c r="E961" s="7"/>
      <c r="F961" s="7"/>
      <c r="G961" s="7"/>
      <c r="H961" s="7"/>
      <c r="I961" s="7"/>
      <c r="J961" s="7"/>
      <c r="K961" s="7"/>
      <c r="L961" s="7"/>
      <c r="M961" s="7"/>
      <c r="N961" s="7"/>
      <c r="O961" s="2"/>
      <c r="P961" s="2"/>
      <c r="Q961" s="2"/>
      <c r="R961" s="2"/>
      <c r="S961" s="2"/>
      <c r="T961" s="2"/>
      <c r="U961" s="2"/>
      <c r="V961" s="2"/>
      <c r="W961" s="2"/>
      <c r="X961" s="2"/>
      <c r="Y961" s="2"/>
      <c r="Z961" s="2"/>
    </row>
    <row r="962">
      <c r="A962" s="2"/>
      <c r="B962" s="7"/>
      <c r="C962" s="7"/>
      <c r="D962" s="7"/>
      <c r="E962" s="7"/>
      <c r="F962" s="7"/>
      <c r="G962" s="7"/>
      <c r="H962" s="7"/>
      <c r="I962" s="7"/>
      <c r="J962" s="7"/>
      <c r="K962" s="7"/>
      <c r="L962" s="7"/>
      <c r="M962" s="7"/>
      <c r="N962" s="7"/>
      <c r="O962" s="2"/>
      <c r="P962" s="2"/>
      <c r="Q962" s="2"/>
      <c r="R962" s="2"/>
      <c r="S962" s="2"/>
      <c r="T962" s="2"/>
      <c r="U962" s="2"/>
      <c r="V962" s="2"/>
      <c r="W962" s="2"/>
      <c r="X962" s="2"/>
      <c r="Y962" s="2"/>
      <c r="Z962" s="2"/>
    </row>
    <row r="963">
      <c r="A963" s="2"/>
      <c r="B963" s="7"/>
      <c r="C963" s="7"/>
      <c r="D963" s="7"/>
      <c r="E963" s="7"/>
      <c r="F963" s="7"/>
      <c r="G963" s="7"/>
      <c r="H963" s="7"/>
      <c r="I963" s="7"/>
      <c r="J963" s="7"/>
      <c r="K963" s="7"/>
      <c r="L963" s="7"/>
      <c r="M963" s="7"/>
      <c r="N963" s="7"/>
      <c r="O963" s="2"/>
      <c r="P963" s="2"/>
      <c r="Q963" s="2"/>
      <c r="R963" s="2"/>
      <c r="S963" s="2"/>
      <c r="T963" s="2"/>
      <c r="U963" s="2"/>
      <c r="V963" s="2"/>
      <c r="W963" s="2"/>
      <c r="X963" s="2"/>
      <c r="Y963" s="2"/>
      <c r="Z963" s="2"/>
    </row>
    <row r="964">
      <c r="A964" s="2"/>
      <c r="B964" s="7"/>
      <c r="C964" s="7"/>
      <c r="D964" s="7"/>
      <c r="E964" s="7"/>
      <c r="F964" s="7"/>
      <c r="G964" s="7"/>
      <c r="H964" s="7"/>
      <c r="I964" s="7"/>
      <c r="J964" s="7"/>
      <c r="K964" s="7"/>
      <c r="L964" s="7"/>
      <c r="M964" s="7"/>
      <c r="N964" s="7"/>
      <c r="O964" s="2"/>
      <c r="P964" s="2"/>
      <c r="Q964" s="2"/>
      <c r="R964" s="2"/>
      <c r="S964" s="2"/>
      <c r="T964" s="2"/>
      <c r="U964" s="2"/>
      <c r="V964" s="2"/>
      <c r="W964" s="2"/>
      <c r="X964" s="2"/>
      <c r="Y964" s="2"/>
      <c r="Z964" s="2"/>
    </row>
    <row r="965">
      <c r="A965" s="2"/>
      <c r="B965" s="7"/>
      <c r="C965" s="7"/>
      <c r="D965" s="7"/>
      <c r="E965" s="7"/>
      <c r="F965" s="7"/>
      <c r="G965" s="7"/>
      <c r="H965" s="7"/>
      <c r="I965" s="7"/>
      <c r="J965" s="7"/>
      <c r="K965" s="7"/>
      <c r="L965" s="7"/>
      <c r="M965" s="7"/>
      <c r="N965" s="7"/>
      <c r="O965" s="2"/>
      <c r="P965" s="2"/>
      <c r="Q965" s="2"/>
      <c r="R965" s="2"/>
      <c r="S965" s="2"/>
      <c r="T965" s="2"/>
      <c r="U965" s="2"/>
      <c r="V965" s="2"/>
      <c r="W965" s="2"/>
      <c r="X965" s="2"/>
      <c r="Y965" s="2"/>
      <c r="Z965" s="2"/>
    </row>
    <row r="966">
      <c r="A966" s="2"/>
      <c r="B966" s="7"/>
      <c r="C966" s="7"/>
      <c r="D966" s="7"/>
      <c r="E966" s="7"/>
      <c r="F966" s="7"/>
      <c r="G966" s="7"/>
      <c r="H966" s="7"/>
      <c r="I966" s="7"/>
      <c r="J966" s="7"/>
      <c r="K966" s="7"/>
      <c r="L966" s="7"/>
      <c r="M966" s="7"/>
      <c r="N966" s="7"/>
      <c r="O966" s="2"/>
      <c r="P966" s="2"/>
      <c r="Q966" s="2"/>
      <c r="R966" s="2"/>
      <c r="S966" s="2"/>
      <c r="T966" s="2"/>
      <c r="U966" s="2"/>
      <c r="V966" s="2"/>
      <c r="W966" s="2"/>
      <c r="X966" s="2"/>
      <c r="Y966" s="2"/>
      <c r="Z966" s="2"/>
    </row>
    <row r="967">
      <c r="A967" s="2"/>
      <c r="B967" s="7"/>
      <c r="C967" s="7"/>
      <c r="D967" s="7"/>
      <c r="E967" s="7"/>
      <c r="F967" s="7"/>
      <c r="G967" s="7"/>
      <c r="H967" s="7"/>
      <c r="I967" s="7"/>
      <c r="J967" s="7"/>
      <c r="K967" s="7"/>
      <c r="L967" s="7"/>
      <c r="M967" s="7"/>
      <c r="N967" s="7"/>
      <c r="O967" s="2"/>
      <c r="P967" s="2"/>
      <c r="Q967" s="2"/>
      <c r="R967" s="2"/>
      <c r="S967" s="2"/>
      <c r="T967" s="2"/>
      <c r="U967" s="2"/>
      <c r="V967" s="2"/>
      <c r="W967" s="2"/>
      <c r="X967" s="2"/>
      <c r="Y967" s="2"/>
      <c r="Z967" s="2"/>
    </row>
    <row r="968">
      <c r="A968" s="2"/>
      <c r="B968" s="7"/>
      <c r="C968" s="7"/>
      <c r="D968" s="7"/>
      <c r="E968" s="7"/>
      <c r="F968" s="7"/>
      <c r="G968" s="7"/>
      <c r="H968" s="7"/>
      <c r="I968" s="7"/>
      <c r="J968" s="7"/>
      <c r="K968" s="7"/>
      <c r="L968" s="7"/>
      <c r="M968" s="7"/>
      <c r="N968" s="7"/>
      <c r="O968" s="2"/>
      <c r="P968" s="2"/>
      <c r="Q968" s="2"/>
      <c r="R968" s="2"/>
      <c r="S968" s="2"/>
      <c r="T968" s="2"/>
      <c r="U968" s="2"/>
      <c r="V968" s="2"/>
      <c r="W968" s="2"/>
      <c r="X968" s="2"/>
      <c r="Y968" s="2"/>
      <c r="Z968" s="2"/>
    </row>
    <row r="969">
      <c r="A969" s="2"/>
      <c r="B969" s="7"/>
      <c r="C969" s="7"/>
      <c r="D969" s="7"/>
      <c r="E969" s="7"/>
      <c r="F969" s="7"/>
      <c r="G969" s="7"/>
      <c r="H969" s="7"/>
      <c r="I969" s="7"/>
      <c r="J969" s="7"/>
      <c r="K969" s="7"/>
      <c r="L969" s="7"/>
      <c r="M969" s="7"/>
      <c r="N969" s="7"/>
      <c r="O969" s="2"/>
      <c r="P969" s="2"/>
      <c r="Q969" s="2"/>
      <c r="R969" s="2"/>
      <c r="S969" s="2"/>
      <c r="T969" s="2"/>
      <c r="U969" s="2"/>
      <c r="V969" s="2"/>
      <c r="W969" s="2"/>
      <c r="X969" s="2"/>
      <c r="Y969" s="2"/>
      <c r="Z969" s="2"/>
    </row>
    <row r="970">
      <c r="A970" s="2"/>
      <c r="B970" s="7"/>
      <c r="C970" s="7"/>
      <c r="D970" s="7"/>
      <c r="E970" s="7"/>
      <c r="F970" s="7"/>
      <c r="G970" s="7"/>
      <c r="H970" s="7"/>
      <c r="I970" s="7"/>
      <c r="J970" s="7"/>
      <c r="K970" s="7"/>
      <c r="L970" s="7"/>
      <c r="M970" s="7"/>
      <c r="N970" s="7"/>
      <c r="O970" s="2"/>
      <c r="P970" s="2"/>
      <c r="Q970" s="2"/>
      <c r="R970" s="2"/>
      <c r="S970" s="2"/>
      <c r="T970" s="2"/>
      <c r="U970" s="2"/>
      <c r="V970" s="2"/>
      <c r="W970" s="2"/>
      <c r="X970" s="2"/>
      <c r="Y970" s="2"/>
      <c r="Z970" s="2"/>
    </row>
    <row r="971">
      <c r="A971" s="2"/>
      <c r="B971" s="7"/>
      <c r="C971" s="7"/>
      <c r="D971" s="7"/>
      <c r="E971" s="7"/>
      <c r="F971" s="7"/>
      <c r="G971" s="7"/>
      <c r="H971" s="7"/>
      <c r="I971" s="7"/>
      <c r="J971" s="7"/>
      <c r="K971" s="7"/>
      <c r="L971" s="7"/>
      <c r="M971" s="7"/>
      <c r="N971" s="7"/>
      <c r="O971" s="2"/>
      <c r="P971" s="2"/>
      <c r="Q971" s="2"/>
      <c r="R971" s="2"/>
      <c r="S971" s="2"/>
      <c r="T971" s="2"/>
      <c r="U971" s="2"/>
      <c r="V971" s="2"/>
      <c r="W971" s="2"/>
      <c r="X971" s="2"/>
      <c r="Y971" s="2"/>
      <c r="Z971" s="2"/>
    </row>
    <row r="972">
      <c r="A972" s="2"/>
      <c r="B972" s="7"/>
      <c r="C972" s="7"/>
      <c r="D972" s="7"/>
      <c r="E972" s="7"/>
      <c r="F972" s="7"/>
      <c r="G972" s="7"/>
      <c r="H972" s="7"/>
      <c r="I972" s="7"/>
      <c r="J972" s="7"/>
      <c r="K972" s="7"/>
      <c r="L972" s="7"/>
      <c r="M972" s="7"/>
      <c r="N972" s="7"/>
      <c r="O972" s="2"/>
      <c r="P972" s="2"/>
      <c r="Q972" s="2"/>
      <c r="R972" s="2"/>
      <c r="S972" s="2"/>
      <c r="T972" s="2"/>
      <c r="U972" s="2"/>
      <c r="V972" s="2"/>
      <c r="W972" s="2"/>
      <c r="X972" s="2"/>
      <c r="Y972" s="2"/>
      <c r="Z972" s="2"/>
    </row>
    <row r="973">
      <c r="A973" s="2"/>
      <c r="B973" s="7"/>
      <c r="C973" s="7"/>
      <c r="D973" s="7"/>
      <c r="E973" s="7"/>
      <c r="F973" s="7"/>
      <c r="G973" s="7"/>
      <c r="H973" s="7"/>
      <c r="I973" s="7"/>
      <c r="J973" s="7"/>
      <c r="K973" s="7"/>
      <c r="L973" s="7"/>
      <c r="M973" s="7"/>
      <c r="N973" s="7"/>
      <c r="O973" s="2"/>
      <c r="P973" s="2"/>
      <c r="Q973" s="2"/>
      <c r="R973" s="2"/>
      <c r="S973" s="2"/>
      <c r="T973" s="2"/>
      <c r="U973" s="2"/>
      <c r="V973" s="2"/>
      <c r="W973" s="2"/>
      <c r="X973" s="2"/>
      <c r="Y973" s="2"/>
      <c r="Z973" s="2"/>
    </row>
    <row r="974">
      <c r="A974" s="2"/>
      <c r="B974" s="7"/>
      <c r="C974" s="7"/>
      <c r="D974" s="7"/>
      <c r="E974" s="7"/>
      <c r="F974" s="7"/>
      <c r="G974" s="7"/>
      <c r="H974" s="7"/>
      <c r="I974" s="7"/>
      <c r="J974" s="7"/>
      <c r="K974" s="7"/>
      <c r="L974" s="7"/>
      <c r="M974" s="7"/>
      <c r="N974" s="7"/>
      <c r="O974" s="2"/>
      <c r="P974" s="2"/>
      <c r="Q974" s="2"/>
      <c r="R974" s="2"/>
      <c r="S974" s="2"/>
      <c r="T974" s="2"/>
      <c r="U974" s="2"/>
      <c r="V974" s="2"/>
      <c r="W974" s="2"/>
      <c r="X974" s="2"/>
      <c r="Y974" s="2"/>
      <c r="Z974" s="2"/>
    </row>
    <row r="975">
      <c r="A975" s="2"/>
      <c r="B975" s="7"/>
      <c r="C975" s="7"/>
      <c r="D975" s="7"/>
      <c r="E975" s="7"/>
      <c r="F975" s="7"/>
      <c r="G975" s="7"/>
      <c r="H975" s="7"/>
      <c r="I975" s="7"/>
      <c r="J975" s="7"/>
      <c r="K975" s="7"/>
      <c r="L975" s="7"/>
      <c r="M975" s="7"/>
      <c r="N975" s="7"/>
      <c r="O975" s="2"/>
      <c r="P975" s="2"/>
      <c r="Q975" s="2"/>
      <c r="R975" s="2"/>
      <c r="S975" s="2"/>
      <c r="T975" s="2"/>
      <c r="U975" s="2"/>
      <c r="V975" s="2"/>
      <c r="W975" s="2"/>
      <c r="X975" s="2"/>
      <c r="Y975" s="2"/>
      <c r="Z975" s="2"/>
    </row>
    <row r="976">
      <c r="A976" s="2"/>
      <c r="B976" s="7"/>
      <c r="C976" s="7"/>
      <c r="D976" s="7"/>
      <c r="E976" s="7"/>
      <c r="F976" s="7"/>
      <c r="G976" s="7"/>
      <c r="H976" s="7"/>
      <c r="I976" s="7"/>
      <c r="J976" s="7"/>
      <c r="K976" s="7"/>
      <c r="L976" s="7"/>
      <c r="M976" s="7"/>
      <c r="N976" s="7"/>
      <c r="O976" s="2"/>
      <c r="P976" s="2"/>
      <c r="Q976" s="2"/>
      <c r="R976" s="2"/>
      <c r="S976" s="2"/>
      <c r="T976" s="2"/>
      <c r="U976" s="2"/>
      <c r="V976" s="2"/>
      <c r="W976" s="2"/>
      <c r="X976" s="2"/>
      <c r="Y976" s="2"/>
      <c r="Z976" s="2"/>
    </row>
    <row r="977">
      <c r="A977" s="2"/>
      <c r="B977" s="7"/>
      <c r="C977" s="7"/>
      <c r="D977" s="7"/>
      <c r="E977" s="7"/>
      <c r="F977" s="7"/>
      <c r="G977" s="7"/>
      <c r="H977" s="7"/>
      <c r="I977" s="7"/>
      <c r="J977" s="7"/>
      <c r="K977" s="7"/>
      <c r="L977" s="7"/>
      <c r="M977" s="7"/>
      <c r="N977" s="7"/>
      <c r="O977" s="2"/>
      <c r="P977" s="2"/>
      <c r="Q977" s="2"/>
      <c r="R977" s="2"/>
      <c r="S977" s="2"/>
      <c r="T977" s="2"/>
      <c r="U977" s="2"/>
      <c r="V977" s="2"/>
      <c r="W977" s="2"/>
      <c r="X977" s="2"/>
      <c r="Y977" s="2"/>
      <c r="Z977" s="2"/>
    </row>
    <row r="978">
      <c r="A978" s="2"/>
      <c r="B978" s="7"/>
      <c r="C978" s="7"/>
      <c r="D978" s="7"/>
      <c r="E978" s="7"/>
      <c r="F978" s="7"/>
      <c r="G978" s="7"/>
      <c r="H978" s="7"/>
      <c r="I978" s="7"/>
      <c r="J978" s="7"/>
      <c r="K978" s="7"/>
      <c r="L978" s="7"/>
      <c r="M978" s="7"/>
      <c r="N978" s="7"/>
      <c r="O978" s="2"/>
      <c r="P978" s="2"/>
      <c r="Q978" s="2"/>
      <c r="R978" s="2"/>
      <c r="S978" s="2"/>
      <c r="T978" s="2"/>
      <c r="U978" s="2"/>
      <c r="V978" s="2"/>
      <c r="W978" s="2"/>
      <c r="X978" s="2"/>
      <c r="Y978" s="2"/>
      <c r="Z978" s="2"/>
    </row>
    <row r="979">
      <c r="A979" s="2"/>
      <c r="B979" s="7"/>
      <c r="C979" s="7"/>
      <c r="D979" s="7"/>
      <c r="E979" s="7"/>
      <c r="F979" s="7"/>
      <c r="G979" s="7"/>
      <c r="H979" s="7"/>
      <c r="I979" s="7"/>
      <c r="J979" s="7"/>
      <c r="K979" s="7"/>
      <c r="L979" s="7"/>
      <c r="M979" s="7"/>
      <c r="N979" s="7"/>
      <c r="O979" s="2"/>
      <c r="P979" s="2"/>
      <c r="Q979" s="2"/>
      <c r="R979" s="2"/>
      <c r="S979" s="2"/>
      <c r="T979" s="2"/>
      <c r="U979" s="2"/>
      <c r="V979" s="2"/>
      <c r="W979" s="2"/>
      <c r="X979" s="2"/>
      <c r="Y979" s="2"/>
      <c r="Z979" s="2"/>
    </row>
    <row r="980">
      <c r="A980" s="2"/>
      <c r="B980" s="7"/>
      <c r="C980" s="7"/>
      <c r="D980" s="7"/>
      <c r="E980" s="7"/>
      <c r="F980" s="7"/>
      <c r="G980" s="7"/>
      <c r="H980" s="7"/>
      <c r="I980" s="7"/>
      <c r="J980" s="7"/>
      <c r="K980" s="7"/>
      <c r="L980" s="7"/>
      <c r="M980" s="7"/>
      <c r="N980" s="7"/>
      <c r="O980" s="2"/>
      <c r="P980" s="2"/>
      <c r="Q980" s="2"/>
      <c r="R980" s="2"/>
      <c r="S980" s="2"/>
      <c r="T980" s="2"/>
      <c r="U980" s="2"/>
      <c r="V980" s="2"/>
      <c r="W980" s="2"/>
      <c r="X980" s="2"/>
      <c r="Y980" s="2"/>
      <c r="Z980" s="2"/>
    </row>
    <row r="981">
      <c r="A981" s="2"/>
      <c r="B981" s="7"/>
      <c r="C981" s="7"/>
      <c r="D981" s="7"/>
      <c r="E981" s="7"/>
      <c r="F981" s="7"/>
      <c r="G981" s="7"/>
      <c r="H981" s="7"/>
      <c r="I981" s="7"/>
      <c r="J981" s="7"/>
      <c r="K981" s="7"/>
      <c r="L981" s="7"/>
      <c r="M981" s="7"/>
      <c r="N981" s="7"/>
      <c r="O981" s="2"/>
      <c r="P981" s="2"/>
      <c r="Q981" s="2"/>
      <c r="R981" s="2"/>
      <c r="S981" s="2"/>
      <c r="T981" s="2"/>
      <c r="U981" s="2"/>
      <c r="V981" s="2"/>
      <c r="W981" s="2"/>
      <c r="X981" s="2"/>
      <c r="Y981" s="2"/>
      <c r="Z981" s="2"/>
    </row>
    <row r="982">
      <c r="A982" s="2"/>
      <c r="B982" s="7"/>
      <c r="C982" s="7"/>
      <c r="D982" s="7"/>
      <c r="E982" s="7"/>
      <c r="F982" s="7"/>
      <c r="G982" s="7"/>
      <c r="H982" s="7"/>
      <c r="I982" s="7"/>
      <c r="J982" s="7"/>
      <c r="K982" s="7"/>
      <c r="L982" s="7"/>
      <c r="M982" s="7"/>
      <c r="N982" s="7"/>
      <c r="O982" s="2"/>
      <c r="P982" s="2"/>
      <c r="Q982" s="2"/>
      <c r="R982" s="2"/>
      <c r="S982" s="2"/>
      <c r="T982" s="2"/>
      <c r="U982" s="2"/>
      <c r="V982" s="2"/>
      <c r="W982" s="2"/>
      <c r="X982" s="2"/>
      <c r="Y982" s="2"/>
      <c r="Z982" s="2"/>
    </row>
    <row r="983">
      <c r="A983" s="2"/>
      <c r="B983" s="7"/>
      <c r="C983" s="7"/>
      <c r="D983" s="7"/>
      <c r="E983" s="7"/>
      <c r="F983" s="7"/>
      <c r="G983" s="7"/>
      <c r="H983" s="7"/>
      <c r="I983" s="7"/>
      <c r="J983" s="7"/>
      <c r="K983" s="7"/>
      <c r="L983" s="7"/>
      <c r="M983" s="7"/>
      <c r="N983" s="7"/>
      <c r="O983" s="2"/>
      <c r="P983" s="2"/>
      <c r="Q983" s="2"/>
      <c r="R983" s="2"/>
      <c r="S983" s="2"/>
      <c r="T983" s="2"/>
      <c r="U983" s="2"/>
      <c r="V983" s="2"/>
      <c r="W983" s="2"/>
      <c r="X983" s="2"/>
      <c r="Y983" s="2"/>
      <c r="Z983" s="2"/>
    </row>
    <row r="984">
      <c r="A984" s="2"/>
      <c r="B984" s="7"/>
      <c r="C984" s="7"/>
      <c r="D984" s="7"/>
      <c r="E984" s="7"/>
      <c r="F984" s="7"/>
      <c r="G984" s="7"/>
      <c r="H984" s="7"/>
      <c r="I984" s="7"/>
      <c r="J984" s="7"/>
      <c r="K984" s="7"/>
      <c r="L984" s="7"/>
      <c r="M984" s="7"/>
      <c r="N984" s="7"/>
      <c r="O984" s="2"/>
      <c r="P984" s="2"/>
      <c r="Q984" s="2"/>
      <c r="R984" s="2"/>
      <c r="S984" s="2"/>
      <c r="T984" s="2"/>
      <c r="U984" s="2"/>
      <c r="V984" s="2"/>
      <c r="W984" s="2"/>
      <c r="X984" s="2"/>
      <c r="Y984" s="2"/>
      <c r="Z984" s="2"/>
    </row>
    <row r="985">
      <c r="A985" s="2"/>
      <c r="B985" s="7"/>
      <c r="C985" s="7"/>
      <c r="D985" s="7"/>
      <c r="E985" s="7"/>
      <c r="F985" s="7"/>
      <c r="G985" s="7"/>
      <c r="H985" s="7"/>
      <c r="I985" s="7"/>
      <c r="J985" s="7"/>
      <c r="K985" s="7"/>
      <c r="L985" s="7"/>
      <c r="M985" s="7"/>
      <c r="N985" s="7"/>
      <c r="O985" s="2"/>
      <c r="P985" s="2"/>
      <c r="Q985" s="2"/>
      <c r="R985" s="2"/>
      <c r="S985" s="2"/>
      <c r="T985" s="2"/>
      <c r="U985" s="2"/>
      <c r="V985" s="2"/>
      <c r="W985" s="2"/>
      <c r="X985" s="2"/>
      <c r="Y985" s="2"/>
      <c r="Z985" s="2"/>
    </row>
    <row r="986">
      <c r="A986" s="2"/>
      <c r="B986" s="7"/>
      <c r="C986" s="7"/>
      <c r="D986" s="7"/>
      <c r="E986" s="7"/>
      <c r="F986" s="7"/>
      <c r="G986" s="7"/>
      <c r="H986" s="7"/>
      <c r="I986" s="7"/>
      <c r="J986" s="7"/>
      <c r="K986" s="7"/>
      <c r="L986" s="7"/>
      <c r="M986" s="7"/>
      <c r="N986" s="7"/>
      <c r="O986" s="2"/>
      <c r="P986" s="2"/>
      <c r="Q986" s="2"/>
      <c r="R986" s="2"/>
      <c r="S986" s="2"/>
      <c r="T986" s="2"/>
      <c r="U986" s="2"/>
      <c r="V986" s="2"/>
      <c r="W986" s="2"/>
      <c r="X986" s="2"/>
      <c r="Y986" s="2"/>
      <c r="Z986" s="2"/>
    </row>
    <row r="987">
      <c r="A987" s="2"/>
      <c r="B987" s="7"/>
      <c r="C987" s="7"/>
      <c r="D987" s="7"/>
      <c r="E987" s="7"/>
      <c r="F987" s="7"/>
      <c r="G987" s="7"/>
      <c r="H987" s="7"/>
      <c r="I987" s="7"/>
      <c r="J987" s="7"/>
      <c r="K987" s="7"/>
      <c r="L987" s="7"/>
      <c r="M987" s="7"/>
      <c r="N987" s="7"/>
      <c r="O987" s="2"/>
      <c r="P987" s="2"/>
      <c r="Q987" s="2"/>
      <c r="R987" s="2"/>
      <c r="S987" s="2"/>
      <c r="T987" s="2"/>
      <c r="U987" s="2"/>
      <c r="V987" s="2"/>
      <c r="W987" s="2"/>
      <c r="X987" s="2"/>
      <c r="Y987" s="2"/>
      <c r="Z987" s="2"/>
    </row>
    <row r="988">
      <c r="A988" s="2"/>
      <c r="B988" s="7"/>
      <c r="C988" s="7"/>
      <c r="D988" s="7"/>
      <c r="E988" s="7"/>
      <c r="F988" s="7"/>
      <c r="G988" s="7"/>
      <c r="H988" s="7"/>
      <c r="I988" s="7"/>
      <c r="J988" s="7"/>
      <c r="K988" s="7"/>
      <c r="L988" s="7"/>
      <c r="M988" s="7"/>
      <c r="N988" s="7"/>
      <c r="O988" s="2"/>
      <c r="P988" s="2"/>
      <c r="Q988" s="2"/>
      <c r="R988" s="2"/>
      <c r="S988" s="2"/>
      <c r="T988" s="2"/>
      <c r="U988" s="2"/>
      <c r="V988" s="2"/>
      <c r="W988" s="2"/>
      <c r="X988" s="2"/>
      <c r="Y988" s="2"/>
      <c r="Z988" s="2"/>
    </row>
    <row r="989">
      <c r="A989" s="2"/>
      <c r="B989" s="7"/>
      <c r="C989" s="7"/>
      <c r="D989" s="7"/>
      <c r="E989" s="7"/>
      <c r="F989" s="7"/>
      <c r="G989" s="7"/>
      <c r="H989" s="7"/>
      <c r="I989" s="7"/>
      <c r="J989" s="7"/>
      <c r="K989" s="7"/>
      <c r="L989" s="7"/>
      <c r="M989" s="7"/>
      <c r="N989" s="7"/>
      <c r="O989" s="2"/>
      <c r="P989" s="2"/>
      <c r="Q989" s="2"/>
      <c r="R989" s="2"/>
      <c r="S989" s="2"/>
      <c r="T989" s="2"/>
      <c r="U989" s="2"/>
      <c r="V989" s="2"/>
      <c r="W989" s="2"/>
      <c r="X989" s="2"/>
      <c r="Y989" s="2"/>
      <c r="Z989" s="2"/>
    </row>
    <row r="990">
      <c r="A990" s="2"/>
      <c r="B990" s="7"/>
      <c r="C990" s="7"/>
      <c r="D990" s="7"/>
      <c r="E990" s="7"/>
      <c r="F990" s="7"/>
      <c r="G990" s="7"/>
      <c r="H990" s="7"/>
      <c r="I990" s="7"/>
      <c r="J990" s="7"/>
      <c r="K990" s="7"/>
      <c r="L990" s="7"/>
      <c r="M990" s="7"/>
      <c r="N990" s="7"/>
      <c r="O990" s="2"/>
      <c r="P990" s="2"/>
      <c r="Q990" s="2"/>
      <c r="R990" s="2"/>
      <c r="S990" s="2"/>
      <c r="T990" s="2"/>
      <c r="U990" s="2"/>
      <c r="V990" s="2"/>
      <c r="W990" s="2"/>
      <c r="X990" s="2"/>
      <c r="Y990" s="2"/>
      <c r="Z990" s="2"/>
    </row>
    <row r="991">
      <c r="A991" s="2"/>
      <c r="B991" s="7"/>
      <c r="C991" s="7"/>
      <c r="D991" s="7"/>
      <c r="E991" s="7"/>
      <c r="F991" s="7"/>
      <c r="G991" s="7"/>
      <c r="H991" s="7"/>
      <c r="I991" s="7"/>
      <c r="J991" s="7"/>
      <c r="K991" s="7"/>
      <c r="L991" s="7"/>
      <c r="M991" s="7"/>
      <c r="N991" s="7"/>
      <c r="O991" s="2"/>
      <c r="P991" s="2"/>
      <c r="Q991" s="2"/>
      <c r="R991" s="2"/>
      <c r="S991" s="2"/>
      <c r="T991" s="2"/>
      <c r="U991" s="2"/>
      <c r="V991" s="2"/>
      <c r="W991" s="2"/>
      <c r="X991" s="2"/>
      <c r="Y991" s="2"/>
      <c r="Z991" s="2"/>
    </row>
    <row r="992">
      <c r="A992" s="2"/>
      <c r="B992" s="7"/>
      <c r="C992" s="7"/>
      <c r="D992" s="7"/>
      <c r="E992" s="7"/>
      <c r="F992" s="7"/>
      <c r="G992" s="7"/>
      <c r="H992" s="7"/>
      <c r="I992" s="7"/>
      <c r="J992" s="7"/>
      <c r="K992" s="7"/>
      <c r="L992" s="7"/>
      <c r="M992" s="7"/>
      <c r="N992" s="7"/>
      <c r="O992" s="2"/>
      <c r="P992" s="2"/>
      <c r="Q992" s="2"/>
      <c r="R992" s="2"/>
      <c r="S992" s="2"/>
      <c r="T992" s="2"/>
      <c r="U992" s="2"/>
      <c r="V992" s="2"/>
      <c r="W992" s="2"/>
      <c r="X992" s="2"/>
      <c r="Y992" s="2"/>
      <c r="Z992" s="2"/>
    </row>
    <row r="993">
      <c r="A993" s="2"/>
      <c r="B993" s="7"/>
      <c r="C993" s="7"/>
      <c r="D993" s="7"/>
      <c r="E993" s="7"/>
      <c r="F993" s="7"/>
      <c r="G993" s="7"/>
      <c r="H993" s="7"/>
      <c r="I993" s="7"/>
      <c r="J993" s="7"/>
      <c r="K993" s="7"/>
      <c r="L993" s="7"/>
      <c r="M993" s="7"/>
      <c r="N993" s="7"/>
      <c r="O993" s="2"/>
      <c r="P993" s="2"/>
      <c r="Q993" s="2"/>
      <c r="R993" s="2"/>
      <c r="S993" s="2"/>
      <c r="T993" s="2"/>
      <c r="U993" s="2"/>
      <c r="V993" s="2"/>
      <c r="W993" s="2"/>
      <c r="X993" s="2"/>
      <c r="Y993" s="2"/>
      <c r="Z993" s="2"/>
    </row>
  </sheetData>
  <mergeCells count="15">
    <mergeCell ref="N9:N10"/>
    <mergeCell ref="N16:N17"/>
    <mergeCell ref="N20:N21"/>
    <mergeCell ref="N27:N28"/>
    <mergeCell ref="N31:N32"/>
    <mergeCell ref="B19:M19"/>
    <mergeCell ref="B27:M27"/>
    <mergeCell ref="B30:M30"/>
    <mergeCell ref="A1:N1"/>
    <mergeCell ref="F3:G3"/>
    <mergeCell ref="H3:I3"/>
    <mergeCell ref="B5:M5"/>
    <mergeCell ref="N5:N6"/>
    <mergeCell ref="B8:M8"/>
    <mergeCell ref="B16:M16"/>
  </mergeCells>
  <conditionalFormatting sqref="A1:Z993">
    <cfRule type="cellIs" dxfId="2" priority="1" operator="equal">
      <formula>0</formula>
    </cfRule>
  </conditionalFormatting>
  <conditionalFormatting sqref="B9:M9 B20:M20 B31:M31">
    <cfRule type="colorScale" priority="2">
      <colorScale>
        <cfvo type="min"/>
        <cfvo type="percentile" val="50"/>
        <cfvo type="max"/>
        <color rgb="FFFFD988"/>
        <color rgb="FFFFFFFF"/>
        <color rgb="FF9B58DB"/>
      </colorScale>
    </cfRule>
  </conditionalFormatting>
  <conditionalFormatting sqref="B10:M10 B21:M21 B32:M32">
    <cfRule type="colorScale" priority="3">
      <colorScale>
        <cfvo type="min"/>
        <cfvo type="percentile" val="50"/>
        <cfvo type="max"/>
        <color rgb="FFFFD988"/>
        <color rgb="FFFFFFFF"/>
        <color rgb="FF9B58DB"/>
      </colorScale>
    </cfRule>
  </conditionalFormatting>
  <conditionalFormatting sqref="B11:M11 B22:M22 B33:M33">
    <cfRule type="cellIs" dxfId="0" priority="4" operator="greaterThan">
      <formula>8</formula>
    </cfRule>
  </conditionalFormatting>
  <conditionalFormatting sqref="B11:M11 B22:M22 B33:M33">
    <cfRule type="cellIs" dxfId="3" priority="5" operator="lessThan">
      <formula>6</formula>
    </cfRule>
  </conditionalFormatting>
  <conditionalFormatting sqref="B12:M12 B23:M23 B34:M34">
    <cfRule type="cellIs" dxfId="0" priority="6" operator="greaterThan">
      <formula>15</formula>
    </cfRule>
  </conditionalFormatting>
  <conditionalFormatting sqref="B12:M12 B23:M23 B34:M34">
    <cfRule type="cellIs" dxfId="1" priority="7" operator="lessThan">
      <formula>14</formula>
    </cfRule>
  </conditionalFormatting>
  <conditionalFormatting sqref="B13:M13 B24:M24 B35:M35">
    <cfRule type="cellIs" dxfId="0" priority="8" operator="greaterThan">
      <formula>4</formula>
    </cfRule>
  </conditionalFormatting>
  <conditionalFormatting sqref="B13:M13 B24:M24 B35:M35">
    <cfRule type="cellIs" dxfId="1" priority="9" operator="lessThan">
      <formula>3</formula>
    </cfRule>
  </conditionalFormatting>
  <conditionalFormatting sqref="B14:M14 B25:M25 B36:M36">
    <cfRule type="cellIs" dxfId="1" priority="10" operator="greaterThan">
      <formula>4</formula>
    </cfRule>
  </conditionalFormatting>
  <conditionalFormatting sqref="B14:M14 B25:M25 B36:M36">
    <cfRule type="cellIs" dxfId="0" priority="11" operator="lessThan">
      <formula>3</formula>
    </cfRule>
  </conditionalFormatting>
  <drawing r:id="rId1"/>
  <extLst>
    <ext uri="{05C60535-1F16-4fd2-B633-F4F36F0B64E0}">
      <x14:sparklineGroups>
        <x14:sparklineGroup manualMin="0.0" type="column" displayEmptyCellsAs="gap" high="1" minAxisType="custom">
          <x14:colorSeries rgb="FFFDB927"/>
          <x14:colorHigh rgb="FF552583"/>
          <x14:sparklines>
            <x14:sparkline>
              <xm:f>MonthBreakdown!B9:M9</xm:f>
              <xm:sqref>B8</xm:sqref>
            </x14:sparkline>
          </x14:sparklines>
        </x14:sparklineGroup>
        <x14:sparklineGroup manualMin="0.0" type="column" displayEmptyCellsAs="gap" high="1" minAxisType="custom">
          <x14:colorSeries rgb="FFFDB927"/>
          <x14:colorHigh rgb="FF552583"/>
          <x14:sparklines>
            <x14:sparkline>
              <xm:f>MonthBreakdown!B20:M20</xm:f>
              <xm:sqref>B19</xm:sqref>
            </x14:sparkline>
          </x14:sparklines>
        </x14:sparklineGroup>
        <x14:sparklineGroup manualMin="0.0" type="column" displayEmptyCellsAs="gap" high="1" minAxisType="custom">
          <x14:colorSeries rgb="FFFDB927"/>
          <x14:colorHigh rgb="FF552583"/>
          <x14:sparklines>
            <x14:sparkline>
              <xm:f>MonthBreakdown!B31:M31</xm:f>
              <xm:sqref>B30</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11</v>
      </c>
      <c r="B1" s="58" t="s">
        <v>19</v>
      </c>
      <c r="C1" s="2"/>
      <c r="D1" s="58"/>
      <c r="E1" s="2"/>
      <c r="F1" s="2"/>
      <c r="G1" s="2"/>
      <c r="H1" s="2"/>
      <c r="I1" s="2"/>
      <c r="J1" s="2"/>
      <c r="K1" s="2"/>
      <c r="L1" s="2"/>
      <c r="M1" s="2"/>
      <c r="N1" s="2"/>
      <c r="O1" s="2"/>
      <c r="P1" s="2"/>
      <c r="Q1" s="2"/>
      <c r="R1" s="2"/>
      <c r="S1" s="2"/>
      <c r="T1" s="2"/>
      <c r="U1" s="2"/>
      <c r="V1" s="2"/>
      <c r="W1" s="2"/>
      <c r="X1" s="2"/>
      <c r="Y1" s="2"/>
      <c r="Z1" s="2"/>
    </row>
    <row r="2">
      <c r="A2" s="44" t="s">
        <v>14</v>
      </c>
      <c r="B2" s="2"/>
      <c r="C2" s="2"/>
      <c r="D2" s="44"/>
      <c r="E2" s="2"/>
      <c r="F2" s="2"/>
      <c r="G2" s="2"/>
      <c r="H2" s="2"/>
      <c r="I2" s="2"/>
      <c r="J2" s="2"/>
      <c r="K2" s="2"/>
      <c r="L2" s="2"/>
      <c r="M2" s="2"/>
      <c r="N2" s="2"/>
      <c r="O2" s="2"/>
      <c r="P2" s="2"/>
      <c r="Q2" s="2"/>
      <c r="R2" s="2"/>
      <c r="S2" s="2"/>
      <c r="T2" s="2"/>
      <c r="U2" s="2"/>
      <c r="V2" s="2"/>
      <c r="W2" s="2"/>
      <c r="X2" s="2"/>
      <c r="Y2" s="2"/>
      <c r="Z2" s="2"/>
    </row>
    <row r="3">
      <c r="A3" s="44" t="s">
        <v>15</v>
      </c>
      <c r="B3" s="2"/>
      <c r="C3" s="2"/>
      <c r="D3" s="44"/>
      <c r="E3" s="2"/>
      <c r="F3" s="2"/>
      <c r="G3" s="2"/>
      <c r="H3" s="2"/>
      <c r="I3" s="2"/>
      <c r="J3" s="2"/>
      <c r="K3" s="2"/>
      <c r="L3" s="2"/>
      <c r="M3" s="2"/>
      <c r="N3" s="2"/>
      <c r="O3" s="2"/>
      <c r="P3" s="2"/>
      <c r="Q3" s="2"/>
      <c r="R3" s="2"/>
      <c r="S3" s="2"/>
      <c r="T3" s="2"/>
      <c r="U3" s="2"/>
      <c r="V3" s="2"/>
      <c r="W3" s="2"/>
      <c r="X3" s="2"/>
      <c r="Y3" s="2"/>
      <c r="Z3" s="2"/>
    </row>
    <row r="4">
      <c r="A4" s="44" t="s">
        <v>16</v>
      </c>
      <c r="B4" s="2"/>
      <c r="C4" s="2"/>
      <c r="D4" s="44"/>
      <c r="E4" s="2"/>
      <c r="F4" s="2"/>
      <c r="G4" s="2"/>
      <c r="H4" s="2"/>
      <c r="I4" s="2"/>
      <c r="J4" s="2"/>
      <c r="K4" s="2"/>
      <c r="L4" s="2"/>
      <c r="M4" s="2"/>
      <c r="N4" s="2"/>
      <c r="O4" s="2"/>
      <c r="P4" s="2"/>
      <c r="Q4" s="2"/>
      <c r="R4" s="2"/>
      <c r="S4" s="2"/>
      <c r="T4" s="2"/>
      <c r="U4" s="2"/>
      <c r="V4" s="2"/>
      <c r="W4" s="2"/>
      <c r="X4" s="2"/>
      <c r="Y4" s="2"/>
      <c r="Z4" s="2"/>
    </row>
    <row r="5">
      <c r="A5" s="44" t="s">
        <v>13</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8" width="12.0"/>
    <col customWidth="1" min="9" max="10" width="15.13"/>
    <col customWidth="1" min="11" max="14" width="12.0"/>
    <col customWidth="1" min="15" max="17" width="11.38"/>
  </cols>
  <sheetData>
    <row r="1" ht="26.25" customHeight="1">
      <c r="A1" s="33" t="s">
        <v>20</v>
      </c>
      <c r="H1" s="59"/>
      <c r="I1" s="33" t="s">
        <v>42</v>
      </c>
      <c r="K1" s="59"/>
      <c r="L1" s="59"/>
      <c r="M1" s="59"/>
      <c r="N1" s="59"/>
      <c r="O1" s="2"/>
      <c r="P1" s="2"/>
      <c r="Q1" s="2"/>
      <c r="R1" s="2"/>
      <c r="S1" s="2"/>
      <c r="T1" s="2"/>
      <c r="U1" s="2"/>
      <c r="X1" s="2"/>
      <c r="Y1" s="2"/>
      <c r="Z1" s="2"/>
    </row>
    <row r="2" ht="7.5" customHeight="1">
      <c r="A2" s="60"/>
      <c r="B2" s="61"/>
      <c r="C2" s="7"/>
      <c r="D2" s="60"/>
      <c r="F2" s="61"/>
      <c r="G2" s="7"/>
      <c r="H2" s="2"/>
      <c r="I2" s="62"/>
      <c r="J2" s="7"/>
      <c r="K2" s="2"/>
      <c r="L2" s="2"/>
      <c r="M2" s="2"/>
      <c r="N2" s="2"/>
      <c r="O2" s="2"/>
      <c r="P2" s="2"/>
      <c r="Q2" s="2"/>
      <c r="R2" s="2"/>
      <c r="S2" s="2"/>
      <c r="T2" s="2"/>
      <c r="U2" s="2"/>
      <c r="X2" s="2"/>
      <c r="Y2" s="2"/>
      <c r="Z2" s="2"/>
    </row>
    <row r="3" ht="30.0" customHeight="1">
      <c r="A3" s="35" t="s">
        <v>22</v>
      </c>
      <c r="B3" s="63">
        <v>44554.0</v>
      </c>
      <c r="C3" s="35" t="s">
        <v>23</v>
      </c>
      <c r="D3" s="63">
        <v>45292.0</v>
      </c>
      <c r="E3" s="35" t="s">
        <v>24</v>
      </c>
      <c r="G3" s="64">
        <v>0.2</v>
      </c>
      <c r="H3" s="2"/>
      <c r="I3" s="65" t="s">
        <v>43</v>
      </c>
      <c r="J3" s="64">
        <v>0.1</v>
      </c>
      <c r="K3" s="2"/>
      <c r="L3" s="2"/>
      <c r="M3" s="2"/>
      <c r="N3" s="2"/>
      <c r="O3" s="2"/>
      <c r="P3" s="2"/>
      <c r="Q3" s="2"/>
      <c r="R3" s="2"/>
      <c r="S3" s="2"/>
      <c r="T3" s="2"/>
      <c r="U3" s="2"/>
      <c r="X3" s="2"/>
      <c r="Y3" s="2"/>
      <c r="Z3" s="2"/>
    </row>
    <row r="4" ht="7.5" customHeight="1">
      <c r="A4" s="7"/>
      <c r="B4" s="7"/>
      <c r="C4" s="7"/>
      <c r="D4" s="7"/>
      <c r="E4" s="7"/>
      <c r="F4" s="7"/>
      <c r="G4" s="7"/>
      <c r="H4" s="2"/>
      <c r="I4" s="62"/>
      <c r="J4" s="7"/>
      <c r="K4" s="2"/>
      <c r="L4" s="2"/>
      <c r="M4" s="2"/>
      <c r="N4" s="2"/>
      <c r="O4" s="2"/>
      <c r="P4" s="2"/>
      <c r="Q4" s="2"/>
      <c r="R4" s="2"/>
      <c r="S4" s="2"/>
      <c r="T4" s="2"/>
      <c r="U4" s="2"/>
      <c r="X4" s="2"/>
      <c r="Y4" s="2"/>
      <c r="Z4" s="2"/>
    </row>
    <row r="5" ht="30.0" customHeight="1">
      <c r="A5" s="66" t="s">
        <v>26</v>
      </c>
      <c r="B5" s="66" t="s">
        <v>27</v>
      </c>
      <c r="C5" s="66" t="s">
        <v>28</v>
      </c>
      <c r="D5" s="66" t="s">
        <v>29</v>
      </c>
      <c r="E5" s="66" t="s">
        <v>30</v>
      </c>
      <c r="F5" s="66" t="s">
        <v>31</v>
      </c>
      <c r="G5" s="66" t="s">
        <v>32</v>
      </c>
      <c r="H5" s="67"/>
      <c r="I5" s="68" t="s">
        <v>33</v>
      </c>
      <c r="J5" s="40"/>
      <c r="K5" s="44"/>
      <c r="L5" s="44"/>
      <c r="M5" s="69"/>
      <c r="N5" s="44"/>
      <c r="O5" s="67"/>
      <c r="P5" s="67"/>
      <c r="Q5" s="67"/>
      <c r="R5" s="67"/>
      <c r="S5" s="67"/>
      <c r="T5" s="67"/>
      <c r="U5" s="67"/>
      <c r="V5" s="67"/>
      <c r="W5" s="67"/>
      <c r="X5" s="67"/>
      <c r="Y5" s="67"/>
      <c r="Z5" s="67"/>
    </row>
    <row r="6" ht="22.5" customHeight="1">
      <c r="A6" s="41">
        <f>B3-WEEKDAY(B3)+1</f>
        <v>44549</v>
      </c>
      <c r="B6" s="41">
        <f t="shared" ref="B6:G6" si="1">IF(A6&gt;=$D$3,"",A6+1)</f>
        <v>44550</v>
      </c>
      <c r="C6" s="41">
        <f t="shared" si="1"/>
        <v>44551</v>
      </c>
      <c r="D6" s="41">
        <f t="shared" si="1"/>
        <v>44552</v>
      </c>
      <c r="E6" s="41">
        <f t="shared" si="1"/>
        <v>44553</v>
      </c>
      <c r="F6" s="41">
        <f t="shared" si="1"/>
        <v>44554</v>
      </c>
      <c r="G6" s="41">
        <f t="shared" si="1"/>
        <v>44555</v>
      </c>
      <c r="H6" s="2"/>
      <c r="K6" s="70"/>
      <c r="O6" s="69"/>
      <c r="P6" s="69"/>
      <c r="R6" s="2"/>
      <c r="S6" s="2"/>
      <c r="T6" s="2"/>
      <c r="U6" s="2"/>
      <c r="V6" s="58" t="s">
        <v>44</v>
      </c>
      <c r="W6" s="2"/>
      <c r="X6" s="2"/>
      <c r="Y6" s="2"/>
      <c r="Z6" s="2"/>
    </row>
    <row r="7" ht="22.5" customHeight="1">
      <c r="A7" s="42" t="str">
        <f t="array" ref="A7">IFERROR(INDEX(Lists2!$B:$B,MATCH(A8,Lists2!$A:$A,0)),"")</f>
        <v/>
      </c>
      <c r="B7" s="42" t="str">
        <f t="array" ref="B7">IFERROR(INDEX(Lists2!$B:$B,MATCH(B8,Lists2!$A:$A,0)),"")</f>
        <v/>
      </c>
      <c r="C7" s="42" t="str">
        <f t="array" ref="C7">IFERROR(INDEX(Lists2!$B:$B,MATCH(C8,Lists2!$A:$A,0)),"")</f>
        <v/>
      </c>
      <c r="D7" s="42" t="str">
        <f t="array" ref="D7">IFERROR(INDEX(Lists2!$B:$B,MATCH(D8,Lists2!$A:$A,0)),"")</f>
        <v/>
      </c>
      <c r="E7" s="42" t="str">
        <f t="array" ref="E7">IFERROR(INDEX(Lists2!$B:$B,MATCH(E8,Lists2!$A:$A,0)),"")</f>
        <v/>
      </c>
      <c r="F7" s="42" t="str">
        <f t="array" ref="F7">IFERROR(INDEX(Lists2!$B:$B,MATCH(F8,Lists2!$A:$A,0)),"")</f>
        <v/>
      </c>
      <c r="G7" s="42" t="str">
        <f t="array" ref="G7">IFERROR(INDEX(Lists2!$B:$B,MATCH(G8,Lists2!$A:$A,0)),"")</f>
        <v/>
      </c>
      <c r="H7" s="2"/>
      <c r="I7" s="71" t="str">
        <f>"Week of "&amp;TEXT(A6-7,"MM/DD")</f>
        <v>Week of 12/12</v>
      </c>
      <c r="J7" s="71" t="str">
        <f>"Week of "&amp;TEXT(A6,"MM/DD")</f>
        <v>Week of 12/19</v>
      </c>
      <c r="L7" s="2"/>
      <c r="M7" s="2"/>
      <c r="N7" s="2"/>
      <c r="O7" s="2"/>
      <c r="P7" s="2"/>
      <c r="Q7" s="2"/>
      <c r="R7" s="2"/>
      <c r="S7" s="2"/>
      <c r="T7" s="2"/>
      <c r="U7" s="2"/>
      <c r="V7" s="44" t="s">
        <v>45</v>
      </c>
      <c r="W7" s="2">
        <f>AVERAGE(FinishedData!$C:$C)</f>
        <v>761.2775842</v>
      </c>
      <c r="X7" s="2"/>
      <c r="Y7" s="2"/>
      <c r="Z7" s="2"/>
    </row>
    <row r="8" ht="22.5" customHeight="1">
      <c r="A8" s="42" t="str">
        <f t="array" ref="A8">IFERROR(INDEX(FinishedData!$B:$B,MATCH(A6,FinishedData!$A:$A,0)),"")</f>
        <v>Practice</v>
      </c>
      <c r="B8" s="42" t="str">
        <f t="array" ref="B8">IFERROR(INDEX(FinishedData!$B:$B,MATCH(B6,FinishedData!$A:$A,0)),"")</f>
        <v>Practice</v>
      </c>
      <c r="C8" s="42" t="str">
        <f t="array" ref="C8">IFERROR(INDEX(FinishedData!$B:$B,MATCH(C6,FinishedData!$A:$A,0)),"")</f>
        <v>Practice</v>
      </c>
      <c r="D8" s="42" t="str">
        <f t="array" ref="D8">IFERROR(INDEX(FinishedData!$B:$B,MATCH(D6,FinishedData!$A:$A,0)),"")</f>
        <v>Game</v>
      </c>
      <c r="E8" s="42" t="str">
        <f t="array" ref="E8">IFERROR(INDEX(FinishedData!$B:$B,MATCH(E6,FinishedData!$A:$A,0)),"")</f>
        <v>Off</v>
      </c>
      <c r="F8" s="42" t="str">
        <f t="array" ref="F8">IFERROR(INDEX(FinishedData!$B:$B,MATCH(F6,FinishedData!$A:$A,0)),"")</f>
        <v>Practice</v>
      </c>
      <c r="G8" s="42" t="str">
        <f t="array" ref="G8">IFERROR(INDEX(FinishedData!$B:$B,MATCH(G6,FinishedData!$A:$A,0)),"")</f>
        <v>Game</v>
      </c>
      <c r="H8" s="2"/>
      <c r="I8" s="72">
        <f>IFERROR(__xludf.DUMMYFUNCTION("IF(A6="""","""",IF(WEEKNUM($A$6)=1,SUM(FILTER(FinishedData!$C:$C,YEAR(FinishedData!$A:$A)=YEAR($A$6)-1,WEEKNUM(FinishedData!$A:$A)=WEEKNUM($A$6)+52)),
SUM(FILTER(FinishedData!$C:$C,YEAR(FinishedData!$A:$A)=YEAR($A$6),WEEKNUM(FinishedData!$A:$A)=WEEKNUM($A"&amp;"$6)-1))))"),4410.0)</f>
        <v>4410</v>
      </c>
      <c r="J8" s="72">
        <f>IFERROR(__xludf.DUMMYFUNCTION("IF(A6="""","""", SUM(FILTER(FinishedData!$C:$C,YEAR(FinishedData!$A:$A)=YEAR($A6),WEEKNUM(FinishedData!$A:$A)=WEEKNUM($A6))))"),4620.0)</f>
        <v>4620</v>
      </c>
      <c r="K8" s="2"/>
      <c r="L8" s="2"/>
      <c r="M8" s="2"/>
      <c r="N8" s="44" t="str">
        <f>M5</f>
        <v/>
      </c>
      <c r="O8" s="44" t="str">
        <f>TEXT(F6-1,"MMMM")</f>
        <v>December</v>
      </c>
      <c r="P8" s="44" t="str">
        <f>"Change from "&amp;TEXT(G6-1,"MMMM")</f>
        <v>Change from December</v>
      </c>
      <c r="Q8" s="2"/>
      <c r="R8" s="2"/>
      <c r="S8" s="2"/>
      <c r="T8" s="2"/>
      <c r="U8" s="2"/>
      <c r="V8" s="44" t="s">
        <v>46</v>
      </c>
      <c r="W8" s="2">
        <f>$W$7+($W$7*Calendar2!$G$3)</f>
        <v>913.533101</v>
      </c>
      <c r="X8" s="2"/>
      <c r="Y8" s="2"/>
      <c r="Z8" s="2"/>
    </row>
    <row r="9" ht="22.5" customHeight="1">
      <c r="A9" s="73">
        <f t="array" ref="A9">IFERROR(INDEX(FinishedData!$C:$C,MATCH(A6,FinishedData!$A:$A,0)),"")</f>
        <v>710</v>
      </c>
      <c r="B9" s="73">
        <f t="array" ref="B9">IFERROR(INDEX(FinishedData!$C:$C,MATCH(B6,FinishedData!$A:$A,0)),"")</f>
        <v>580</v>
      </c>
      <c r="C9" s="73">
        <f t="array" ref="C9">IFERROR(INDEX(FinishedData!$C:$C,MATCH(C6,FinishedData!$A:$A,0)),"")</f>
        <v>730</v>
      </c>
      <c r="D9" s="73">
        <f t="array" ref="D9">IFERROR(INDEX(FinishedData!$C:$C,MATCH(D6,FinishedData!$A:$A,0)),"")</f>
        <v>930</v>
      </c>
      <c r="E9" s="73" t="str">
        <f t="array" ref="E9">IFERROR(INDEX(FinishedData!$C:$C,MATCH(E6,FinishedData!$A:$A,0)),"")</f>
        <v/>
      </c>
      <c r="F9" s="73">
        <f t="array" ref="F9">IFERROR(INDEX(FinishedData!$C:$C,MATCH(F6,FinishedData!$A:$A,0)),"")</f>
        <v>860</v>
      </c>
      <c r="G9" s="73">
        <f t="array" ref="G9">IFERROR(INDEX(FinishedData!$C:$C,MATCH(G6,FinishedData!$A:$A,0)),"")</f>
        <v>810</v>
      </c>
      <c r="H9" s="2"/>
      <c r="I9" s="74" t="s">
        <v>47</v>
      </c>
      <c r="J9" s="75">
        <f>IFERROR(__xludf.DUMMYFUNCTION("IFERROR(IF(WEEKNUM($A$6)=1,($J8-SUM(FILTER(FinishedData!$C:$C,YEAR(FinishedData!$A:$A)=YEAR($A$6)-1,WEEKNUM(FinishedData!$A:$A)=WEEKNUM($A$6)+52)))/$I8,
($J8-SUM(FILTER(FinishedData!$C:$C,YEAR(FinishedData!$A:$A)=YEAR($A$6),WEEKNUM(FinishedData!$A:$A)=WEE"&amp;"KNUM($A$6)-1)))/$I8),"""")"),0.047619047619047616)</f>
        <v>0.04761904762</v>
      </c>
      <c r="K9" s="2"/>
      <c r="L9" s="2"/>
      <c r="M9" s="2"/>
      <c r="N9" s="2"/>
      <c r="O9" s="2"/>
      <c r="P9" s="2"/>
      <c r="Q9" s="2"/>
      <c r="R9" s="2"/>
      <c r="S9" s="2"/>
      <c r="T9" s="2"/>
      <c r="U9" s="2"/>
      <c r="V9" s="44" t="s">
        <v>48</v>
      </c>
      <c r="W9" s="2">
        <f>$W$7-($W$7*Calendar2!$G$3)</f>
        <v>609.0220674</v>
      </c>
      <c r="X9" s="2"/>
      <c r="Y9" s="2"/>
      <c r="Z9" s="2"/>
    </row>
    <row r="10" ht="22.5" customHeight="1">
      <c r="A10" s="76">
        <f>IF(G6&gt;=$D$3,"",G6+1)</f>
        <v>44556</v>
      </c>
      <c r="B10" s="76">
        <f t="shared" ref="B10:G10" si="2">IF(A10&gt;=$D$3,"",A10+1)</f>
        <v>44557</v>
      </c>
      <c r="C10" s="76">
        <f t="shared" si="2"/>
        <v>44558</v>
      </c>
      <c r="D10" s="76">
        <f t="shared" si="2"/>
        <v>44559</v>
      </c>
      <c r="E10" s="76">
        <f t="shared" si="2"/>
        <v>44560</v>
      </c>
      <c r="F10" s="76">
        <f t="shared" si="2"/>
        <v>44561</v>
      </c>
      <c r="G10" s="76">
        <f t="shared" si="2"/>
        <v>44562</v>
      </c>
      <c r="H10" s="2"/>
      <c r="K10" s="2"/>
      <c r="L10" s="69"/>
      <c r="M10" s="69" t="s">
        <v>15</v>
      </c>
      <c r="N10" s="77" t="str">
        <f>IFERROR(__xludf.DUMMYFUNCTION("SUM(FILTER(#REF!,YEAR(FinishedData!$A:$A)=YEAR($G6),MONTH(FinishedData!$A:$A)=MONTH($G6),FinishedData!$B:$B=M10))"),"#REF!")</f>
        <v>#REF!</v>
      </c>
      <c r="O10" s="78" t="str">
        <f>IFERROR(__xludf.DUMMYFUNCTION("IF(MONTH($G$6)=1,SUM(FILTER(#REF!,YEAR(FinishedData!$A:$A)=YEAR($G$6)-1,MONTH(FinishedData!$A:$A)=MONTH($G$6)+11,FinishedData!$B:$B=M10)),
SUM(FILTER(#REF!,YEAR(FinishedData!$A:$A)=MONTH($G$6),MONTH(FinishedData!$A:$A)=MONTH($G$6)-1,FinishedData!$B:$B=M10"&amp;")))"),"#REF!")</f>
        <v>#REF!</v>
      </c>
      <c r="P10" s="78" t="str">
        <f>IFERROR(__xludf.DUMMYFUNCTION("IF(MONTH($G$6)=1,$N10-SUM(FILTER(#REF!,YEAR(FinishedData!$A:$A)=YEAR($G$6)-1,MONTH(FinishedData!$A:$A)=MONTH($G$6)+11,FinishedData!$B:$B=$M10)),
$N10-SUM(FILTER(#REF!,YEAR(FinishedData!$A:$A)=YEAR($G$6),MONTH(FinishedData!$A:$A)=MONTH($G$6)-1,FinishedData"&amp;"!$B:$B=$M10)))"),"#REF!")</f>
        <v>#REF!</v>
      </c>
      <c r="Q10" s="2"/>
      <c r="R10" s="2"/>
      <c r="S10" s="2"/>
      <c r="T10" s="2"/>
      <c r="U10" s="2"/>
      <c r="V10" s="2"/>
      <c r="W10" s="2"/>
      <c r="X10" s="2"/>
      <c r="Y10" s="2"/>
      <c r="Z10" s="2"/>
    </row>
    <row r="11" ht="22.5" customHeight="1">
      <c r="A11" s="42" t="str">
        <f t="array" ref="A11">IFERROR(INDEX(Lists2!$B:$B,MATCH(A12,Lists2!$A:$A,0)),"")</f>
        <v/>
      </c>
      <c r="B11" s="42" t="str">
        <f t="array" ref="B11">IFERROR(INDEX(Lists2!$B:$B,MATCH(B12,Lists2!$A:$A,0)),"")</f>
        <v/>
      </c>
      <c r="C11" s="42" t="str">
        <f t="array" ref="C11">IFERROR(INDEX(Lists2!$B:$B,MATCH(C12,Lists2!$A:$A,0)),"")</f>
        <v/>
      </c>
      <c r="D11" s="42" t="str">
        <f t="array" ref="D11">IFERROR(INDEX(Lists2!$B:$B,MATCH(D12,Lists2!$A:$A,0)),"")</f>
        <v/>
      </c>
      <c r="E11" s="42" t="str">
        <f t="array" ref="E11">IFERROR(INDEX(Lists2!$B:$B,MATCH(E12,Lists2!$A:$A,0)),"")</f>
        <v/>
      </c>
      <c r="F11" s="42" t="str">
        <f t="array" ref="F11">IFERROR(INDEX(Lists2!$B:$B,MATCH(F12,Lists2!$A:$A,0)),"")</f>
        <v/>
      </c>
      <c r="G11" s="42" t="str">
        <f t="array" ref="G11">IFERROR(INDEX(Lists2!$B:$B,MATCH(G12,Lists2!$A:$A,0)),"")</f>
        <v/>
      </c>
      <c r="H11" s="2"/>
      <c r="I11" s="71" t="str">
        <f>"Week of "&amp;TEXT(A10-7,"MM/DD")</f>
        <v>Week of 12/19</v>
      </c>
      <c r="J11" s="71" t="str">
        <f>"Week of "&amp;TEXT(A10,"MM/DD")</f>
        <v>Week of 12/26</v>
      </c>
      <c r="K11" s="2"/>
      <c r="L11" s="79"/>
      <c r="M11" s="79"/>
      <c r="N11" s="79"/>
      <c r="O11" s="79"/>
      <c r="P11" s="79"/>
      <c r="Q11" s="2"/>
      <c r="R11" s="2"/>
      <c r="S11" s="2"/>
      <c r="T11" s="2"/>
      <c r="U11" s="2"/>
      <c r="V11" s="2"/>
      <c r="W11" s="2"/>
      <c r="X11" s="2"/>
      <c r="Y11" s="2"/>
      <c r="Z11" s="2"/>
    </row>
    <row r="12" ht="22.5" customHeight="1">
      <c r="A12" s="42" t="str">
        <f t="array" ref="A12">IFERROR(INDEX(FinishedData!$B:$B,MATCH(A10,FinishedData!$A:$A,0)),"")</f>
        <v>Practice</v>
      </c>
      <c r="B12" s="42" t="str">
        <f t="array" ref="B12">IFERROR(INDEX(FinishedData!$B:$B,MATCH(B10,FinishedData!$A:$A,0)),"")</f>
        <v>Practice</v>
      </c>
      <c r="C12" s="42" t="str">
        <f t="array" ref="C12">IFERROR(INDEX(FinishedData!$B:$B,MATCH(C10,FinishedData!$A:$A,0)),"")</f>
        <v>Game</v>
      </c>
      <c r="D12" s="42" t="str">
        <f t="array" ref="D12">IFERROR(INDEX(FinishedData!$B:$B,MATCH(D10,FinishedData!$A:$A,0)),"")</f>
        <v>Practice</v>
      </c>
      <c r="E12" s="42" t="str">
        <f t="array" ref="E12">IFERROR(INDEX(FinishedData!$B:$B,MATCH(E10,FinishedData!$A:$A,0)),"")</f>
        <v>Gym</v>
      </c>
      <c r="F12" s="42" t="str">
        <f t="array" ref="F12">IFERROR(INDEX(FinishedData!$B:$B,MATCH(F10,FinishedData!$A:$A,0)),"")</f>
        <v>Off</v>
      </c>
      <c r="G12" s="42" t="str">
        <f t="array" ref="G12">IFERROR(INDEX(FinishedData!$B:$B,MATCH(G10,FinishedData!$A:$A,0)),"")</f>
        <v>Practice</v>
      </c>
      <c r="H12" s="2"/>
      <c r="I12" s="72">
        <f>IFERROR(__xludf.DUMMYFUNCTION("IF(A10="""","""",IF(WEEKNUM($A$6)=1,SUM(FILTER(FinishedData!$C:$C,YEAR(FinishedData!$A:$A)=YEAR($A$6)-1,WEEKNUM(FinishedData!$A:$A)=WEEKNUM($A$6)+52)),
SUM(FILTER(FinishedData!$C:$C,YEAR(FinishedData!$A:$A)=YEAR($A$6),WEEKNUM(FinishedData!$A:$A)=WEEKNUM($"&amp;"A$6)-1))))"),4410.0)</f>
        <v>4410</v>
      </c>
      <c r="J12" s="72">
        <f>IFERROR(__xludf.DUMMYFUNCTION("IF(A10="""","""", SUM(FILTER(FinishedData!$C:$C,YEAR(FinishedData!$A:$A)=YEAR($A10),WEEKNUM(FinishedData!$A:$A)=WEEKNUM($A10))))"),4375.0)</f>
        <v>4375</v>
      </c>
      <c r="K12" s="72">
        <f>SUMIFS(FinishedData!$C:$C,FinishedData!$A:$A,"&gt;="&amp;$A$10,FinishedData!$A:$A,"&lt;="&amp;$G$10)</f>
        <v>5360</v>
      </c>
      <c r="L12" s="80"/>
      <c r="M12" s="69" t="s">
        <v>14</v>
      </c>
      <c r="N12" s="77" t="str">
        <f>IFERROR(__xludf.DUMMYFUNCTION("SUM(FILTER(#REF!,YEAR(FinishedData!$A:$A)=YEAR($G6),MONTH(FinishedData!$A:$A)=MONTH($G6),FinishedData!$B:$B=M12))"),"#REF!")</f>
        <v>#REF!</v>
      </c>
      <c r="O12" s="78" t="str">
        <f>IFERROR(__xludf.DUMMYFUNCTION("IF(MONTH($G$6)=1,SUM(FILTER(#REF!,YEAR(FinishedData!$A:$A)=YEAR($G$6)-1,MONTH(FinishedData!$A:$A)=MONTH($G$6)+11,FinishedData!$B:$B=M12)),
SUM(FILTER(#REF!,YEAR(FinishedData!$A:$A)=MONTH($G$6),MONTH(FinishedData!$A:$A)=MONTH($G$6)-1,FinishedData!$B:$B=M12"&amp;")))"),"#REF!")</f>
        <v>#REF!</v>
      </c>
      <c r="P12" s="78" t="str">
        <f>IFERROR(__xludf.DUMMYFUNCTION("IF(MONTH($G$6)=1,$N12-SUM(FILTER(#REF!,YEAR(FinishedData!$A:$A)=YEAR($G$6)-1,MONTH(FinishedData!$A:$A)=MONTH($G$6)+11,FinishedData!$B:$B=$M12)),
$N12-SUM(FILTER(#REF!,YEAR(FinishedData!$A:$A)=YEAR($G$6),MONTH(FinishedData!$A:$A)=MONTH($G$6)-1,FinishedData"&amp;"!$B:$B=$M12)))"),"#REF!")</f>
        <v>#REF!</v>
      </c>
      <c r="Q12" s="2"/>
      <c r="R12" s="2"/>
      <c r="S12" s="2"/>
      <c r="T12" s="2"/>
      <c r="U12" s="2"/>
      <c r="V12" s="2"/>
      <c r="W12" s="2"/>
      <c r="X12" s="2"/>
      <c r="Y12" s="2"/>
      <c r="Z12" s="2"/>
    </row>
    <row r="13" ht="22.5" customHeight="1">
      <c r="A13" s="73">
        <f t="array" ref="A13">IFERROR(INDEX(FinishedData!$C:$C,MATCH(A10,FinishedData!$A:$A,0)),"")</f>
        <v>745</v>
      </c>
      <c r="B13" s="73">
        <f t="array" ref="B13">IFERROR(INDEX(FinishedData!$C:$C,MATCH(B10,FinishedData!$A:$A,0)),"")</f>
        <v>955</v>
      </c>
      <c r="C13" s="73">
        <f t="array" ref="C13">IFERROR(INDEX(FinishedData!$C:$C,MATCH(C10,FinishedData!$A:$A,0)),"")</f>
        <v>935</v>
      </c>
      <c r="D13" s="73">
        <f t="array" ref="D13">IFERROR(INDEX(FinishedData!$C:$C,MATCH(D10,FinishedData!$A:$A,0)),"")</f>
        <v>900</v>
      </c>
      <c r="E13" s="73">
        <f t="array" ref="E13">IFERROR(INDEX(FinishedData!$C:$C,MATCH(E10,FinishedData!$A:$A,0)),"")</f>
        <v>840</v>
      </c>
      <c r="F13" s="73" t="str">
        <f t="array" ref="F13">IFERROR(INDEX(FinishedData!$C:$C,MATCH(F10,FinishedData!$A:$A,0)),"")</f>
        <v/>
      </c>
      <c r="G13" s="73">
        <f t="array" ref="G13">IFERROR(INDEX(FinishedData!$C:$C,MATCH(G10,FinishedData!$A:$A,0)),"")</f>
        <v>985</v>
      </c>
      <c r="H13" s="2"/>
      <c r="I13" s="74" t="s">
        <v>49</v>
      </c>
      <c r="J13" s="75">
        <f>IFERROR(__xludf.DUMMYFUNCTION("IFERROR(IF(WEEKNUM($A$6)=1,($J12-SUM(FILTER(FinishedData!$C:$C,YEAR(FinishedData!$A:$A)=YEAR($A$6)-1,WEEKNUM(FinishedData!$A:$A)=WEEKNUM($A$6)+52)))/$I12,
($J12-SUM(FILTER(FinishedData!$C:$C,YEAR(FinishedData!$A:$A)=YEAR($A$6),WEEKNUM(FinishedData!$A:$A)="&amp;"WEEKNUM($A$6)-1)))/$I12),"""")"),-0.007936507936507936)</f>
        <v>-0.007936507937</v>
      </c>
      <c r="K13" s="72">
        <f>SUMIFS(FinishedData!$C:$C,FinishedData!$A:$A,"&gt;="&amp;$A$10-7,FinishedData!$A:$A,"&lt;="&amp;$G$10-7)</f>
        <v>4620</v>
      </c>
      <c r="L13" s="79"/>
      <c r="M13" s="79"/>
      <c r="N13" s="79"/>
      <c r="O13" s="79"/>
      <c r="P13" s="79"/>
      <c r="Q13" s="2"/>
      <c r="R13" s="2"/>
      <c r="S13" s="2"/>
      <c r="T13" s="2"/>
      <c r="U13" s="2"/>
      <c r="V13" s="2"/>
      <c r="W13" s="2"/>
      <c r="X13" s="2"/>
      <c r="Y13" s="2"/>
      <c r="Z13" s="2"/>
    </row>
    <row r="14" ht="22.5" customHeight="1">
      <c r="A14" s="76">
        <f>IF(G10&gt;=$D$3,"",G10+1)</f>
        <v>44563</v>
      </c>
      <c r="B14" s="76">
        <f t="shared" ref="B14:G14" si="3">IF(A14&gt;=$D$3,"",A14+1)</f>
        <v>44564</v>
      </c>
      <c r="C14" s="76">
        <f t="shared" si="3"/>
        <v>44565</v>
      </c>
      <c r="D14" s="76">
        <f t="shared" si="3"/>
        <v>44566</v>
      </c>
      <c r="E14" s="76">
        <f t="shared" si="3"/>
        <v>44567</v>
      </c>
      <c r="F14" s="76">
        <f t="shared" si="3"/>
        <v>44568</v>
      </c>
      <c r="G14" s="76">
        <f t="shared" si="3"/>
        <v>44569</v>
      </c>
      <c r="H14" s="2"/>
      <c r="K14" s="2"/>
      <c r="L14" s="69"/>
      <c r="M14" s="69" t="s">
        <v>13</v>
      </c>
      <c r="N14" s="77" t="str">
        <f>IFERROR(__xludf.DUMMYFUNCTION("SUM(FILTER(#REF!,YEAR(FinishedData!$A:$A)=YEAR($G6),MONTH(FinishedData!$A:$A)=MONTH($G6),FinishedData!$B:$B=M14))"),"#REF!")</f>
        <v>#REF!</v>
      </c>
      <c r="O14" s="78" t="str">
        <f>IFERROR(__xludf.DUMMYFUNCTION("IF(MONTH($G$6)=1,SUM(FILTER(#REF!,YEAR(FinishedData!$A:$A)=YEAR($G$6)-1,MONTH(FinishedData!$A:$A)=MONTH($G$6)+11,FinishedData!$B:$B=M14)),
SUM(FILTER(#REF!,YEAR(FinishedData!$A:$A)=MONTH($G$6),MONTH(FinishedData!$A:$A)=MONTH($G$6)-1,FinishedData!$B:$B=M14"&amp;")))"),"#REF!")</f>
        <v>#REF!</v>
      </c>
      <c r="P14" s="78" t="str">
        <f>IFERROR(__xludf.DUMMYFUNCTION("IF(MONTH($G$6)=1,$N14-SUM(FILTER(#REF!,YEAR(FinishedData!$A:$A)=YEAR($G$6)-1,MONTH(FinishedData!$A:$A)=MONTH($G$6)+11,FinishedData!$B:$B=$M14)),
$N14-SUM(FILTER(#REF!,YEAR(FinishedData!$A:$A)=YEAR($G$6),MONTH(FinishedData!$A:$A)=MONTH($G$6)-1,FinishedData"&amp;"!$B:$B=$M14)))"),"#REF!")</f>
        <v>#REF!</v>
      </c>
      <c r="Q14" s="2"/>
      <c r="R14" s="2"/>
      <c r="S14" s="2"/>
      <c r="T14" s="2"/>
      <c r="U14" s="2"/>
      <c r="V14" s="2"/>
      <c r="W14" s="2"/>
      <c r="X14" s="2"/>
      <c r="Y14" s="2"/>
      <c r="Z14" s="2"/>
    </row>
    <row r="15" ht="22.5" customHeight="1">
      <c r="A15" s="42" t="str">
        <f t="array" ref="A15">IFERROR(INDEX(Lists2!$B:$B,MATCH(A16,Lists2!$A:$A,0)),"")</f>
        <v/>
      </c>
      <c r="B15" s="42" t="str">
        <f t="array" ref="B15">IFERROR(INDEX(Lists2!$B:$B,MATCH(B16,Lists2!$A:$A,0)),"")</f>
        <v/>
      </c>
      <c r="C15" s="42" t="str">
        <f t="array" ref="C15">IFERROR(INDEX(Lists2!$B:$B,MATCH(C16,Lists2!$A:$A,0)),"")</f>
        <v/>
      </c>
      <c r="D15" s="42" t="str">
        <f t="array" ref="D15">IFERROR(INDEX(Lists2!$B:$B,MATCH(D16,Lists2!$A:$A,0)),"")</f>
        <v/>
      </c>
      <c r="E15" s="42" t="str">
        <f t="array" ref="E15">IFERROR(INDEX(Lists2!$B:$B,MATCH(E16,Lists2!$A:$A,0)),"")</f>
        <v/>
      </c>
      <c r="F15" s="42" t="str">
        <f t="array" ref="F15">IFERROR(INDEX(Lists2!$B:$B,MATCH(F16,Lists2!$A:$A,0)),"")</f>
        <v/>
      </c>
      <c r="G15" s="42" t="str">
        <f t="array" ref="G15">IFERROR(INDEX(Lists2!$B:$B,MATCH(G16,Lists2!$A:$A,0)),"")</f>
        <v/>
      </c>
      <c r="H15" s="2"/>
      <c r="I15" s="71" t="str">
        <f>"Week of "&amp;TEXT(A14-7,"MM/DD")</f>
        <v>Week of 12/26</v>
      </c>
      <c r="J15" s="71" t="str">
        <f>"Week of "&amp;TEXT(A14,"MM/DD")</f>
        <v>Week of 01/02</v>
      </c>
      <c r="K15" s="2"/>
      <c r="L15" s="79"/>
      <c r="M15" s="79"/>
      <c r="N15" s="79"/>
      <c r="O15" s="79"/>
      <c r="P15" s="79"/>
      <c r="Q15" s="2"/>
      <c r="R15" s="2"/>
      <c r="S15" s="2"/>
      <c r="T15" s="2"/>
      <c r="U15" s="2"/>
      <c r="V15" s="2"/>
      <c r="W15" s="2"/>
      <c r="X15" s="2"/>
      <c r="Y15" s="2"/>
      <c r="Z15" s="2"/>
    </row>
    <row r="16" ht="22.5" customHeight="1">
      <c r="A16" s="42" t="str">
        <f t="array" ref="A16">IFERROR(INDEX(FinishedData!$B:$B,MATCH(A14,FinishedData!$A:$A,0)),"")</f>
        <v>Practice</v>
      </c>
      <c r="B16" s="42" t="str">
        <f t="array" ref="B16">IFERROR(INDEX(FinishedData!$B:$B,MATCH(B14,FinishedData!$A:$A,0)),"")</f>
        <v>Game</v>
      </c>
      <c r="C16" s="42" t="str">
        <f t="array" ref="C16">IFERROR(INDEX(FinishedData!$B:$B,MATCH(C14,FinishedData!$A:$A,0)),"")</f>
        <v>Game</v>
      </c>
      <c r="D16" s="42" t="str">
        <f t="array" ref="D16">IFERROR(INDEX(FinishedData!$B:$B,MATCH(D14,FinishedData!$A:$A,0)),"")</f>
        <v>Off</v>
      </c>
      <c r="E16" s="42" t="str">
        <f t="array" ref="E16">IFERROR(INDEX(FinishedData!$B:$B,MATCH(E14,FinishedData!$A:$A,0)),"")</f>
        <v>Practice</v>
      </c>
      <c r="F16" s="42" t="str">
        <f t="array" ref="F16">IFERROR(INDEX(FinishedData!$B:$B,MATCH(F14,FinishedData!$A:$A,0)),"")</f>
        <v>Gym</v>
      </c>
      <c r="G16" s="42" t="str">
        <f t="array" ref="G16">IFERROR(INDEX(FinishedData!$B:$B,MATCH(G14,FinishedData!$A:$A,0)),"")</f>
        <v>Practice</v>
      </c>
      <c r="H16" s="2"/>
      <c r="I16" s="72">
        <f>IFERROR(__xludf.DUMMYFUNCTION("IF(A14="""","""",IF(WEEKNUM($A$6)=1,SUM(FILTER(FinishedData!$C:$C,YEAR(FinishedData!$A:$A)=YEAR($A$6)-1,WEEKNUM(FinishedData!$A:$A)=WEEKNUM($A$6)+52)),
SUM(FILTER(FinishedData!$C:$C,YEAR(FinishedData!$A:$A)=YEAR($A$6),WEEKNUM(FinishedData!$A:$A)=WEEKNUM($"&amp;"A$6)-1))))"),4410.0)</f>
        <v>4410</v>
      </c>
      <c r="J16" s="72">
        <f>IFERROR(__xludf.DUMMYFUNCTION("IF(A14="""","""", SUM(FILTER(FinishedData!$C:$C,YEAR(FinishedData!$A:$A)=YEAR($A14),WEEKNUM(FinishedData!$A:$A)=WEEKNUM($A14))))"),4375.0)</f>
        <v>4375</v>
      </c>
      <c r="K16" s="2"/>
      <c r="L16" s="69"/>
      <c r="M16" s="69" t="s">
        <v>16</v>
      </c>
      <c r="N16" s="77" t="str">
        <f>IFERROR(__xludf.DUMMYFUNCTION("SUM(FILTER(#REF!,YEAR(FinishedData!$A:$A)=YEAR($G6),MONTH(FinishedData!$A:$A)=MONTH($G6),FinishedData!$B:$B=M16))"),"#REF!")</f>
        <v>#REF!</v>
      </c>
      <c r="O16" s="78" t="str">
        <f>IFERROR(__xludf.DUMMYFUNCTION("IF(MONTH($G$6)=1,SUM(FILTER(#REF!,YEAR(FinishedData!$A:$A)=YEAR($G$6)-1,MONTH(FinishedData!$A:$A)=MONTH($G$6)+11,FinishedData!$B:$B=M16)),
SUM(FILTER(#REF!,YEAR(FinishedData!$A:$A)=MONTH($G$6),MONTH(FinishedData!$A:$A)=MONTH($G$6)-1,FinishedData!$B:$B=M16"&amp;")))"),"#REF!")</f>
        <v>#REF!</v>
      </c>
      <c r="P16" s="78" t="str">
        <f>IFERROR(__xludf.DUMMYFUNCTION("IF(MONTH($G$6)=1,$N16-SUM(FILTER(#REF!,YEAR(FinishedData!$A:$A)=YEAR($G$6)-1,MONTH(FinishedData!$A:$A)=MONTH($G$6)+11,FinishedData!$B:$B=$M16)),
$N16-SUM(FILTER(#REF!,YEAR(FinishedData!$A:$A)=YEAR($G$6),MONTH(FinishedData!$A:$A)=MONTH($G$6)-1,FinishedData"&amp;"!$B:$B=$M16)))"),"#REF!")</f>
        <v>#REF!</v>
      </c>
      <c r="Q16" s="2"/>
      <c r="R16" s="2"/>
      <c r="S16" s="2"/>
      <c r="T16" s="2"/>
      <c r="U16" s="2"/>
      <c r="V16" s="2"/>
      <c r="W16" s="2"/>
      <c r="X16" s="2"/>
      <c r="Y16" s="2"/>
      <c r="Z16" s="2"/>
    </row>
    <row r="17" ht="22.5" customHeight="1">
      <c r="A17" s="73">
        <f t="array" ref="A17">IFERROR(INDEX(FinishedData!$C:$C,MATCH(A14,FinishedData!$A:$A,0)),"")</f>
        <v>630</v>
      </c>
      <c r="B17" s="73">
        <f t="array" ref="B17">IFERROR(INDEX(FinishedData!$C:$C,MATCH(B14,FinishedData!$A:$A,0)),"")</f>
        <v>685</v>
      </c>
      <c r="C17" s="73">
        <f t="array" ref="C17">IFERROR(INDEX(FinishedData!$C:$C,MATCH(C14,FinishedData!$A:$A,0)),"")</f>
        <v>800</v>
      </c>
      <c r="D17" s="73" t="str">
        <f t="array" ref="D17">IFERROR(INDEX(FinishedData!$C:$C,MATCH(D14,FinishedData!$A:$A,0)),"")</f>
        <v/>
      </c>
      <c r="E17" s="73">
        <f t="array" ref="E17">IFERROR(INDEX(FinishedData!$C:$C,MATCH(E14,FinishedData!$A:$A,0)),"")</f>
        <v>695</v>
      </c>
      <c r="F17" s="73">
        <f t="array" ref="F17">IFERROR(INDEX(FinishedData!$C:$C,MATCH(F14,FinishedData!$A:$A,0)),"")</f>
        <v>695</v>
      </c>
      <c r="G17" s="73">
        <f t="array" ref="G17">IFERROR(INDEX(FinishedData!$C:$C,MATCH(G14,FinishedData!$A:$A,0)),"")</f>
        <v>870</v>
      </c>
      <c r="H17" s="2"/>
      <c r="I17" s="74" t="s">
        <v>47</v>
      </c>
      <c r="J17" s="75">
        <f>IFERROR(__xludf.DUMMYFUNCTION("IFERROR(IF(WEEKNUM($A$6)=1,($J16-SUM(FILTER(FinishedData!$C:$C,YEAR(FinishedData!$A:$A)=YEAR($A$6)-1,WEEKNUM(FinishedData!$A:$A)=WEEKNUM($A$6)+52)))/$I16,
($J16-SUM(FILTER(FinishedData!$C:$C,YEAR(FinishedData!$A:$A)=YEAR($A$6),WEEKNUM(FinishedData!$A:$A)="&amp;"WEEKNUM($A$6)-1)))/$I16),"""")"),-0.007936507936507936)</f>
        <v>-0.007936507937</v>
      </c>
      <c r="K17" s="2"/>
      <c r="L17" s="79"/>
      <c r="M17" s="79"/>
      <c r="N17" s="79"/>
      <c r="O17" s="79"/>
      <c r="P17" s="79"/>
      <c r="Q17" s="2"/>
      <c r="R17" s="2"/>
      <c r="S17" s="2"/>
      <c r="T17" s="2"/>
      <c r="U17" s="2"/>
      <c r="V17" s="2"/>
      <c r="W17" s="2"/>
      <c r="X17" s="2"/>
      <c r="Y17" s="2"/>
      <c r="Z17" s="2"/>
    </row>
    <row r="18" ht="22.5" customHeight="1">
      <c r="A18" s="76">
        <f>IF(G14&gt;=$D$3,"",G14+1)</f>
        <v>44570</v>
      </c>
      <c r="B18" s="76">
        <f t="shared" ref="B18:G18" si="4">IF(A18&gt;=$D$3,"",A18+1)</f>
        <v>44571</v>
      </c>
      <c r="C18" s="76">
        <f t="shared" si="4"/>
        <v>44572</v>
      </c>
      <c r="D18" s="76">
        <f t="shared" si="4"/>
        <v>44573</v>
      </c>
      <c r="E18" s="76">
        <f t="shared" si="4"/>
        <v>44574</v>
      </c>
      <c r="F18" s="76">
        <f t="shared" si="4"/>
        <v>44575</v>
      </c>
      <c r="G18" s="76">
        <f t="shared" si="4"/>
        <v>44576</v>
      </c>
      <c r="H18" s="2"/>
      <c r="K18" s="2"/>
      <c r="L18" s="69"/>
      <c r="M18" s="69" t="s">
        <v>12</v>
      </c>
      <c r="N18" s="77">
        <f>IFERROR(__xludf.DUMMYFUNCTION("SUM(FILTER(FinishedData!$C:$C,YEAR(FinishedData!$A:$A)=YEAR($G6),MONTH(FinishedData!$A:$A)=MONTH($G6)))"),20680.0)</f>
        <v>20680</v>
      </c>
      <c r="O18" s="78" t="str">
        <f>IFERROR(__xludf.DUMMYFUNCTION("IF(MONTH($G$6)=1,SUM(FILTER(FinishedData!$C:$C,YEAR(FinishedData!$A:$A)=YEAR($G$6)-1,MONTH(FinishedData!$A:$A)=MONTH($G$6)+11)),
SUM(FILTER(FinishedData!$C:$C,YEAR(FinishedData!$A:$A)=MONTH($G$6),MONTH(FinishedData!$A:$A)=MONTH($G$6)-1)))"),"#N/A")</f>
        <v>#N/A</v>
      </c>
      <c r="P18" s="81" t="str">
        <f>IFERROR(__xludf.DUMMYFUNCTION("IF(MONTH($G$6)=1,($N18-SUM(FILTER(FinishedData!$C:$C,YEAR(FinishedData!$A:$A)=YEAR($G$6)-1,MONTH(FinishedData!$A:$A)=MONTH($G$6)+11)))/O18,
($N18-SUM(FILTER(FinishedData!$C:$C,YEAR(FinishedData!$A:$A)=YEAR($G$6),MONTH(FinishedData!$A:$A)=MONTH($G$6)-1)))/"&amp;"O18)"),"#N/A")</f>
        <v>#N/A</v>
      </c>
      <c r="Q18" s="2"/>
      <c r="R18" s="2"/>
      <c r="S18" s="2"/>
      <c r="T18" s="2"/>
      <c r="U18" s="2"/>
      <c r="V18" s="2"/>
      <c r="W18" s="2"/>
      <c r="X18" s="2"/>
      <c r="Y18" s="2"/>
      <c r="Z18" s="2"/>
    </row>
    <row r="19" ht="22.5" customHeight="1">
      <c r="A19" s="42" t="str">
        <f t="array" ref="A19">IFERROR(INDEX(Lists2!$B:$B,MATCH(A20,Lists2!$A:$A,0)),"")</f>
        <v/>
      </c>
      <c r="B19" s="42" t="str">
        <f t="array" ref="B19">IFERROR(INDEX(Lists2!$B:$B,MATCH(B20,Lists2!$A:$A,0)),"")</f>
        <v/>
      </c>
      <c r="C19" s="42" t="str">
        <f t="array" ref="C19">IFERROR(INDEX(Lists2!$B:$B,MATCH(C20,Lists2!$A:$A,0)),"")</f>
        <v/>
      </c>
      <c r="D19" s="42" t="str">
        <f t="array" ref="D19">IFERROR(INDEX(Lists2!$B:$B,MATCH(D20,Lists2!$A:$A,0)),"")</f>
        <v/>
      </c>
      <c r="E19" s="42" t="str">
        <f t="array" ref="E19">IFERROR(INDEX(Lists2!$B:$B,MATCH(E20,Lists2!$A:$A,0)),"")</f>
        <v/>
      </c>
      <c r="F19" s="42" t="str">
        <f t="array" ref="F19">IFERROR(INDEX(Lists2!$B:$B,MATCH(F20,Lists2!$A:$A,0)),"")</f>
        <v/>
      </c>
      <c r="G19" s="42" t="str">
        <f t="array" ref="G19">IFERROR(INDEX(Lists2!$B:$B,MATCH(G20,Lists2!$A:$A,0)),"")</f>
        <v/>
      </c>
      <c r="H19" s="2"/>
      <c r="I19" s="71" t="str">
        <f>"Week of "&amp;TEXT(A18-7,"MM/DD")</f>
        <v>Week of 01/02</v>
      </c>
      <c r="J19" s="71" t="str">
        <f>"Week of "&amp;TEXT(A18,"MM/DD")</f>
        <v>Week of 01/09</v>
      </c>
      <c r="K19" s="2"/>
      <c r="L19" s="2"/>
      <c r="M19" s="2"/>
      <c r="N19" s="2"/>
      <c r="O19" s="2"/>
      <c r="P19" s="2"/>
      <c r="Q19" s="2"/>
      <c r="R19" s="2"/>
      <c r="S19" s="2"/>
      <c r="T19" s="2"/>
      <c r="U19" s="2"/>
      <c r="V19" s="2"/>
      <c r="W19" s="2"/>
      <c r="X19" s="2"/>
      <c r="Y19" s="2"/>
      <c r="Z19" s="2"/>
    </row>
    <row r="20" ht="22.5" customHeight="1">
      <c r="A20" s="42" t="str">
        <f t="array" ref="A20">IFERROR(INDEX(FinishedData!$B:$B,MATCH(A18,FinishedData!$A:$A,0)),"")</f>
        <v>Practice</v>
      </c>
      <c r="B20" s="42" t="str">
        <f t="array" ref="B20">IFERROR(INDEX(FinishedData!$B:$B,MATCH(B18,FinishedData!$A:$A,0)),"")</f>
        <v>Game</v>
      </c>
      <c r="C20" s="42" t="str">
        <f t="array" ref="C20">IFERROR(INDEX(FinishedData!$B:$B,MATCH(C18,FinishedData!$A:$A,0)),"")</f>
        <v>Practice</v>
      </c>
      <c r="D20" s="42" t="str">
        <f t="array" ref="D20">IFERROR(INDEX(FinishedData!$B:$B,MATCH(D18,FinishedData!$A:$A,0)),"")</f>
        <v>Game</v>
      </c>
      <c r="E20" s="42" t="str">
        <f t="array" ref="E20">IFERROR(INDEX(FinishedData!$B:$B,MATCH(E18,FinishedData!$A:$A,0)),"")</f>
        <v>Off</v>
      </c>
      <c r="F20" s="42" t="str">
        <f t="array" ref="F20">IFERROR(INDEX(FinishedData!$B:$B,MATCH(F18,FinishedData!$A:$A,0)),"")</f>
        <v>Gym</v>
      </c>
      <c r="G20" s="42" t="str">
        <f t="array" ref="G20">IFERROR(INDEX(FinishedData!$B:$B,MATCH(G18,FinishedData!$A:$A,0)),"")</f>
        <v>Practice</v>
      </c>
      <c r="H20" s="2"/>
      <c r="I20" s="72">
        <f>IFERROR(__xludf.DUMMYFUNCTION("IF(A18="""","""",IF(WEEKNUM($A$6)=1,SUM(FILTER(FinishedData!$C:$C,YEAR(FinishedData!$A:$A)=YEAR($A$6)-1,WEEKNUM(FinishedData!$A:$A)=WEEKNUM($A$6)+52)),
SUM(FILTER(FinishedData!$C:$C,YEAR(FinishedData!$A:$A)=YEAR($A$6),WEEKNUM(FinishedData!$A:$A)=WEEKNUM($"&amp;"A$6)-1))))"),4410.0)</f>
        <v>4410</v>
      </c>
      <c r="J20" s="72">
        <f>IFERROR(__xludf.DUMMYFUNCTION("IF(A18="""","""", SUM(FILTER(FinishedData!$C:$C,YEAR(FinishedData!$A:$A)=YEAR($A18),WEEKNUM(FinishedData!$A:$A)=WEEKNUM($A18))))"),4370.0)</f>
        <v>4370</v>
      </c>
      <c r="K20" s="2"/>
      <c r="L20" s="2"/>
      <c r="M20" s="2"/>
      <c r="N20" s="2"/>
      <c r="O20" s="2"/>
      <c r="P20" s="2"/>
      <c r="Q20" s="2"/>
      <c r="R20" s="2"/>
      <c r="S20" s="2"/>
      <c r="T20" s="2"/>
      <c r="U20" s="2"/>
      <c r="V20" s="2"/>
      <c r="W20" s="2"/>
      <c r="X20" s="2"/>
      <c r="Y20" s="2"/>
      <c r="Z20" s="2"/>
    </row>
    <row r="21" ht="22.5" customHeight="1">
      <c r="A21" s="73">
        <f t="array" ref="A21">IFERROR(INDEX(FinishedData!$C:$C,MATCH(A18,FinishedData!$A:$A,0)),"")</f>
        <v>990</v>
      </c>
      <c r="B21" s="73">
        <f t="array" ref="B21">IFERROR(INDEX(FinishedData!$C:$C,MATCH(B18,FinishedData!$A:$A,0)),"")</f>
        <v>630</v>
      </c>
      <c r="C21" s="73">
        <f t="array" ref="C21">IFERROR(INDEX(FinishedData!$C:$C,MATCH(C18,FinishedData!$A:$A,0)),"")</f>
        <v>505</v>
      </c>
      <c r="D21" s="73">
        <f t="array" ref="D21">IFERROR(INDEX(FinishedData!$C:$C,MATCH(D18,FinishedData!$A:$A,0)),"")</f>
        <v>735</v>
      </c>
      <c r="E21" s="73" t="str">
        <f t="array" ref="E21">IFERROR(INDEX(FinishedData!$C:$C,MATCH(E18,FinishedData!$A:$A,0)),"")</f>
        <v/>
      </c>
      <c r="F21" s="73">
        <f t="array" ref="F21">IFERROR(INDEX(FinishedData!$C:$C,MATCH(F18,FinishedData!$A:$A,0)),"")</f>
        <v>865</v>
      </c>
      <c r="G21" s="73">
        <f t="array" ref="G21">IFERROR(INDEX(FinishedData!$C:$C,MATCH(G18,FinishedData!$A:$A,0)),"")</f>
        <v>645</v>
      </c>
      <c r="H21" s="2"/>
      <c r="I21" s="74" t="s">
        <v>49</v>
      </c>
      <c r="J21" s="75">
        <f>IFERROR(__xludf.DUMMYFUNCTION("IFERROR(IF(WEEKNUM($A$6)=1,($J20-SUM(FILTER(FinishedData!$C:$C,YEAR(FinishedData!$A:$A)=YEAR($A$6)-1,WEEKNUM(FinishedData!$A:$A)=WEEKNUM($A$6)+52)))/$I20,
($J20-SUM(FILTER(FinishedData!$C:$C,YEAR(FinishedData!$A:$A)=YEAR($A$6),WEEKNUM(FinishedData!$A:$A)="&amp;"WEEKNUM($A$6)-1)))/$I20),"""")"),-0.009070294784580499)</f>
        <v>-0.009070294785</v>
      </c>
      <c r="K21" s="2"/>
      <c r="L21" s="2"/>
      <c r="M21" s="2"/>
      <c r="N21" s="2"/>
      <c r="O21" s="2"/>
      <c r="P21" s="2"/>
      <c r="Q21" s="2"/>
      <c r="R21" s="2"/>
      <c r="S21" s="2"/>
      <c r="T21" s="2"/>
      <c r="U21" s="2"/>
      <c r="V21" s="2"/>
      <c r="W21" s="2"/>
      <c r="X21" s="2"/>
      <c r="Y21" s="2"/>
      <c r="Z21" s="2"/>
    </row>
    <row r="22" ht="22.5" customHeight="1">
      <c r="A22" s="76">
        <f>IF(G18&gt;=$D$3,"",G18+1)</f>
        <v>44577</v>
      </c>
      <c r="B22" s="76">
        <f t="shared" ref="B22:G22" si="5">IF(A22&gt;=$D$3,"",A22+1)</f>
        <v>44578</v>
      </c>
      <c r="C22" s="76">
        <f t="shared" si="5"/>
        <v>44579</v>
      </c>
      <c r="D22" s="76">
        <f t="shared" si="5"/>
        <v>44580</v>
      </c>
      <c r="E22" s="76">
        <f t="shared" si="5"/>
        <v>44581</v>
      </c>
      <c r="F22" s="76">
        <f t="shared" si="5"/>
        <v>44582</v>
      </c>
      <c r="G22" s="76">
        <f t="shared" si="5"/>
        <v>44583</v>
      </c>
      <c r="H22" s="2"/>
      <c r="I22" s="2"/>
      <c r="J22" s="2"/>
      <c r="K22" s="2"/>
      <c r="L22" s="2"/>
      <c r="M22" s="2"/>
      <c r="N22" s="2"/>
      <c r="O22" s="2"/>
      <c r="P22" s="2"/>
      <c r="Q22" s="2"/>
      <c r="R22" s="2"/>
      <c r="S22" s="2"/>
      <c r="T22" s="2"/>
      <c r="U22" s="2"/>
      <c r="V22" s="2"/>
      <c r="W22" s="2"/>
      <c r="X22" s="2"/>
    </row>
    <row r="23" ht="22.5" customHeight="1">
      <c r="A23" s="42" t="str">
        <f t="array" ref="A23">IFERROR(INDEX(Lists2!$B:$B,MATCH(A24,Lists2!$A:$A,0)),"")</f>
        <v/>
      </c>
      <c r="B23" s="42" t="str">
        <f t="array" ref="B23">IFERROR(INDEX(Lists2!$B:$B,MATCH(B24,Lists2!$A:$A,0)),"")</f>
        <v/>
      </c>
      <c r="C23" s="42" t="str">
        <f t="array" ref="C23">IFERROR(INDEX(Lists2!$B:$B,MATCH(C24,Lists2!$A:$A,0)),"")</f>
        <v/>
      </c>
      <c r="D23" s="42" t="str">
        <f t="array" ref="D23">IFERROR(INDEX(Lists2!$B:$B,MATCH(D24,Lists2!$A:$A,0)),"")</f>
        <v/>
      </c>
      <c r="E23" s="42" t="str">
        <f t="array" ref="E23">IFERROR(INDEX(Lists2!$B:$B,MATCH(E24,Lists2!$A:$A,0)),"")</f>
        <v/>
      </c>
      <c r="F23" s="42" t="str">
        <f t="array" ref="F23">IFERROR(INDEX(Lists2!$B:$B,MATCH(F24,Lists2!$A:$A,0)),"")</f>
        <v/>
      </c>
      <c r="G23" s="42" t="str">
        <f t="array" ref="G23">IFERROR(INDEX(Lists2!$B:$B,MATCH(G24,Lists2!$A:$A,0)),"")</f>
        <v/>
      </c>
      <c r="H23" s="2"/>
      <c r="I23" s="71" t="str">
        <f>"Week of "&amp;TEXT(A22-7,"MM/DD")</f>
        <v>Week of 01/09</v>
      </c>
      <c r="J23" s="71" t="str">
        <f>"Week of "&amp;TEXT(A22,"MM/DD")</f>
        <v>Week of 01/16</v>
      </c>
      <c r="K23" s="2"/>
      <c r="L23" s="2"/>
      <c r="M23" s="2"/>
      <c r="N23" s="2"/>
      <c r="O23" s="2"/>
      <c r="P23" s="2"/>
      <c r="Q23" s="2"/>
      <c r="R23" s="2"/>
      <c r="S23" s="2"/>
      <c r="T23" s="2"/>
      <c r="U23" s="2"/>
      <c r="V23" s="2"/>
      <c r="W23" s="2"/>
      <c r="X23" s="2"/>
      <c r="Y23" s="2"/>
      <c r="Z23" s="2"/>
    </row>
    <row r="24" ht="22.5" customHeight="1">
      <c r="A24" s="42" t="str">
        <f t="array" ref="A24">IFERROR(INDEX(FinishedData!$B:$B,MATCH(A22,FinishedData!$A:$A,0)),"")</f>
        <v>Practice</v>
      </c>
      <c r="B24" s="42" t="str">
        <f t="array" ref="B24">IFERROR(INDEX(FinishedData!$B:$B,MATCH(B22,FinishedData!$A:$A,0)),"")</f>
        <v>Practice</v>
      </c>
      <c r="C24" s="42" t="str">
        <f t="array" ref="C24">IFERROR(INDEX(FinishedData!$B:$B,MATCH(C22,FinishedData!$A:$A,0)),"")</f>
        <v>Game</v>
      </c>
      <c r="D24" s="42" t="str">
        <f t="array" ref="D24">IFERROR(INDEX(FinishedData!$B:$B,MATCH(D22,FinishedData!$A:$A,0)),"")</f>
        <v>Game</v>
      </c>
      <c r="E24" s="42" t="str">
        <f t="array" ref="E24">IFERROR(INDEX(FinishedData!$B:$B,MATCH(E22,FinishedData!$A:$A,0)),"")</f>
        <v>Off</v>
      </c>
      <c r="F24" s="42" t="str">
        <f t="array" ref="F24">IFERROR(INDEX(FinishedData!$B:$B,MATCH(F22,FinishedData!$A:$A,0)),"")</f>
        <v>Practice</v>
      </c>
      <c r="G24" s="42" t="str">
        <f t="array" ref="G24">IFERROR(INDEX(FinishedData!$B:$B,MATCH(G22,FinishedData!$A:$A,0)),"")</f>
        <v>Game</v>
      </c>
      <c r="H24" s="2"/>
      <c r="I24" s="72">
        <f>IFERROR(__xludf.DUMMYFUNCTION("IF(A22="""","""",IF(WEEKNUM($A$6)=1,SUM(FILTER(FinishedData!$C:$C,YEAR(FinishedData!$A:$A)=YEAR($A$6)-1,WEEKNUM(FinishedData!$A:$A)=WEEKNUM($A$6)+52)),
SUM(FILTER(FinishedData!$C:$C,YEAR(FinishedData!$A:$A)=YEAR($A$6),WEEKNUM(FinishedData!$A:$A)=WEEKNUM($"&amp;"A$6)-1))))"),4410.0)</f>
        <v>4410</v>
      </c>
      <c r="J24" s="72">
        <f>IFERROR(__xludf.DUMMYFUNCTION("IF(A22="""","""", SUM(FILTER(FinishedData!$C:$C,YEAR(FinishedData!$A:$A)=YEAR($A22),WEEKNUM(FinishedData!$A:$A)=WEEKNUM($A22))))"),5020.0)</f>
        <v>5020</v>
      </c>
      <c r="K24" s="2"/>
      <c r="L24" s="2"/>
      <c r="M24" s="2"/>
      <c r="N24" s="2"/>
      <c r="O24" s="2"/>
      <c r="P24" s="2"/>
      <c r="Q24" s="2"/>
      <c r="R24" s="2"/>
      <c r="S24" s="2"/>
      <c r="T24" s="2"/>
      <c r="U24" s="2"/>
      <c r="V24" s="2"/>
      <c r="W24" s="2"/>
      <c r="X24" s="2"/>
      <c r="Y24" s="2"/>
      <c r="Z24" s="2"/>
    </row>
    <row r="25" ht="22.5" customHeight="1">
      <c r="A25" s="73">
        <f t="array" ref="A25">IFERROR(INDEX(FinishedData!$C:$C,MATCH(A22,FinishedData!$A:$A,0)),"")</f>
        <v>775</v>
      </c>
      <c r="B25" s="73">
        <f t="array" ref="B25">IFERROR(INDEX(FinishedData!$C:$C,MATCH(B22,FinishedData!$A:$A,0)),"")</f>
        <v>995</v>
      </c>
      <c r="C25" s="73">
        <f t="array" ref="C25">IFERROR(INDEX(FinishedData!$C:$C,MATCH(C22,FinishedData!$A:$A,0)),"")</f>
        <v>1000</v>
      </c>
      <c r="D25" s="73">
        <f t="array" ref="D25">IFERROR(INDEX(FinishedData!$C:$C,MATCH(D22,FinishedData!$A:$A,0)),"")</f>
        <v>685</v>
      </c>
      <c r="E25" s="73" t="str">
        <f t="array" ref="E25">IFERROR(INDEX(FinishedData!$C:$C,MATCH(E22,FinishedData!$A:$A,0)),"")</f>
        <v/>
      </c>
      <c r="F25" s="73">
        <f t="array" ref="F25">IFERROR(INDEX(FinishedData!$C:$C,MATCH(F22,FinishedData!$A:$A,0)),"")</f>
        <v>905</v>
      </c>
      <c r="G25" s="73">
        <f t="array" ref="G25">IFERROR(INDEX(FinishedData!$C:$C,MATCH(G22,FinishedData!$A:$A,0)),"")</f>
        <v>660</v>
      </c>
      <c r="H25" s="2"/>
      <c r="I25" s="74" t="s">
        <v>47</v>
      </c>
      <c r="J25" s="75">
        <f>IFERROR(__xludf.DUMMYFUNCTION("IFERROR(IF(WEEKNUM($A$6)=1,($J24-SUM(FILTER(FinishedData!$C:$C,YEAR(FinishedData!$A:$A)=YEAR($A$6)-1,WEEKNUM(FinishedData!$A:$A)=WEEKNUM($A$6)+52)))/$I24,
($J24-SUM(FILTER(FinishedData!$C:$C,YEAR(FinishedData!$A:$A)=YEAR($A$6),WEEKNUM(FinishedData!$A:$A)="&amp;"WEEKNUM($A$6)-1)))/$I24),"""")"),0.1383219954648526)</f>
        <v>0.1383219955</v>
      </c>
      <c r="K25" s="2"/>
      <c r="L25" s="2"/>
      <c r="M25" s="2"/>
      <c r="N25" s="2"/>
      <c r="O25" s="2"/>
      <c r="P25" s="2"/>
      <c r="Q25" s="2"/>
      <c r="R25" s="2"/>
      <c r="S25" s="2"/>
      <c r="T25" s="2"/>
      <c r="U25" s="2"/>
      <c r="V25" s="2"/>
      <c r="W25" s="2"/>
      <c r="X25" s="2"/>
      <c r="Y25" s="2"/>
      <c r="Z25" s="2"/>
    </row>
    <row r="26" ht="22.5" customHeight="1">
      <c r="A26" s="76">
        <f>IF(G22&gt;=$D$3,"",G22+1)</f>
        <v>44584</v>
      </c>
      <c r="B26" s="76">
        <f t="shared" ref="B26:G26" si="6">IF(A26&gt;=$D$3,"",A26+1)</f>
        <v>44585</v>
      </c>
      <c r="C26" s="76">
        <f t="shared" si="6"/>
        <v>44586</v>
      </c>
      <c r="D26" s="76">
        <f t="shared" si="6"/>
        <v>44587</v>
      </c>
      <c r="E26" s="76">
        <f t="shared" si="6"/>
        <v>44588</v>
      </c>
      <c r="F26" s="76">
        <f t="shared" si="6"/>
        <v>44589</v>
      </c>
      <c r="G26" s="76">
        <f t="shared" si="6"/>
        <v>44590</v>
      </c>
      <c r="H26" s="2"/>
      <c r="K26" s="2"/>
      <c r="L26" s="2"/>
      <c r="M26" s="2"/>
      <c r="N26" s="2"/>
      <c r="O26" s="2"/>
      <c r="P26" s="2"/>
      <c r="Q26" s="2"/>
      <c r="R26" s="2"/>
      <c r="S26" s="2"/>
      <c r="T26" s="2"/>
      <c r="U26" s="2"/>
      <c r="V26" s="2"/>
      <c r="W26" s="2"/>
      <c r="X26" s="2"/>
      <c r="Y26" s="2"/>
      <c r="Z26" s="2"/>
    </row>
    <row r="27" ht="22.5" customHeight="1">
      <c r="A27" s="42" t="str">
        <f t="array" ref="A27">IFERROR(INDEX(Lists2!$B:$B,MATCH(A28,Lists2!$A:$A,0)),"")</f>
        <v/>
      </c>
      <c r="B27" s="42" t="str">
        <f t="array" ref="B27">IFERROR(INDEX(Lists2!$B:$B,MATCH(B28,Lists2!$A:$A,0)),"")</f>
        <v/>
      </c>
      <c r="C27" s="42" t="str">
        <f t="array" ref="C27">IFERROR(INDEX(Lists2!$B:$B,MATCH(C28,Lists2!$A:$A,0)),"")</f>
        <v/>
      </c>
      <c r="D27" s="42" t="str">
        <f t="array" ref="D27">IFERROR(INDEX(Lists2!$B:$B,MATCH(D28,Lists2!$A:$A,0)),"")</f>
        <v/>
      </c>
      <c r="E27" s="42" t="str">
        <f t="array" ref="E27">IFERROR(INDEX(Lists2!$B:$B,MATCH(E28,Lists2!$A:$A,0)),"")</f>
        <v/>
      </c>
      <c r="F27" s="42" t="str">
        <f t="array" ref="F27">IFERROR(INDEX(Lists2!$B:$B,MATCH(F28,Lists2!$A:$A,0)),"")</f>
        <v/>
      </c>
      <c r="G27" s="42" t="str">
        <f t="array" ref="G27">IFERROR(INDEX(Lists2!$B:$B,MATCH(G28,Lists2!$A:$A,0)),"")</f>
        <v/>
      </c>
      <c r="H27" s="2"/>
      <c r="I27" s="71" t="str">
        <f>"Week of "&amp;TEXT(A26-7,"MM/DD")</f>
        <v>Week of 01/16</v>
      </c>
      <c r="J27" s="71" t="str">
        <f>"Week of "&amp;TEXT(A26,"MM/DD")</f>
        <v>Week of 01/23</v>
      </c>
      <c r="K27" s="2"/>
      <c r="L27" s="2"/>
      <c r="M27" s="2"/>
      <c r="N27" s="2"/>
      <c r="O27" s="2"/>
      <c r="P27" s="2"/>
      <c r="Q27" s="2"/>
      <c r="R27" s="2"/>
      <c r="S27" s="2"/>
      <c r="T27" s="2"/>
      <c r="U27" s="2"/>
      <c r="V27" s="2"/>
      <c r="W27" s="2"/>
      <c r="X27" s="2"/>
      <c r="Y27" s="2"/>
      <c r="Z27" s="2"/>
    </row>
    <row r="28" ht="22.5" customHeight="1">
      <c r="A28" s="42" t="str">
        <f t="array" ref="A28">IFERROR(INDEX(FinishedData!$B:$B,MATCH(A26,FinishedData!$A:$A,0)),"")</f>
        <v>Practice</v>
      </c>
      <c r="B28" s="42" t="str">
        <f t="array" ref="B28">IFERROR(INDEX(FinishedData!$B:$B,MATCH(B26,FinishedData!$A:$A,0)),"")</f>
        <v>Practice</v>
      </c>
      <c r="C28" s="42" t="str">
        <f t="array" ref="C28">IFERROR(INDEX(FinishedData!$B:$B,MATCH(C26,FinishedData!$A:$A,0)),"")</f>
        <v>Practice</v>
      </c>
      <c r="D28" s="42" t="str">
        <f t="array" ref="D28">IFERROR(INDEX(FinishedData!$B:$B,MATCH(D26,FinishedData!$A:$A,0)),"")</f>
        <v>Game</v>
      </c>
      <c r="E28" s="42" t="str">
        <f t="array" ref="E28">IFERROR(INDEX(FinishedData!$B:$B,MATCH(E26,FinishedData!$A:$A,0)),"")</f>
        <v>Practice</v>
      </c>
      <c r="F28" s="42" t="str">
        <f t="array" ref="F28">IFERROR(INDEX(FinishedData!$B:$B,MATCH(F26,FinishedData!$A:$A,0)),"")</f>
        <v>Practice</v>
      </c>
      <c r="G28" s="42" t="str">
        <f t="array" ref="G28">IFERROR(INDEX(FinishedData!$B:$B,MATCH(G26,FinishedData!$A:$A,0)),"")</f>
        <v>Game</v>
      </c>
      <c r="H28" s="2"/>
      <c r="I28" s="72">
        <f>IFERROR(__xludf.DUMMYFUNCTION("IF(A26="""","""",IF(WEEKNUM($A$6)=1,SUM(FILTER(FinishedData!$C:$C,YEAR(FinishedData!$A:$A)=YEAR($A$6)-1,WEEKNUM(FinishedData!$A:$A)=WEEKNUM($A$6)+52)),
SUM(FILTER(FinishedData!$C:$C,YEAR(FinishedData!$A:$A)=YEAR($A$6),WEEKNUM(FinishedData!$A:$A)=WEEKNUM($"&amp;"A$6)-1))))"),4410.0)</f>
        <v>4410</v>
      </c>
      <c r="J28" s="72">
        <f>IFERROR(__xludf.DUMMYFUNCTION("IF(A26="""","""", SUM(FILTER(FinishedData!$C:$C,YEAR(FinishedData!$A:$A)=YEAR($A26),WEEKNUM(FinishedData!$A:$A)=WEEKNUM($A26))))"),5630.0)</f>
        <v>5630</v>
      </c>
      <c r="K28" s="2"/>
      <c r="L28" s="2"/>
      <c r="M28" s="2"/>
      <c r="N28" s="2"/>
      <c r="O28" s="2"/>
      <c r="P28" s="2"/>
      <c r="Q28" s="2"/>
      <c r="R28" s="2"/>
      <c r="S28" s="2"/>
      <c r="T28" s="2"/>
      <c r="U28" s="2"/>
      <c r="V28" s="2"/>
      <c r="W28" s="2"/>
      <c r="X28" s="2"/>
      <c r="Y28" s="2"/>
      <c r="Z28" s="2"/>
    </row>
    <row r="29" ht="22.5" customHeight="1">
      <c r="A29" s="73">
        <f t="array" ref="A29">IFERROR(INDEX(FinishedData!$C:$C,MATCH(A26,FinishedData!$A:$A,0)),"")</f>
        <v>825</v>
      </c>
      <c r="B29" s="73">
        <f t="array" ref="B29">IFERROR(INDEX(FinishedData!$C:$C,MATCH(B26,FinishedData!$A:$A,0)),"")</f>
        <v>710</v>
      </c>
      <c r="C29" s="73">
        <f t="array" ref="C29">IFERROR(INDEX(FinishedData!$C:$C,MATCH(C26,FinishedData!$A:$A,0)),"")</f>
        <v>845</v>
      </c>
      <c r="D29" s="73">
        <f t="array" ref="D29">IFERROR(INDEX(FinishedData!$C:$C,MATCH(D26,FinishedData!$A:$A,0)),"")</f>
        <v>805</v>
      </c>
      <c r="E29" s="73">
        <f t="array" ref="E29">IFERROR(INDEX(FinishedData!$C:$C,MATCH(E26,FinishedData!$A:$A,0)),"")</f>
        <v>915</v>
      </c>
      <c r="F29" s="73">
        <f t="array" ref="F29">IFERROR(INDEX(FinishedData!$C:$C,MATCH(F26,FinishedData!$A:$A,0)),"")</f>
        <v>715</v>
      </c>
      <c r="G29" s="73">
        <f t="array" ref="G29">IFERROR(INDEX(FinishedData!$C:$C,MATCH(G26,FinishedData!$A:$A,0)),"")</f>
        <v>815</v>
      </c>
      <c r="H29" s="2"/>
      <c r="I29" s="74" t="s">
        <v>49</v>
      </c>
      <c r="J29" s="75">
        <f>IFERROR(__xludf.DUMMYFUNCTION("IFERROR(IF(WEEKNUM($A$6)=1,($J28-SUM(FILTER(FinishedData!$C:$C,YEAR(FinishedData!$A:$A)=YEAR($A$6)-1,WEEKNUM(FinishedData!$A:$A)=WEEKNUM($A$6)+52)))/$I28,
($J28-SUM(FILTER(FinishedData!$C:$C,YEAR(FinishedData!$A:$A)=YEAR($A$6),WEEKNUM(FinishedData!$A:$A)="&amp;"WEEKNUM($A$6)-1)))/$I28),"""")"),0.2766439909297052)</f>
        <v>0.2766439909</v>
      </c>
      <c r="K29" s="2"/>
      <c r="L29" s="2"/>
      <c r="M29" s="2"/>
      <c r="N29" s="2"/>
      <c r="O29" s="2"/>
      <c r="P29" s="2"/>
      <c r="Q29" s="2"/>
      <c r="R29" s="2"/>
      <c r="S29" s="2"/>
      <c r="T29" s="2"/>
      <c r="U29" s="2"/>
      <c r="V29" s="2"/>
      <c r="W29" s="2"/>
      <c r="X29" s="2"/>
      <c r="Y29" s="2"/>
      <c r="Z29" s="2"/>
    </row>
    <row r="30" ht="22.5" customHeight="1">
      <c r="A30" s="76">
        <f>IF(G26&gt;=$D$3,"",G26+1)</f>
        <v>44591</v>
      </c>
      <c r="B30" s="76">
        <f t="shared" ref="B30:G30" si="7">IF(A30&gt;=$D$3,"",A30+1)</f>
        <v>44592</v>
      </c>
      <c r="C30" s="76">
        <f t="shared" si="7"/>
        <v>44593</v>
      </c>
      <c r="D30" s="76">
        <f t="shared" si="7"/>
        <v>44594</v>
      </c>
      <c r="E30" s="76">
        <f t="shared" si="7"/>
        <v>44595</v>
      </c>
      <c r="F30" s="76">
        <f t="shared" si="7"/>
        <v>44596</v>
      </c>
      <c r="G30" s="76">
        <f t="shared" si="7"/>
        <v>44597</v>
      </c>
      <c r="H30" s="2"/>
      <c r="I30" s="62"/>
      <c r="J30" s="7"/>
      <c r="K30" s="2"/>
      <c r="L30" s="2"/>
      <c r="M30" s="2"/>
      <c r="N30" s="2"/>
      <c r="O30" s="2"/>
      <c r="P30" s="2"/>
      <c r="Q30" s="2"/>
      <c r="R30" s="2"/>
      <c r="S30" s="2"/>
      <c r="T30" s="2"/>
      <c r="U30" s="2"/>
      <c r="V30" s="2"/>
      <c r="W30" s="2"/>
      <c r="X30" s="2"/>
      <c r="Y30" s="2"/>
      <c r="Z30" s="2"/>
    </row>
    <row r="31" ht="22.5" customHeight="1">
      <c r="A31" s="42" t="str">
        <f t="array" ref="A31">IFERROR(INDEX(Lists2!$B:$B,MATCH(A32,Lists2!$A:$A,0)),"")</f>
        <v/>
      </c>
      <c r="B31" s="42" t="str">
        <f t="array" ref="B31">IFERROR(INDEX(Lists2!$B:$B,MATCH(B32,Lists2!$A:$A,0)),"")</f>
        <v/>
      </c>
      <c r="C31" s="42" t="str">
        <f t="array" ref="C31">IFERROR(INDEX(Lists2!$B:$B,MATCH(C32,Lists2!$A:$A,0)),"")</f>
        <v/>
      </c>
      <c r="D31" s="42" t="str">
        <f t="array" ref="D31">IFERROR(INDEX(Lists2!$B:$B,MATCH(D32,Lists2!$A:$A,0)),"")</f>
        <v/>
      </c>
      <c r="E31" s="42" t="str">
        <f t="array" ref="E31">IFERROR(INDEX(Lists2!$B:$B,MATCH(E32,Lists2!$A:$A,0)),"")</f>
        <v/>
      </c>
      <c r="F31" s="42" t="str">
        <f t="array" ref="F31">IFERROR(INDEX(Lists2!$B:$B,MATCH(F32,Lists2!$A:$A,0)),"")</f>
        <v/>
      </c>
      <c r="G31" s="42" t="str">
        <f t="array" ref="G31">IFERROR(INDEX(Lists2!$B:$B,MATCH(G32,Lists2!$A:$A,0)),"")</f>
        <v/>
      </c>
      <c r="H31" s="2"/>
      <c r="I31" s="71" t="str">
        <f>"Week of "&amp;TEXT(A30-7,"MM/DD")</f>
        <v>Week of 01/23</v>
      </c>
      <c r="J31" s="71" t="str">
        <f>"Week of "&amp;TEXT(A30,"MM/DD")</f>
        <v>Week of 01/30</v>
      </c>
      <c r="K31" s="2"/>
      <c r="L31" s="2"/>
      <c r="M31" s="2"/>
      <c r="N31" s="2"/>
      <c r="O31" s="2"/>
      <c r="P31" s="2"/>
      <c r="Q31" s="2"/>
      <c r="R31" s="2"/>
      <c r="S31" s="2"/>
      <c r="T31" s="2"/>
      <c r="U31" s="2"/>
      <c r="V31" s="2"/>
      <c r="W31" s="2"/>
      <c r="X31" s="2"/>
      <c r="Y31" s="2"/>
      <c r="Z31" s="2"/>
    </row>
    <row r="32" ht="22.5" customHeight="1">
      <c r="A32" s="42" t="str">
        <f t="array" ref="A32">IFERROR(INDEX(FinishedData!$B:$B,MATCH(A30,FinishedData!$A:$A,0)),"")</f>
        <v>Off</v>
      </c>
      <c r="B32" s="42" t="str">
        <f t="array" ref="B32">IFERROR(INDEX(FinishedData!$B:$B,MATCH(B30,FinishedData!$A:$A,0)),"")</f>
        <v>Practice</v>
      </c>
      <c r="C32" s="42" t="str">
        <f t="array" ref="C32">IFERROR(INDEX(FinishedData!$B:$B,MATCH(C30,FinishedData!$A:$A,0)),"")</f>
        <v>Gym</v>
      </c>
      <c r="D32" s="42" t="str">
        <f t="array" ref="D32">IFERROR(INDEX(FinishedData!$B:$B,MATCH(D30,FinishedData!$A:$A,0)),"")</f>
        <v>Practice</v>
      </c>
      <c r="E32" s="42" t="str">
        <f t="array" ref="E32">IFERROR(INDEX(FinishedData!$B:$B,MATCH(E30,FinishedData!$A:$A,0)),"")</f>
        <v>Practice</v>
      </c>
      <c r="F32" s="42" t="str">
        <f t="array" ref="F32">IFERROR(INDEX(FinishedData!$B:$B,MATCH(F30,FinishedData!$A:$A,0)),"")</f>
        <v>Practice</v>
      </c>
      <c r="G32" s="42" t="str">
        <f t="array" ref="G32">IFERROR(INDEX(FinishedData!$B:$B,MATCH(G30,FinishedData!$A:$A,0)),"")</f>
        <v>Game</v>
      </c>
      <c r="H32" s="2"/>
      <c r="I32" s="72">
        <f>IFERROR(__xludf.DUMMYFUNCTION("IF(A30="""","""",IF(WEEKNUM($A$6)=1,SUM(FILTER(FinishedData!$C:$C,YEAR(FinishedData!$A:$A)=YEAR($A$6)-1,WEEKNUM(FinishedData!$A:$A)=WEEKNUM($A$6)+52)),
SUM(FILTER(FinishedData!$C:$C,YEAR(FinishedData!$A:$A)=YEAR($A$6),WEEKNUM(FinishedData!$A:$A)=WEEKNUM($"&amp;"A$6)-1))))"),4410.0)</f>
        <v>4410</v>
      </c>
      <c r="J32" s="72">
        <f>IFERROR(__xludf.DUMMYFUNCTION("IF(A30="""","""", SUM(FILTER(FinishedData!$C:$C,YEAR(FinishedData!$A:$A)=YEAR($A30),WEEKNUM(FinishedData!$A:$A)=WEEKNUM($A30))))"),3875.0)</f>
        <v>3875</v>
      </c>
      <c r="K32" s="2"/>
      <c r="L32" s="2"/>
      <c r="M32" s="2"/>
      <c r="N32" s="2"/>
      <c r="O32" s="2"/>
      <c r="P32" s="2"/>
      <c r="Q32" s="2"/>
      <c r="R32" s="2"/>
      <c r="S32" s="2"/>
      <c r="T32" s="2"/>
      <c r="U32" s="2"/>
      <c r="V32" s="2"/>
      <c r="W32" s="2"/>
      <c r="X32" s="2"/>
      <c r="Y32" s="2"/>
      <c r="Z32" s="2"/>
    </row>
    <row r="33" ht="22.5" customHeight="1">
      <c r="A33" s="73" t="str">
        <f t="array" ref="A33">IFERROR(INDEX(FinishedData!$C:$C,MATCH(A30,FinishedData!$A:$A,0)),"")</f>
        <v/>
      </c>
      <c r="B33" s="73">
        <f t="array" ref="B33">IFERROR(INDEX(FinishedData!$C:$C,MATCH(B30,FinishedData!$A:$A,0)),"")</f>
        <v>850</v>
      </c>
      <c r="C33" s="73">
        <f t="array" ref="C33">IFERROR(INDEX(FinishedData!$C:$C,MATCH(C30,FinishedData!$A:$A,0)),"")</f>
        <v>555</v>
      </c>
      <c r="D33" s="73">
        <f t="array" ref="D33">IFERROR(INDEX(FinishedData!$C:$C,MATCH(D30,FinishedData!$A:$A,0)),"")</f>
        <v>585</v>
      </c>
      <c r="E33" s="73">
        <f t="array" ref="E33">IFERROR(INDEX(FinishedData!$C:$C,MATCH(E30,FinishedData!$A:$A,0)),"")</f>
        <v>735</v>
      </c>
      <c r="F33" s="73">
        <f t="array" ref="F33">IFERROR(INDEX(FinishedData!$C:$C,MATCH(F30,FinishedData!$A:$A,0)),"")</f>
        <v>590</v>
      </c>
      <c r="G33" s="73">
        <f t="array" ref="G33">IFERROR(INDEX(FinishedData!$C:$C,MATCH(G30,FinishedData!$A:$A,0)),"")</f>
        <v>560</v>
      </c>
      <c r="H33" s="2"/>
      <c r="I33" s="74" t="s">
        <v>47</v>
      </c>
      <c r="J33" s="75">
        <f>IFERROR(__xludf.DUMMYFUNCTION("IFERROR(IF(WEEKNUM($A$6)=1,($J32-SUM(FILTER(FinishedData!$C:$C,YEAR(FinishedData!$A:$A)=YEAR($A$6)-1,WEEKNUM(FinishedData!$A:$A)=WEEKNUM($A$6)+52)))/$I32,
($J32-SUM(FILTER(FinishedData!$C:$C,YEAR(FinishedData!$A:$A)=YEAR($A$6),WEEKNUM(FinishedData!$A:$A)="&amp;"WEEKNUM($A$6)-1)))/$I32),"""")"),-0.12131519274376418)</f>
        <v>-0.1213151927</v>
      </c>
      <c r="K33" s="2"/>
      <c r="L33" s="2"/>
      <c r="M33" s="2"/>
      <c r="N33" s="2"/>
      <c r="O33" s="2"/>
      <c r="P33" s="2"/>
      <c r="Q33" s="2"/>
      <c r="R33" s="2"/>
      <c r="S33" s="2"/>
      <c r="T33" s="2"/>
      <c r="U33" s="2"/>
      <c r="V33" s="2"/>
      <c r="W33" s="2"/>
      <c r="X33" s="2"/>
      <c r="Y33" s="2"/>
      <c r="Z33" s="2"/>
    </row>
    <row r="34" ht="22.5" customHeight="1">
      <c r="A34" s="76">
        <f>IF(G30&gt;=$D$3,"",G30+1)</f>
        <v>44598</v>
      </c>
      <c r="B34" s="76">
        <f t="shared" ref="B34:G34" si="8">IF(A34&gt;=$D$3,"",A34+1)</f>
        <v>44599</v>
      </c>
      <c r="C34" s="76">
        <f t="shared" si="8"/>
        <v>44600</v>
      </c>
      <c r="D34" s="76">
        <f t="shared" si="8"/>
        <v>44601</v>
      </c>
      <c r="E34" s="76">
        <f t="shared" si="8"/>
        <v>44602</v>
      </c>
      <c r="F34" s="76">
        <f t="shared" si="8"/>
        <v>44603</v>
      </c>
      <c r="G34" s="76">
        <f t="shared" si="8"/>
        <v>44604</v>
      </c>
      <c r="H34" s="2"/>
      <c r="K34" s="2"/>
      <c r="L34" s="2"/>
      <c r="M34" s="2"/>
      <c r="N34" s="2"/>
      <c r="O34" s="2"/>
      <c r="P34" s="2"/>
      <c r="Q34" s="2"/>
      <c r="R34" s="2"/>
      <c r="S34" s="2"/>
      <c r="T34" s="2"/>
      <c r="U34" s="2"/>
      <c r="V34" s="2"/>
      <c r="W34" s="2"/>
      <c r="X34" s="2"/>
      <c r="Y34" s="2"/>
      <c r="Z34" s="2"/>
    </row>
    <row r="35" ht="22.5" customHeight="1">
      <c r="A35" s="42" t="str">
        <f t="array" ref="A35">IFERROR(INDEX(Lists2!$B:$B,MATCH(A36,Lists2!$A:$A,0)),"")</f>
        <v/>
      </c>
      <c r="B35" s="42" t="str">
        <f t="array" ref="B35">IFERROR(INDEX(Lists2!$B:$B,MATCH(B36,Lists2!$A:$A,0)),"")</f>
        <v/>
      </c>
      <c r="C35" s="42" t="str">
        <f t="array" ref="C35">IFERROR(INDEX(Lists2!$B:$B,MATCH(C36,Lists2!$A:$A,0)),"")</f>
        <v/>
      </c>
      <c r="D35" s="42" t="str">
        <f t="array" ref="D35">IFERROR(INDEX(Lists2!$B:$B,MATCH(D36,Lists2!$A:$A,0)),"")</f>
        <v/>
      </c>
      <c r="E35" s="42" t="str">
        <f t="array" ref="E35">IFERROR(INDEX(Lists2!$B:$B,MATCH(E36,Lists2!$A:$A,0)),"")</f>
        <v/>
      </c>
      <c r="F35" s="42" t="str">
        <f t="array" ref="F35">IFERROR(INDEX(Lists2!$B:$B,MATCH(F36,Lists2!$A:$A,0)),"")</f>
        <v/>
      </c>
      <c r="G35" s="42" t="str">
        <f t="array" ref="G35">IFERROR(INDEX(Lists2!$B:$B,MATCH(G36,Lists2!$A:$A,0)),"")</f>
        <v/>
      </c>
      <c r="H35" s="2"/>
      <c r="I35" s="71" t="str">
        <f>"Week of "&amp;TEXT(A34-7,"MM/DD")</f>
        <v>Week of 01/30</v>
      </c>
      <c r="J35" s="71" t="str">
        <f>"Week of "&amp;TEXT(A34,"MM/DD")</f>
        <v>Week of 02/06</v>
      </c>
      <c r="K35" s="2"/>
      <c r="L35" s="2"/>
      <c r="M35" s="2"/>
      <c r="N35" s="2"/>
      <c r="O35" s="2"/>
      <c r="P35" s="2"/>
      <c r="Q35" s="2"/>
      <c r="R35" s="2"/>
      <c r="S35" s="2"/>
      <c r="T35" s="2"/>
      <c r="U35" s="2"/>
      <c r="V35" s="2"/>
      <c r="W35" s="2"/>
      <c r="X35" s="2"/>
      <c r="Y35" s="2"/>
      <c r="Z35" s="2"/>
    </row>
    <row r="36" ht="22.5" customHeight="1">
      <c r="A36" s="42" t="str">
        <f t="array" ref="A36">IFERROR(INDEX(FinishedData!$B:$B,MATCH(A34,FinishedData!$A:$A,0)),"")</f>
        <v>Off</v>
      </c>
      <c r="B36" s="42" t="str">
        <f t="array" ref="B36">IFERROR(INDEX(FinishedData!$B:$B,MATCH(B34,FinishedData!$A:$A,0)),"")</f>
        <v>Gym</v>
      </c>
      <c r="C36" s="42" t="str">
        <f t="array" ref="C36">IFERROR(INDEX(FinishedData!$B:$B,MATCH(C34,FinishedData!$A:$A,0)),"")</f>
        <v>Practice</v>
      </c>
      <c r="D36" s="42" t="str">
        <f t="array" ref="D36">IFERROR(INDEX(FinishedData!$B:$B,MATCH(D34,FinishedData!$A:$A,0)),"")</f>
        <v>Practice</v>
      </c>
      <c r="E36" s="42" t="str">
        <f t="array" ref="E36">IFERROR(INDEX(FinishedData!$B:$B,MATCH(E34,FinishedData!$A:$A,0)),"")</f>
        <v>Game</v>
      </c>
      <c r="F36" s="42" t="str">
        <f t="array" ref="F36">IFERROR(INDEX(FinishedData!$B:$B,MATCH(F34,FinishedData!$A:$A,0)),"")</f>
        <v>Game</v>
      </c>
      <c r="G36" s="42" t="str">
        <f t="array" ref="G36">IFERROR(INDEX(FinishedData!$B:$B,MATCH(G34,FinishedData!$A:$A,0)),"")</f>
        <v>Off</v>
      </c>
      <c r="H36" s="2"/>
      <c r="I36" s="72">
        <f>IFERROR(__xludf.DUMMYFUNCTION("IF(A34="""","""",IF(WEEKNUM($A$6)=1,SUM(FILTER(FinishedData!$C:$C,YEAR(FinishedData!$A:$A)=YEAR($A$6)-1,WEEKNUM(FinishedData!$A:$A)=WEEKNUM($A$6)+52)),
SUM(FILTER(FinishedData!$C:$C,YEAR(FinishedData!$A:$A)=YEAR($A$6),WEEKNUM(FinishedData!$A:$A)=WEEKNUM($"&amp;"A$6)-1))))"),4410.0)</f>
        <v>4410</v>
      </c>
      <c r="J36" s="72">
        <f>IFERROR(__xludf.DUMMYFUNCTION("IF(A34="""","""", SUM(FILTER(FinishedData!$C:$C,YEAR(FinishedData!$A:$A)=YEAR($A34),WEEKNUM(FinishedData!$A:$A)=WEEKNUM($A34))))"),4060.0)</f>
        <v>4060</v>
      </c>
      <c r="K36" s="2"/>
      <c r="L36" s="2"/>
      <c r="M36" s="2"/>
      <c r="N36" s="2"/>
      <c r="O36" s="2"/>
      <c r="P36" s="2"/>
      <c r="Q36" s="2"/>
      <c r="R36" s="2"/>
      <c r="S36" s="2"/>
      <c r="T36" s="2"/>
      <c r="U36" s="2"/>
      <c r="V36" s="2"/>
      <c r="W36" s="2"/>
      <c r="X36" s="2"/>
      <c r="Y36" s="2"/>
      <c r="Z36" s="2"/>
    </row>
    <row r="37" ht="22.5" customHeight="1">
      <c r="A37" s="73" t="str">
        <f t="array" ref="A37">IFERROR(INDEX(FinishedData!$C:$C,MATCH(A34,FinishedData!$A:$A,0)),"")</f>
        <v/>
      </c>
      <c r="B37" s="73">
        <f t="array" ref="B37">IFERROR(INDEX(FinishedData!$C:$C,MATCH(B34,FinishedData!$A:$A,0)),"")</f>
        <v>885</v>
      </c>
      <c r="C37" s="73">
        <f t="array" ref="C37">IFERROR(INDEX(FinishedData!$C:$C,MATCH(C34,FinishedData!$A:$A,0)),"")</f>
        <v>505</v>
      </c>
      <c r="D37" s="73">
        <f t="array" ref="D37">IFERROR(INDEX(FinishedData!$C:$C,MATCH(D34,FinishedData!$A:$A,0)),"")</f>
        <v>930</v>
      </c>
      <c r="E37" s="73">
        <f t="array" ref="E37">IFERROR(INDEX(FinishedData!$C:$C,MATCH(E34,FinishedData!$A:$A,0)),"")</f>
        <v>810</v>
      </c>
      <c r="F37" s="73">
        <f t="array" ref="F37">IFERROR(INDEX(FinishedData!$C:$C,MATCH(F34,FinishedData!$A:$A,0)),"")</f>
        <v>930</v>
      </c>
      <c r="G37" s="73" t="str">
        <f t="array" ref="G37">IFERROR(INDEX(FinishedData!$C:$C,MATCH(G34,FinishedData!$A:$A,0)),"")</f>
        <v/>
      </c>
      <c r="H37" s="2"/>
      <c r="I37" s="74" t="s">
        <v>49</v>
      </c>
      <c r="J37" s="75">
        <f>IFERROR(__xludf.DUMMYFUNCTION("IFERROR(IF(WEEKNUM($A$6)=1,($J36-SUM(FILTER(FinishedData!$C:$C,YEAR(FinishedData!$A:$A)=YEAR($A$6)-1,WEEKNUM(FinishedData!$A:$A)=WEEKNUM($A$6)+52)))/$I36,
($J36-SUM(FILTER(FinishedData!$C:$C,YEAR(FinishedData!$A:$A)=YEAR($A$6),WEEKNUM(FinishedData!$A:$A)="&amp;"WEEKNUM($A$6)-1)))/$I36),"""")"),-0.07936507936507936)</f>
        <v>-0.07936507937</v>
      </c>
      <c r="K37" s="2"/>
      <c r="L37" s="2"/>
      <c r="M37" s="2"/>
      <c r="N37" s="2"/>
      <c r="O37" s="2"/>
      <c r="P37" s="2"/>
      <c r="Q37" s="2"/>
      <c r="R37" s="2"/>
      <c r="S37" s="2"/>
      <c r="T37" s="2"/>
      <c r="U37" s="2"/>
      <c r="V37" s="2"/>
      <c r="W37" s="2"/>
      <c r="X37" s="2"/>
      <c r="Y37" s="2"/>
      <c r="Z37" s="2"/>
    </row>
    <row r="38" ht="22.5" customHeight="1">
      <c r="A38" s="76">
        <f>IF(G34&gt;=$D$3,"",G34+1)</f>
        <v>44605</v>
      </c>
      <c r="B38" s="76">
        <f t="shared" ref="B38:G38" si="9">IF(A38&gt;=$D$3,"",A38+1)</f>
        <v>44606</v>
      </c>
      <c r="C38" s="76">
        <f t="shared" si="9"/>
        <v>44607</v>
      </c>
      <c r="D38" s="76">
        <f t="shared" si="9"/>
        <v>44608</v>
      </c>
      <c r="E38" s="76">
        <f t="shared" si="9"/>
        <v>44609</v>
      </c>
      <c r="F38" s="76">
        <f t="shared" si="9"/>
        <v>44610</v>
      </c>
      <c r="G38" s="76">
        <f t="shared" si="9"/>
        <v>44611</v>
      </c>
      <c r="H38" s="2"/>
      <c r="K38" s="2"/>
      <c r="L38" s="2"/>
      <c r="M38" s="2"/>
      <c r="N38" s="2"/>
      <c r="O38" s="2"/>
      <c r="P38" s="2"/>
      <c r="Q38" s="2"/>
      <c r="R38" s="2"/>
      <c r="S38" s="2"/>
      <c r="T38" s="2"/>
      <c r="U38" s="2"/>
      <c r="V38" s="2"/>
      <c r="W38" s="2"/>
      <c r="X38" s="2"/>
      <c r="Y38" s="2"/>
      <c r="Z38" s="2"/>
    </row>
    <row r="39" ht="22.5" customHeight="1">
      <c r="A39" s="42" t="str">
        <f t="array" ref="A39">IFERROR(INDEX(Lists2!$B:$B,MATCH(A40,Lists2!$A:$A,0)),"")</f>
        <v/>
      </c>
      <c r="B39" s="42" t="str">
        <f t="array" ref="B39">IFERROR(INDEX(Lists2!$B:$B,MATCH(B40,Lists2!$A:$A,0)),"")</f>
        <v/>
      </c>
      <c r="C39" s="42" t="str">
        <f t="array" ref="C39">IFERROR(INDEX(Lists2!$B:$B,MATCH(C40,Lists2!$A:$A,0)),"")</f>
        <v/>
      </c>
      <c r="D39" s="42" t="str">
        <f t="array" ref="D39">IFERROR(INDEX(Lists2!$B:$B,MATCH(D40,Lists2!$A:$A,0)),"")</f>
        <v/>
      </c>
      <c r="E39" s="42" t="str">
        <f t="array" ref="E39">IFERROR(INDEX(Lists2!$B:$B,MATCH(E40,Lists2!$A:$A,0)),"")</f>
        <v/>
      </c>
      <c r="F39" s="42" t="str">
        <f t="array" ref="F39">IFERROR(INDEX(Lists2!$B:$B,MATCH(F40,Lists2!$A:$A,0)),"")</f>
        <v/>
      </c>
      <c r="G39" s="42" t="str">
        <f t="array" ref="G39">IFERROR(INDEX(Lists2!$B:$B,MATCH(G40,Lists2!$A:$A,0)),"")</f>
        <v/>
      </c>
      <c r="H39" s="2"/>
      <c r="I39" s="71" t="str">
        <f>"Week of "&amp;TEXT(A38-7,"MM/DD")</f>
        <v>Week of 02/06</v>
      </c>
      <c r="J39" s="71" t="str">
        <f>"Week of "&amp;TEXT(A38,"MM/DD")</f>
        <v>Week of 02/13</v>
      </c>
      <c r="K39" s="2"/>
      <c r="L39" s="2"/>
      <c r="M39" s="2"/>
      <c r="N39" s="2"/>
      <c r="O39" s="2"/>
      <c r="P39" s="2"/>
      <c r="Q39" s="2"/>
      <c r="R39" s="2"/>
      <c r="S39" s="2"/>
      <c r="T39" s="2"/>
      <c r="U39" s="2"/>
      <c r="V39" s="2"/>
      <c r="W39" s="2"/>
      <c r="X39" s="2"/>
      <c r="Y39" s="2"/>
      <c r="Z39" s="2"/>
    </row>
    <row r="40" ht="22.5" customHeight="1">
      <c r="A40" s="42" t="str">
        <f t="array" ref="A40">IFERROR(INDEX(FinishedData!$B:$B,MATCH(A38,FinishedData!$A:$A,0)),"")</f>
        <v>Practice</v>
      </c>
      <c r="B40" s="42" t="str">
        <f t="array" ref="B40">IFERROR(INDEX(FinishedData!$B:$B,MATCH(B38,FinishedData!$A:$A,0)),"")</f>
        <v>Practice</v>
      </c>
      <c r="C40" s="42" t="str">
        <f t="array" ref="C40">IFERROR(INDEX(FinishedData!$B:$B,MATCH(C38,FinishedData!$A:$A,0)),"")</f>
        <v>Gym</v>
      </c>
      <c r="D40" s="42" t="str">
        <f t="array" ref="D40">IFERROR(INDEX(FinishedData!$B:$B,MATCH(D38,FinishedData!$A:$A,0)),"")</f>
        <v>Practice</v>
      </c>
      <c r="E40" s="42" t="str">
        <f t="array" ref="E40">IFERROR(INDEX(FinishedData!$B:$B,MATCH(E38,FinishedData!$A:$A,0)),"")</f>
        <v>Practice</v>
      </c>
      <c r="F40" s="42" t="str">
        <f t="array" ref="F40">IFERROR(INDEX(FinishedData!$B:$B,MATCH(F38,FinishedData!$A:$A,0)),"")</f>
        <v>Game</v>
      </c>
      <c r="G40" s="42" t="str">
        <f t="array" ref="G40">IFERROR(INDEX(FinishedData!$B:$B,MATCH(G38,FinishedData!$A:$A,0)),"")</f>
        <v>Practice</v>
      </c>
      <c r="H40" s="2"/>
      <c r="I40" s="72">
        <f>IFERROR(__xludf.DUMMYFUNCTION("IF(A38="""","""",IF(WEEKNUM($A$6)=1,SUM(FILTER(FinishedData!$C:$C,YEAR(FinishedData!$A:$A)=YEAR($A$6)-1,WEEKNUM(FinishedData!$A:$A)=WEEKNUM($A$6)+52)),
SUM(FILTER(FinishedData!$C:$C,YEAR(FinishedData!$A:$A)=YEAR($A$6),WEEKNUM(FinishedData!$A:$A)=WEEKNUM($"&amp;"A$6)-1))))"),4410.0)</f>
        <v>4410</v>
      </c>
      <c r="J40" s="72">
        <f>IFERROR(__xludf.DUMMYFUNCTION("IF(A38="""","""", SUM(FILTER(FinishedData!$C:$C,YEAR(FinishedData!$A:$A)=YEAR($A38),WEEKNUM(FinishedData!$A:$A)=WEEKNUM($A38))))"),5290.0)</f>
        <v>5290</v>
      </c>
      <c r="K40" s="2"/>
      <c r="L40" s="2"/>
      <c r="M40" s="2"/>
      <c r="N40" s="2"/>
      <c r="O40" s="2"/>
      <c r="P40" s="2"/>
      <c r="Q40" s="2"/>
      <c r="R40" s="2"/>
      <c r="S40" s="2"/>
      <c r="T40" s="2"/>
      <c r="U40" s="2"/>
      <c r="V40" s="2"/>
      <c r="W40" s="2"/>
      <c r="X40" s="2"/>
      <c r="Y40" s="2"/>
      <c r="Z40" s="2"/>
    </row>
    <row r="41" ht="22.5" customHeight="1">
      <c r="A41" s="73">
        <f t="array" ref="A41">IFERROR(INDEX(FinishedData!$C:$C,MATCH(A38,FinishedData!$A:$A,0)),"")</f>
        <v>665</v>
      </c>
      <c r="B41" s="73">
        <f t="array" ref="B41">IFERROR(INDEX(FinishedData!$C:$C,MATCH(B38,FinishedData!$A:$A,0)),"")</f>
        <v>685</v>
      </c>
      <c r="C41" s="73">
        <f t="array" ref="C41">IFERROR(INDEX(FinishedData!$C:$C,MATCH(C38,FinishedData!$A:$A,0)),"")</f>
        <v>940</v>
      </c>
      <c r="D41" s="73">
        <f t="array" ref="D41">IFERROR(INDEX(FinishedData!$C:$C,MATCH(D38,FinishedData!$A:$A,0)),"")</f>
        <v>680</v>
      </c>
      <c r="E41" s="73">
        <f t="array" ref="E41">IFERROR(INDEX(FinishedData!$C:$C,MATCH(E38,FinishedData!$A:$A,0)),"")</f>
        <v>600</v>
      </c>
      <c r="F41" s="73">
        <f t="array" ref="F41">IFERROR(INDEX(FinishedData!$C:$C,MATCH(F38,FinishedData!$A:$A,0)),"")</f>
        <v>955</v>
      </c>
      <c r="G41" s="73">
        <f t="array" ref="G41">IFERROR(INDEX(FinishedData!$C:$C,MATCH(G38,FinishedData!$A:$A,0)),"")</f>
        <v>765</v>
      </c>
      <c r="H41" s="2"/>
      <c r="I41" s="74" t="s">
        <v>47</v>
      </c>
      <c r="J41" s="75">
        <f>IFERROR(__xludf.DUMMYFUNCTION("IFERROR(IF(WEEKNUM($A$6)=1,($J40-SUM(FILTER(FinishedData!$C:$C,YEAR(FinishedData!$A:$A)=YEAR($A$6)-1,WEEKNUM(FinishedData!$A:$A)=WEEKNUM($A$6)+52)))/$I40,
($J40-SUM(FILTER(FinishedData!$C:$C,YEAR(FinishedData!$A:$A)=YEAR($A$6),WEEKNUM(FinishedData!$A:$A)="&amp;"WEEKNUM($A$6)-1)))/$I40),"""")"),0.19954648526077098)</f>
        <v>0.1995464853</v>
      </c>
      <c r="K41" s="2"/>
      <c r="L41" s="2"/>
      <c r="M41" s="2"/>
      <c r="N41" s="2"/>
      <c r="O41" s="2"/>
      <c r="P41" s="2"/>
      <c r="Q41" s="2"/>
      <c r="R41" s="2"/>
      <c r="S41" s="2"/>
      <c r="T41" s="2"/>
      <c r="U41" s="2"/>
      <c r="V41" s="2"/>
      <c r="W41" s="2"/>
      <c r="X41" s="2"/>
      <c r="Y41" s="2"/>
      <c r="Z41" s="2"/>
    </row>
    <row r="42" ht="22.5" customHeight="1">
      <c r="A42" s="76">
        <f>IF(G38&gt;=$D$3,"",G38+1)</f>
        <v>44612</v>
      </c>
      <c r="B42" s="76">
        <f t="shared" ref="B42:G42" si="10">IF(A42&gt;=$D$3,"",A42+1)</f>
        <v>44613</v>
      </c>
      <c r="C42" s="76">
        <f t="shared" si="10"/>
        <v>44614</v>
      </c>
      <c r="D42" s="76">
        <f t="shared" si="10"/>
        <v>44615</v>
      </c>
      <c r="E42" s="76">
        <f t="shared" si="10"/>
        <v>44616</v>
      </c>
      <c r="F42" s="76">
        <f t="shared" si="10"/>
        <v>44617</v>
      </c>
      <c r="G42" s="76">
        <f t="shared" si="10"/>
        <v>44618</v>
      </c>
      <c r="H42" s="2"/>
      <c r="K42" s="2"/>
      <c r="L42" s="2"/>
      <c r="M42" s="2"/>
      <c r="N42" s="2"/>
      <c r="O42" s="2"/>
      <c r="P42" s="2"/>
      <c r="Q42" s="2"/>
      <c r="R42" s="2"/>
      <c r="S42" s="2"/>
      <c r="T42" s="2"/>
      <c r="U42" s="2"/>
      <c r="V42" s="2"/>
      <c r="W42" s="2"/>
      <c r="X42" s="2"/>
      <c r="Y42" s="2"/>
      <c r="Z42" s="2"/>
    </row>
    <row r="43" ht="22.5" customHeight="1">
      <c r="A43" s="42" t="str">
        <f t="array" ref="A43">IFERROR(INDEX(Lists2!$B:$B,MATCH(A44,Lists2!$A:$A,0)),"")</f>
        <v/>
      </c>
      <c r="B43" s="42" t="str">
        <f t="array" ref="B43">IFERROR(INDEX(Lists2!$B:$B,MATCH(B44,Lists2!$A:$A,0)),"")</f>
        <v/>
      </c>
      <c r="C43" s="42" t="str">
        <f t="array" ref="C43">IFERROR(INDEX(Lists2!$B:$B,MATCH(C44,Lists2!$A:$A,0)),"")</f>
        <v/>
      </c>
      <c r="D43" s="42" t="str">
        <f t="array" ref="D43">IFERROR(INDEX(Lists2!$B:$B,MATCH(D44,Lists2!$A:$A,0)),"")</f>
        <v/>
      </c>
      <c r="E43" s="42" t="str">
        <f t="array" ref="E43">IFERROR(INDEX(Lists2!$B:$B,MATCH(E44,Lists2!$A:$A,0)),"")</f>
        <v/>
      </c>
      <c r="F43" s="42" t="str">
        <f t="array" ref="F43">IFERROR(INDEX(Lists2!$B:$B,MATCH(F44,Lists2!$A:$A,0)),"")</f>
        <v/>
      </c>
      <c r="G43" s="42" t="str">
        <f t="array" ref="G43">IFERROR(INDEX(Lists2!$B:$B,MATCH(G44,Lists2!$A:$A,0)),"")</f>
        <v/>
      </c>
      <c r="H43" s="2"/>
      <c r="I43" s="71" t="str">
        <f>"Week of "&amp;TEXT(A42-7,"MM/DD")</f>
        <v>Week of 02/13</v>
      </c>
      <c r="J43" s="71" t="str">
        <f>"Week of "&amp;TEXT(A42,"MM/DD")</f>
        <v>Week of 02/20</v>
      </c>
      <c r="K43" s="2"/>
      <c r="L43" s="2"/>
      <c r="M43" s="2"/>
      <c r="N43" s="2"/>
      <c r="O43" s="2"/>
      <c r="P43" s="2"/>
      <c r="Q43" s="2"/>
      <c r="R43" s="2"/>
      <c r="S43" s="2"/>
      <c r="T43" s="2"/>
      <c r="U43" s="2"/>
      <c r="V43" s="2"/>
      <c r="W43" s="2"/>
      <c r="X43" s="2"/>
      <c r="Y43" s="2"/>
      <c r="Z43" s="2"/>
    </row>
    <row r="44" ht="22.5" customHeight="1">
      <c r="A44" s="42" t="str">
        <f t="array" ref="A44">IFERROR(INDEX(FinishedData!$B:$B,MATCH(A42,FinishedData!$A:$A,0)),"")</f>
        <v>Game</v>
      </c>
      <c r="B44" s="42" t="str">
        <f t="array" ref="B44">IFERROR(INDEX(FinishedData!$B:$B,MATCH(B42,FinishedData!$A:$A,0)),"")</f>
        <v>Off</v>
      </c>
      <c r="C44" s="42" t="str">
        <f t="array" ref="C44">IFERROR(INDEX(FinishedData!$B:$B,MATCH(C42,FinishedData!$A:$A,0)),"")</f>
        <v>Practice</v>
      </c>
      <c r="D44" s="42" t="str">
        <f t="array" ref="D44">IFERROR(INDEX(FinishedData!$B:$B,MATCH(D42,FinishedData!$A:$A,0)),"")</f>
        <v>Gym</v>
      </c>
      <c r="E44" s="42" t="str">
        <f t="array" ref="E44">IFERROR(INDEX(FinishedData!$B:$B,MATCH(E42,FinishedData!$A:$A,0)),"")</f>
        <v>Practice</v>
      </c>
      <c r="F44" s="42" t="str">
        <f t="array" ref="F44">IFERROR(INDEX(FinishedData!$B:$B,MATCH(F42,FinishedData!$A:$A,0)),"")</f>
        <v>Practice</v>
      </c>
      <c r="G44" s="42" t="str">
        <f t="array" ref="G44">IFERROR(INDEX(FinishedData!$B:$B,MATCH(G42,FinishedData!$A:$A,0)),"")</f>
        <v>Practice</v>
      </c>
      <c r="H44" s="2"/>
      <c r="I44" s="72">
        <f>IFERROR(__xludf.DUMMYFUNCTION("IF(A42="""","""",IF(WEEKNUM($A$6)=1,SUM(FILTER(FinishedData!$C:$C,YEAR(FinishedData!$A:$A)=YEAR($A$6)-1,WEEKNUM(FinishedData!$A:$A)=WEEKNUM($A$6)+52)),
SUM(FILTER(FinishedData!$C:$C,YEAR(FinishedData!$A:$A)=YEAR($A$6),WEEKNUM(FinishedData!$A:$A)=WEEKNUM($"&amp;"A$6)-1))))"),4410.0)</f>
        <v>4410</v>
      </c>
      <c r="J44" s="72">
        <f>IFERROR(__xludf.DUMMYFUNCTION("IF(A42="""","""", SUM(FILTER(FinishedData!$C:$C,YEAR(FinishedData!$A:$A)=YEAR($A42),WEEKNUM(FinishedData!$A:$A)=WEEKNUM($A42))))"),4675.0)</f>
        <v>4675</v>
      </c>
      <c r="K44" s="2"/>
      <c r="L44" s="2"/>
      <c r="M44" s="2"/>
      <c r="N44" s="2"/>
      <c r="O44" s="2"/>
      <c r="P44" s="2"/>
      <c r="Q44" s="2"/>
      <c r="R44" s="2"/>
      <c r="S44" s="2"/>
      <c r="T44" s="2"/>
      <c r="U44" s="2"/>
      <c r="V44" s="2"/>
      <c r="W44" s="2"/>
      <c r="X44" s="2"/>
      <c r="Y44" s="2"/>
      <c r="Z44" s="2"/>
    </row>
    <row r="45" ht="22.5" customHeight="1">
      <c r="A45" s="73">
        <f t="array" ref="A45">IFERROR(INDEX(FinishedData!$C:$C,MATCH(A42,FinishedData!$A:$A,0)),"")</f>
        <v>745</v>
      </c>
      <c r="B45" s="73" t="str">
        <f t="array" ref="B45">IFERROR(INDEX(FinishedData!$C:$C,MATCH(B42,FinishedData!$A:$A,0)),"")</f>
        <v/>
      </c>
      <c r="C45" s="73">
        <f t="array" ref="C45">IFERROR(INDEX(FinishedData!$C:$C,MATCH(C42,FinishedData!$A:$A,0)),"")</f>
        <v>575</v>
      </c>
      <c r="D45" s="73">
        <f t="array" ref="D45">IFERROR(INDEX(FinishedData!$C:$C,MATCH(D42,FinishedData!$A:$A,0)),"")</f>
        <v>940</v>
      </c>
      <c r="E45" s="73">
        <f t="array" ref="E45">IFERROR(INDEX(FinishedData!$C:$C,MATCH(E42,FinishedData!$A:$A,0)),"")</f>
        <v>920</v>
      </c>
      <c r="F45" s="73">
        <f t="array" ref="F45">IFERROR(INDEX(FinishedData!$C:$C,MATCH(F42,FinishedData!$A:$A,0)),"")</f>
        <v>825</v>
      </c>
      <c r="G45" s="73">
        <f t="array" ref="G45">IFERROR(INDEX(FinishedData!$C:$C,MATCH(G42,FinishedData!$A:$A,0)),"")</f>
        <v>670</v>
      </c>
      <c r="H45" s="2"/>
      <c r="I45" s="74" t="s">
        <v>49</v>
      </c>
      <c r="J45" s="75">
        <f>IFERROR(__xludf.DUMMYFUNCTION("IFERROR(IF(WEEKNUM($A$6)=1,($J44-SUM(FILTER(FinishedData!$C:$C,YEAR(FinishedData!$A:$A)=YEAR($A$6)-1,WEEKNUM(FinishedData!$A:$A)=WEEKNUM($A$6)+52)))/$I44,
($J44-SUM(FILTER(FinishedData!$C:$C,YEAR(FinishedData!$A:$A)=YEAR($A$6),WEEKNUM(FinishedData!$A:$A)="&amp;"WEEKNUM($A$6)-1)))/$I44),"""")"),0.060090702947845805)</f>
        <v>0.06009070295</v>
      </c>
      <c r="K45" s="2"/>
      <c r="L45" s="2"/>
      <c r="M45" s="2"/>
      <c r="N45" s="2"/>
      <c r="O45" s="2"/>
      <c r="P45" s="2"/>
      <c r="Q45" s="2"/>
      <c r="R45" s="2"/>
      <c r="S45" s="2"/>
      <c r="T45" s="2"/>
      <c r="U45" s="2"/>
      <c r="V45" s="2"/>
      <c r="W45" s="2"/>
      <c r="X45" s="2"/>
      <c r="Y45" s="2"/>
      <c r="Z45" s="2"/>
    </row>
    <row r="46" ht="22.5" customHeight="1">
      <c r="A46" s="76">
        <f>IF(G42&gt;=$D$3,"",G42+1)</f>
        <v>44619</v>
      </c>
      <c r="B46" s="76">
        <f t="shared" ref="B46:G46" si="11">IF(A46&gt;=$D$3,"",A46+1)</f>
        <v>44620</v>
      </c>
      <c r="C46" s="76">
        <f t="shared" si="11"/>
        <v>44621</v>
      </c>
      <c r="D46" s="76">
        <f t="shared" si="11"/>
        <v>44622</v>
      </c>
      <c r="E46" s="76">
        <f t="shared" si="11"/>
        <v>44623</v>
      </c>
      <c r="F46" s="76">
        <f t="shared" si="11"/>
        <v>44624</v>
      </c>
      <c r="G46" s="76">
        <f t="shared" si="11"/>
        <v>44625</v>
      </c>
      <c r="H46" s="2"/>
      <c r="I46" s="2"/>
      <c r="J46" s="2"/>
      <c r="K46" s="2"/>
      <c r="L46" s="2"/>
      <c r="M46" s="2"/>
      <c r="N46" s="2"/>
      <c r="O46" s="2"/>
      <c r="P46" s="2"/>
      <c r="Q46" s="2"/>
      <c r="R46" s="2"/>
      <c r="S46" s="2"/>
      <c r="T46" s="2"/>
      <c r="U46" s="2"/>
      <c r="V46" s="2"/>
      <c r="W46" s="2"/>
      <c r="X46" s="2"/>
      <c r="Y46" s="2"/>
      <c r="Z46" s="2"/>
    </row>
    <row r="47" ht="22.5" customHeight="1">
      <c r="A47" s="42" t="str">
        <f t="array" ref="A47">IFERROR(INDEX(Lists2!$B:$B,MATCH(A48,Lists2!$A:$A,0)),"")</f>
        <v/>
      </c>
      <c r="B47" s="42" t="str">
        <f t="array" ref="B47">IFERROR(INDEX(Lists2!$B:$B,MATCH(B48,Lists2!$A:$A,0)),"")</f>
        <v/>
      </c>
      <c r="C47" s="42" t="str">
        <f t="array" ref="C47">IFERROR(INDEX(Lists2!$B:$B,MATCH(C48,Lists2!$A:$A,0)),"")</f>
        <v/>
      </c>
      <c r="D47" s="42" t="str">
        <f t="array" ref="D47">IFERROR(INDEX(Lists2!$B:$B,MATCH(D48,Lists2!$A:$A,0)),"")</f>
        <v/>
      </c>
      <c r="E47" s="42" t="str">
        <f t="array" ref="E47">IFERROR(INDEX(Lists2!$B:$B,MATCH(E48,Lists2!$A:$A,0)),"")</f>
        <v/>
      </c>
      <c r="F47" s="42" t="str">
        <f t="array" ref="F47">IFERROR(INDEX(Lists2!$B:$B,MATCH(F48,Lists2!$A:$A,0)),"")</f>
        <v/>
      </c>
      <c r="G47" s="42" t="str">
        <f t="array" ref="G47">IFERROR(INDEX(Lists2!$B:$B,MATCH(G48,Lists2!$A:$A,0)),"")</f>
        <v/>
      </c>
      <c r="H47" s="2"/>
      <c r="I47" s="71" t="str">
        <f>"Week of "&amp;TEXT(A46-7,"MM/DD")</f>
        <v>Week of 02/20</v>
      </c>
      <c r="J47" s="71" t="str">
        <f>"Week of "&amp;TEXT(A46,"MM/DD")</f>
        <v>Week of 02/27</v>
      </c>
      <c r="K47" s="2"/>
      <c r="L47" s="2"/>
      <c r="M47" s="2"/>
      <c r="N47" s="2"/>
      <c r="O47" s="2"/>
      <c r="P47" s="2"/>
      <c r="Q47" s="2"/>
      <c r="R47" s="2"/>
      <c r="S47" s="2"/>
      <c r="T47" s="2"/>
      <c r="U47" s="2"/>
      <c r="V47" s="2"/>
      <c r="W47" s="2"/>
      <c r="X47" s="2"/>
      <c r="Y47" s="2"/>
      <c r="Z47" s="2"/>
    </row>
    <row r="48" ht="22.5" customHeight="1">
      <c r="A48" s="42" t="str">
        <f t="array" ref="A48">IFERROR(INDEX(FinishedData!$B:$B,MATCH(A46,FinishedData!$A:$A,0)),"")</f>
        <v>Game</v>
      </c>
      <c r="B48" s="42" t="str">
        <f t="array" ref="B48">IFERROR(INDEX(FinishedData!$B:$B,MATCH(B46,FinishedData!$A:$A,0)),"")</f>
        <v>Off</v>
      </c>
      <c r="C48" s="42" t="str">
        <f t="array" ref="C48">IFERROR(INDEX(FinishedData!$B:$B,MATCH(C46,FinishedData!$A:$A,0)),"")</f>
        <v>Practice</v>
      </c>
      <c r="D48" s="42" t="str">
        <f t="array" ref="D48">IFERROR(INDEX(FinishedData!$B:$B,MATCH(D46,FinishedData!$A:$A,0)),"")</f>
        <v>Game</v>
      </c>
      <c r="E48" s="42" t="str">
        <f t="array" ref="E48">IFERROR(INDEX(FinishedData!$B:$B,MATCH(E46,FinishedData!$A:$A,0)),"")</f>
        <v>Practice</v>
      </c>
      <c r="F48" s="42" t="str">
        <f t="array" ref="F48">IFERROR(INDEX(FinishedData!$B:$B,MATCH(F46,FinishedData!$A:$A,0)),"")</f>
        <v>Practice</v>
      </c>
      <c r="G48" s="42" t="str">
        <f t="array" ref="G48">IFERROR(INDEX(FinishedData!$B:$B,MATCH(G46,FinishedData!$A:$A,0)),"")</f>
        <v>Game</v>
      </c>
      <c r="H48" s="2"/>
      <c r="I48" s="72">
        <f>IFERROR(__xludf.DUMMYFUNCTION("IF(A46="""","""",IF(WEEKNUM($A$6)=1,SUM(FILTER(FinishedData!$C:$C,YEAR(FinishedData!$A:$A)=YEAR($A$6)-1,WEEKNUM(FinishedData!$A:$A)=WEEKNUM($A$6)+52)),
SUM(FILTER(FinishedData!$C:$C,YEAR(FinishedData!$A:$A)=YEAR($A$6),WEEKNUM(FinishedData!$A:$A)=WEEKNUM($"&amp;"A$6)-1))))"),4410.0)</f>
        <v>4410</v>
      </c>
      <c r="J48" s="72">
        <f>IFERROR(__xludf.DUMMYFUNCTION("IF(A46="""","""", SUM(FILTER(FinishedData!$C:$C,YEAR(FinishedData!$A:$A)=YEAR($A46),WEEKNUM(FinishedData!$A:$A)=WEEKNUM($A46))))"),4510.0)</f>
        <v>4510</v>
      </c>
      <c r="K48" s="2"/>
      <c r="L48" s="2"/>
      <c r="M48" s="2"/>
      <c r="N48" s="2"/>
      <c r="O48" s="2"/>
      <c r="P48" s="2"/>
      <c r="Q48" s="2"/>
      <c r="R48" s="2"/>
      <c r="S48" s="2"/>
      <c r="T48" s="2"/>
      <c r="U48" s="2"/>
      <c r="V48" s="2"/>
      <c r="W48" s="2"/>
      <c r="X48" s="2"/>
      <c r="Y48" s="2"/>
      <c r="Z48" s="2"/>
    </row>
    <row r="49" ht="22.5" customHeight="1">
      <c r="A49" s="73">
        <f t="array" ref="A49">IFERROR(INDEX(FinishedData!$C:$C,MATCH(A46,FinishedData!$A:$A,0)),"")</f>
        <v>830</v>
      </c>
      <c r="B49" s="73" t="str">
        <f t="array" ref="B49">IFERROR(INDEX(FinishedData!$C:$C,MATCH(B46,FinishedData!$A:$A,0)),"")</f>
        <v/>
      </c>
      <c r="C49" s="73">
        <f t="array" ref="C49">IFERROR(INDEX(FinishedData!$C:$C,MATCH(C46,FinishedData!$A:$A,0)),"")</f>
        <v>500</v>
      </c>
      <c r="D49" s="73">
        <f t="array" ref="D49">IFERROR(INDEX(FinishedData!$C:$C,MATCH(D46,FinishedData!$A:$A,0)),"")</f>
        <v>970</v>
      </c>
      <c r="E49" s="73">
        <f t="array" ref="E49">IFERROR(INDEX(FinishedData!$C:$C,MATCH(E46,FinishedData!$A:$A,0)),"")</f>
        <v>575</v>
      </c>
      <c r="F49" s="73">
        <f t="array" ref="F49">IFERROR(INDEX(FinishedData!$C:$C,MATCH(F46,FinishedData!$A:$A,0)),"")</f>
        <v>885</v>
      </c>
      <c r="G49" s="73">
        <f t="array" ref="G49">IFERROR(INDEX(FinishedData!$C:$C,MATCH(G46,FinishedData!$A:$A,0)),"")</f>
        <v>750</v>
      </c>
      <c r="H49" s="2"/>
      <c r="I49" s="74" t="s">
        <v>47</v>
      </c>
      <c r="J49" s="75">
        <f>IFERROR(__xludf.DUMMYFUNCTION("IFERROR(IF(WEEKNUM($A$6)=1,($J48-SUM(FILTER(FinishedData!$C:$C,YEAR(FinishedData!$A:$A)=YEAR($A$6)-1,WEEKNUM(FinishedData!$A:$A)=WEEKNUM($A$6)+52)))/$I48,
($J48-SUM(FILTER(FinishedData!$C:$C,YEAR(FinishedData!$A:$A)=YEAR($A$6),WEEKNUM(FinishedData!$A:$A)="&amp;"WEEKNUM($A$6)-1)))/$I48),"""")"),0.022675736961451247)</f>
        <v>0.02267573696</v>
      </c>
      <c r="K49" s="2"/>
      <c r="L49" s="2"/>
      <c r="M49" s="2"/>
      <c r="N49" s="2"/>
      <c r="O49" s="2"/>
      <c r="P49" s="2"/>
      <c r="Q49" s="2"/>
      <c r="R49" s="2"/>
      <c r="S49" s="2"/>
      <c r="T49" s="2"/>
      <c r="U49" s="2"/>
      <c r="V49" s="2"/>
      <c r="W49" s="2"/>
      <c r="X49" s="2"/>
      <c r="Y49" s="2"/>
      <c r="Z49" s="2"/>
    </row>
    <row r="50" ht="22.5" customHeight="1">
      <c r="A50" s="76">
        <f>IF(G46&gt;=$D$3,"",G46+1)</f>
        <v>44626</v>
      </c>
      <c r="B50" s="76">
        <f t="shared" ref="B50:G50" si="12">IF(A50&gt;=$D$3,"",A50+1)</f>
        <v>44627</v>
      </c>
      <c r="C50" s="76">
        <f t="shared" si="12"/>
        <v>44628</v>
      </c>
      <c r="D50" s="76">
        <f t="shared" si="12"/>
        <v>44629</v>
      </c>
      <c r="E50" s="76">
        <f t="shared" si="12"/>
        <v>44630</v>
      </c>
      <c r="F50" s="76">
        <f t="shared" si="12"/>
        <v>44631</v>
      </c>
      <c r="G50" s="76">
        <f t="shared" si="12"/>
        <v>44632</v>
      </c>
      <c r="H50" s="2"/>
      <c r="K50" s="2"/>
      <c r="L50" s="2"/>
      <c r="M50" s="2"/>
      <c r="N50" s="2"/>
      <c r="O50" s="2"/>
      <c r="P50" s="2"/>
      <c r="Q50" s="2"/>
      <c r="R50" s="2"/>
      <c r="S50" s="2"/>
      <c r="T50" s="2"/>
      <c r="U50" s="2"/>
      <c r="V50" s="2"/>
      <c r="W50" s="2"/>
      <c r="X50" s="2"/>
      <c r="Y50" s="2"/>
      <c r="Z50" s="2"/>
    </row>
    <row r="51" ht="22.5" customHeight="1">
      <c r="A51" s="42" t="str">
        <f t="array" ref="A51">IFERROR(INDEX(Lists2!$B:$B,MATCH(A52,Lists2!$A:$A,0)),"")</f>
        <v/>
      </c>
      <c r="B51" s="42" t="str">
        <f t="array" ref="B51">IFERROR(INDEX(Lists2!$B:$B,MATCH(B52,Lists2!$A:$A,0)),"")</f>
        <v/>
      </c>
      <c r="C51" s="42" t="str">
        <f t="array" ref="C51">IFERROR(INDEX(Lists2!$B:$B,MATCH(C52,Lists2!$A:$A,0)),"")</f>
        <v/>
      </c>
      <c r="D51" s="42" t="str">
        <f t="array" ref="D51">IFERROR(INDEX(Lists2!$B:$B,MATCH(D52,Lists2!$A:$A,0)),"")</f>
        <v/>
      </c>
      <c r="E51" s="42" t="str">
        <f t="array" ref="E51">IFERROR(INDEX(Lists2!$B:$B,MATCH(E52,Lists2!$A:$A,0)),"")</f>
        <v/>
      </c>
      <c r="F51" s="42" t="str">
        <f t="array" ref="F51">IFERROR(INDEX(Lists2!$B:$B,MATCH(F52,Lists2!$A:$A,0)),"")</f>
        <v/>
      </c>
      <c r="G51" s="42" t="str">
        <f t="array" ref="G51">IFERROR(INDEX(Lists2!$B:$B,MATCH(G52,Lists2!$A:$A,0)),"")</f>
        <v/>
      </c>
      <c r="H51" s="2"/>
      <c r="I51" s="71" t="str">
        <f>"Week of "&amp;TEXT(A50-7,"MM/DD")</f>
        <v>Week of 02/27</v>
      </c>
      <c r="J51" s="71" t="str">
        <f>"Week of "&amp;TEXT(A50,"MM/DD")</f>
        <v>Week of 03/06</v>
      </c>
      <c r="K51" s="2"/>
      <c r="L51" s="2"/>
      <c r="M51" s="2"/>
      <c r="N51" s="2"/>
      <c r="O51" s="2"/>
      <c r="P51" s="2"/>
      <c r="Q51" s="2"/>
      <c r="R51" s="2"/>
      <c r="S51" s="2"/>
      <c r="T51" s="2"/>
      <c r="U51" s="2"/>
      <c r="V51" s="2"/>
      <c r="W51" s="2"/>
      <c r="X51" s="2"/>
      <c r="Y51" s="2"/>
      <c r="Z51" s="2"/>
    </row>
    <row r="52" ht="22.5" customHeight="1">
      <c r="A52" s="42" t="str">
        <f t="array" ref="A52">IFERROR(INDEX(FinishedData!$B:$B,MATCH(A50,FinishedData!$A:$A,0)),"")</f>
        <v>Practice</v>
      </c>
      <c r="B52" s="42" t="str">
        <f t="array" ref="B52">IFERROR(INDEX(FinishedData!$B:$B,MATCH(B50,FinishedData!$A:$A,0)),"")</f>
        <v>Gym</v>
      </c>
      <c r="C52" s="42" t="str">
        <f t="array" ref="C52">IFERROR(INDEX(FinishedData!$B:$B,MATCH(C50,FinishedData!$A:$A,0)),"")</f>
        <v>Off</v>
      </c>
      <c r="D52" s="42" t="str">
        <f t="array" ref="D52">IFERROR(INDEX(FinishedData!$B:$B,MATCH(D50,FinishedData!$A:$A,0)),"")</f>
        <v>Practice</v>
      </c>
      <c r="E52" s="42" t="str">
        <f t="array" ref="E52">IFERROR(INDEX(FinishedData!$B:$B,MATCH(E50,FinishedData!$A:$A,0)),"")</f>
        <v>Practice</v>
      </c>
      <c r="F52" s="42" t="str">
        <f t="array" ref="F52">IFERROR(INDEX(FinishedData!$B:$B,MATCH(F50,FinishedData!$A:$A,0)),"")</f>
        <v>Game</v>
      </c>
      <c r="G52" s="42" t="str">
        <f t="array" ref="G52">IFERROR(INDEX(FinishedData!$B:$B,MATCH(G50,FinishedData!$A:$A,0)),"")</f>
        <v>Game</v>
      </c>
      <c r="H52" s="2"/>
      <c r="I52" s="72">
        <f>IFERROR(__xludf.DUMMYFUNCTION("IF(A50="""","""",IF(WEEKNUM($A$6)=1,SUM(FILTER(FinishedData!$C:$C,YEAR(FinishedData!$A:$A)=YEAR($A$6)-1,WEEKNUM(FinishedData!$A:$A)=WEEKNUM($A$6)+52)),
SUM(FILTER(FinishedData!$C:$C,YEAR(FinishedData!$A:$A)=YEAR($A$6),WEEKNUM(FinishedData!$A:$A)=WEEKNUM($"&amp;"A$6)-1))))"),4410.0)</f>
        <v>4410</v>
      </c>
      <c r="J52" s="72">
        <f>IFERROR(__xludf.DUMMYFUNCTION("IF(A50="""","""", SUM(FILTER(FinishedData!$C:$C,YEAR(FinishedData!$A:$A)=YEAR($A50),WEEKNUM(FinishedData!$A:$A)=WEEKNUM($A50))))"),4370.0)</f>
        <v>4370</v>
      </c>
      <c r="K52" s="2"/>
      <c r="L52" s="2"/>
      <c r="M52" s="2"/>
      <c r="N52" s="2"/>
      <c r="O52" s="2"/>
      <c r="P52" s="2"/>
      <c r="Q52" s="2"/>
      <c r="R52" s="2"/>
      <c r="S52" s="2"/>
      <c r="T52" s="2"/>
      <c r="U52" s="2"/>
      <c r="V52" s="2"/>
      <c r="W52" s="2"/>
      <c r="X52" s="2"/>
      <c r="Y52" s="2"/>
      <c r="Z52" s="2"/>
    </row>
    <row r="53" ht="22.5" customHeight="1">
      <c r="A53" s="73">
        <f t="array" ref="A53">IFERROR(INDEX(FinishedData!$C:$C,MATCH(A50,FinishedData!$A:$A,0)),"")</f>
        <v>635</v>
      </c>
      <c r="B53" s="73">
        <f t="array" ref="B53">IFERROR(INDEX(FinishedData!$C:$C,MATCH(B50,FinishedData!$A:$A,0)),"")</f>
        <v>595</v>
      </c>
      <c r="C53" s="73" t="str">
        <f t="array" ref="C53">IFERROR(INDEX(FinishedData!$C:$C,MATCH(C50,FinishedData!$A:$A,0)),"")</f>
        <v/>
      </c>
      <c r="D53" s="73">
        <f t="array" ref="D53">IFERROR(INDEX(FinishedData!$C:$C,MATCH(D50,FinishedData!$A:$A,0)),"")</f>
        <v>910</v>
      </c>
      <c r="E53" s="73">
        <f t="array" ref="E53">IFERROR(INDEX(FinishedData!$C:$C,MATCH(E50,FinishedData!$A:$A,0)),"")</f>
        <v>585</v>
      </c>
      <c r="F53" s="73">
        <f t="array" ref="F53">IFERROR(INDEX(FinishedData!$C:$C,MATCH(F50,FinishedData!$A:$A,0)),"")</f>
        <v>775</v>
      </c>
      <c r="G53" s="73">
        <f t="array" ref="G53">IFERROR(INDEX(FinishedData!$C:$C,MATCH(G50,FinishedData!$A:$A,0)),"")</f>
        <v>870</v>
      </c>
      <c r="H53" s="2"/>
      <c r="I53" s="74" t="s">
        <v>49</v>
      </c>
      <c r="J53" s="75">
        <f>IFERROR(__xludf.DUMMYFUNCTION("IFERROR(IF(WEEKNUM($A$6)=1,($J52-SUM(FILTER(FinishedData!$C:$C,YEAR(FinishedData!$A:$A)=YEAR($A$6)-1,WEEKNUM(FinishedData!$A:$A)=WEEKNUM($A$6)+52)))/$I52,
($J52-SUM(FILTER(FinishedData!$C:$C,YEAR(FinishedData!$A:$A)=YEAR($A$6),WEEKNUM(FinishedData!$A:$A)="&amp;"WEEKNUM($A$6)-1)))/$I52),"""")"),-0.009070294784580499)</f>
        <v>-0.009070294785</v>
      </c>
      <c r="K53" s="2"/>
      <c r="L53" s="2"/>
      <c r="M53" s="2"/>
      <c r="N53" s="2"/>
      <c r="O53" s="2"/>
      <c r="P53" s="2"/>
      <c r="Q53" s="2"/>
      <c r="R53" s="2"/>
      <c r="S53" s="2"/>
      <c r="T53" s="2"/>
      <c r="U53" s="2"/>
      <c r="V53" s="2"/>
      <c r="W53" s="2"/>
      <c r="X53" s="2"/>
      <c r="Y53" s="2"/>
      <c r="Z53" s="2"/>
    </row>
    <row r="54" ht="22.5" customHeight="1">
      <c r="A54" s="76">
        <f>IF(G50&gt;=$D$3,"",G50+1)</f>
        <v>44633</v>
      </c>
      <c r="B54" s="76">
        <f t="shared" ref="B54:G54" si="13">IF(A54&gt;=$D$3,"",A54+1)</f>
        <v>44634</v>
      </c>
      <c r="C54" s="76">
        <f t="shared" si="13"/>
        <v>44635</v>
      </c>
      <c r="D54" s="76">
        <f t="shared" si="13"/>
        <v>44636</v>
      </c>
      <c r="E54" s="76">
        <f t="shared" si="13"/>
        <v>44637</v>
      </c>
      <c r="F54" s="76">
        <f t="shared" si="13"/>
        <v>44638</v>
      </c>
      <c r="G54" s="76">
        <f t="shared" si="13"/>
        <v>44639</v>
      </c>
      <c r="H54" s="2"/>
      <c r="I54" s="62"/>
      <c r="J54" s="7"/>
      <c r="K54" s="2"/>
      <c r="L54" s="2"/>
      <c r="M54" s="2"/>
      <c r="N54" s="2"/>
      <c r="O54" s="2"/>
      <c r="P54" s="2"/>
      <c r="Q54" s="2"/>
      <c r="R54" s="2"/>
      <c r="S54" s="2"/>
      <c r="T54" s="2"/>
      <c r="U54" s="2"/>
      <c r="V54" s="2"/>
      <c r="W54" s="2"/>
      <c r="X54" s="2"/>
      <c r="Y54" s="2"/>
      <c r="Z54" s="2"/>
    </row>
    <row r="55" ht="22.5" customHeight="1">
      <c r="A55" s="42" t="str">
        <f t="array" ref="A55">IFERROR(INDEX(Lists2!$B:$B,MATCH(A56,Lists2!$A:$A,0)),"")</f>
        <v/>
      </c>
      <c r="B55" s="42" t="str">
        <f t="array" ref="B55">IFERROR(INDEX(Lists2!$B:$B,MATCH(B56,Lists2!$A:$A,0)),"")</f>
        <v/>
      </c>
      <c r="C55" s="42" t="str">
        <f t="array" ref="C55">IFERROR(INDEX(Lists2!$B:$B,MATCH(C56,Lists2!$A:$A,0)),"")</f>
        <v/>
      </c>
      <c r="D55" s="42" t="str">
        <f t="array" ref="D55">IFERROR(INDEX(Lists2!$B:$B,MATCH(D56,Lists2!$A:$A,0)),"")</f>
        <v/>
      </c>
      <c r="E55" s="42" t="str">
        <f t="array" ref="E55">IFERROR(INDEX(Lists2!$B:$B,MATCH(E56,Lists2!$A:$A,0)),"")</f>
        <v/>
      </c>
      <c r="F55" s="42" t="str">
        <f t="array" ref="F55">IFERROR(INDEX(Lists2!$B:$B,MATCH(F56,Lists2!$A:$A,0)),"")</f>
        <v/>
      </c>
      <c r="G55" s="42" t="str">
        <f t="array" ref="G55">IFERROR(INDEX(Lists2!$B:$B,MATCH(G56,Lists2!$A:$A,0)),"")</f>
        <v/>
      </c>
      <c r="H55" s="2"/>
      <c r="I55" s="71" t="str">
        <f>"Week of "&amp;TEXT(A54-7,"MM/DD")</f>
        <v>Week of 03/06</v>
      </c>
      <c r="J55" s="71" t="str">
        <f>"Week of "&amp;TEXT(A54,"MM/DD")</f>
        <v>Week of 03/13</v>
      </c>
      <c r="K55" s="2"/>
      <c r="L55" s="2"/>
      <c r="M55" s="2"/>
      <c r="N55" s="2"/>
      <c r="O55" s="2"/>
      <c r="P55" s="2"/>
      <c r="Q55" s="2"/>
      <c r="R55" s="2"/>
      <c r="S55" s="2"/>
      <c r="T55" s="2"/>
      <c r="U55" s="2"/>
      <c r="V55" s="2"/>
      <c r="W55" s="2"/>
      <c r="X55" s="2"/>
      <c r="Y55" s="2"/>
      <c r="Z55" s="2"/>
    </row>
    <row r="56" ht="22.5" customHeight="1">
      <c r="A56" s="42" t="str">
        <f t="array" ref="A56">IFERROR(INDEX(FinishedData!$B:$B,MATCH(A54,FinishedData!$A:$A,0)),"")</f>
        <v>Off</v>
      </c>
      <c r="B56" s="42" t="str">
        <f t="array" ref="B56">IFERROR(INDEX(FinishedData!$B:$B,MATCH(B54,FinishedData!$A:$A,0)),"")</f>
        <v>Practice</v>
      </c>
      <c r="C56" s="42" t="str">
        <f t="array" ref="C56">IFERROR(INDEX(FinishedData!$B:$B,MATCH(C54,FinishedData!$A:$A,0)),"")</f>
        <v>Gym</v>
      </c>
      <c r="D56" s="42" t="str">
        <f t="array" ref="D56">IFERROR(INDEX(FinishedData!$B:$B,MATCH(D54,FinishedData!$A:$A,0)),"")</f>
        <v>Practice</v>
      </c>
      <c r="E56" s="42" t="str">
        <f t="array" ref="E56">IFERROR(INDEX(FinishedData!$B:$B,MATCH(E54,FinishedData!$A:$A,0)),"")</f>
        <v>Practice</v>
      </c>
      <c r="F56" s="42" t="str">
        <f t="array" ref="F56">IFERROR(INDEX(FinishedData!$B:$B,MATCH(F54,FinishedData!$A:$A,0)),"")</f>
        <v>Game</v>
      </c>
      <c r="G56" s="42" t="str">
        <f t="array" ref="G56">IFERROR(INDEX(FinishedData!$B:$B,MATCH(G54,FinishedData!$A:$A,0)),"")</f>
        <v>Practice</v>
      </c>
      <c r="H56" s="2"/>
      <c r="I56" s="72">
        <f>IFERROR(__xludf.DUMMYFUNCTION("IF(A54="""","""",IF(WEEKNUM($A$6)=1,SUM(FILTER(FinishedData!$C:$C,YEAR(FinishedData!$A:$A)=YEAR($A$6)-1,WEEKNUM(FinishedData!$A:$A)=WEEKNUM($A$6)+52)),
SUM(FILTER(FinishedData!$C:$C,YEAR(FinishedData!$A:$A)=YEAR($A$6),WEEKNUM(FinishedData!$A:$A)=WEEKNUM($"&amp;"A$6)-1))))"),4410.0)</f>
        <v>4410</v>
      </c>
      <c r="J56" s="72">
        <f>IFERROR(__xludf.DUMMYFUNCTION("IF(A54="""","""", SUM(FILTER(FinishedData!$C:$C,YEAR(FinishedData!$A:$A)=YEAR($A54),WEEKNUM(FinishedData!$A:$A)=WEEKNUM($A54))))"),4360.0)</f>
        <v>4360</v>
      </c>
      <c r="K56" s="2"/>
      <c r="L56" s="2"/>
      <c r="M56" s="2"/>
      <c r="N56" s="2"/>
      <c r="O56" s="2"/>
      <c r="P56" s="2"/>
      <c r="Q56" s="2"/>
      <c r="R56" s="2"/>
      <c r="S56" s="2"/>
      <c r="T56" s="2"/>
      <c r="U56" s="2"/>
      <c r="V56" s="2"/>
      <c r="W56" s="2"/>
      <c r="X56" s="2"/>
      <c r="Y56" s="2"/>
      <c r="Z56" s="2"/>
    </row>
    <row r="57" ht="22.5" customHeight="1">
      <c r="A57" s="73" t="str">
        <f t="array" ref="A57">IFERROR(INDEX(FinishedData!$C:$C,MATCH(A54,FinishedData!$A:$A,0)),"")</f>
        <v/>
      </c>
      <c r="B57" s="73">
        <f t="array" ref="B57">IFERROR(INDEX(FinishedData!$C:$C,MATCH(B54,FinishedData!$A:$A,0)),"")</f>
        <v>705</v>
      </c>
      <c r="C57" s="73">
        <f t="array" ref="C57">IFERROR(INDEX(FinishedData!$C:$C,MATCH(C54,FinishedData!$A:$A,0)),"")</f>
        <v>740</v>
      </c>
      <c r="D57" s="73">
        <f t="array" ref="D57">IFERROR(INDEX(FinishedData!$C:$C,MATCH(D54,FinishedData!$A:$A,0)),"")</f>
        <v>755</v>
      </c>
      <c r="E57" s="73">
        <f t="array" ref="E57">IFERROR(INDEX(FinishedData!$C:$C,MATCH(E54,FinishedData!$A:$A,0)),"")</f>
        <v>655</v>
      </c>
      <c r="F57" s="73">
        <f t="array" ref="F57">IFERROR(INDEX(FinishedData!$C:$C,MATCH(F54,FinishedData!$A:$A,0)),"")</f>
        <v>750</v>
      </c>
      <c r="G57" s="73">
        <f t="array" ref="G57">IFERROR(INDEX(FinishedData!$C:$C,MATCH(G54,FinishedData!$A:$A,0)),"")</f>
        <v>755</v>
      </c>
      <c r="H57" s="2"/>
      <c r="I57" s="74" t="s">
        <v>47</v>
      </c>
      <c r="J57" s="75">
        <f>IFERROR(__xludf.DUMMYFUNCTION("IFERROR(IF(WEEKNUM($A$6)=1,($J56-SUM(FILTER(FinishedData!$C:$C,YEAR(FinishedData!$A:$A)=YEAR($A$6)-1,WEEKNUM(FinishedData!$A:$A)=WEEKNUM($A$6)+52)))/$I56,
($J56-SUM(FILTER(FinishedData!$C:$C,YEAR(FinishedData!$A:$A)=YEAR($A$6),WEEKNUM(FinishedData!$A:$A)="&amp;"WEEKNUM($A$6)-1)))/$I56),"""")"),-0.011337868480725623)</f>
        <v>-0.01133786848</v>
      </c>
      <c r="K57" s="2"/>
      <c r="L57" s="2"/>
      <c r="M57" s="2"/>
      <c r="N57" s="2"/>
      <c r="O57" s="2"/>
      <c r="P57" s="2"/>
      <c r="Q57" s="2"/>
      <c r="R57" s="2"/>
      <c r="S57" s="2"/>
      <c r="T57" s="2"/>
      <c r="U57" s="2"/>
      <c r="V57" s="2"/>
      <c r="W57" s="2"/>
      <c r="X57" s="2"/>
      <c r="Y57" s="2"/>
      <c r="Z57" s="2"/>
    </row>
    <row r="58" ht="22.5" customHeight="1">
      <c r="A58" s="76">
        <f>IF(G54&gt;=$D$3,"",G54+1)</f>
        <v>44640</v>
      </c>
      <c r="B58" s="76">
        <f t="shared" ref="B58:G58" si="14">IF(A58&gt;=$D$3,"",A58+1)</f>
        <v>44641</v>
      </c>
      <c r="C58" s="76">
        <f t="shared" si="14"/>
        <v>44642</v>
      </c>
      <c r="D58" s="76">
        <f t="shared" si="14"/>
        <v>44643</v>
      </c>
      <c r="E58" s="76">
        <f t="shared" si="14"/>
        <v>44644</v>
      </c>
      <c r="F58" s="76">
        <f t="shared" si="14"/>
        <v>44645</v>
      </c>
      <c r="G58" s="76">
        <f t="shared" si="14"/>
        <v>44646</v>
      </c>
      <c r="H58" s="2"/>
      <c r="K58" s="2"/>
      <c r="L58" s="2"/>
      <c r="M58" s="2"/>
      <c r="N58" s="2"/>
      <c r="O58" s="2"/>
      <c r="P58" s="2"/>
      <c r="Q58" s="2"/>
      <c r="R58" s="2"/>
      <c r="S58" s="2"/>
      <c r="T58" s="2"/>
      <c r="U58" s="2"/>
      <c r="V58" s="2"/>
      <c r="W58" s="2"/>
      <c r="X58" s="2"/>
      <c r="Y58" s="2"/>
      <c r="Z58" s="2"/>
    </row>
    <row r="59" ht="22.5" customHeight="1">
      <c r="A59" s="42" t="str">
        <f t="array" ref="A59">IFERROR(INDEX(Lists2!$B:$B,MATCH(A60,Lists2!$A:$A,0)),"")</f>
        <v/>
      </c>
      <c r="B59" s="42" t="str">
        <f t="array" ref="B59">IFERROR(INDEX(Lists2!$B:$B,MATCH(B60,Lists2!$A:$A,0)),"")</f>
        <v/>
      </c>
      <c r="C59" s="42" t="str">
        <f t="array" ref="C59">IFERROR(INDEX(Lists2!$B:$B,MATCH(C60,Lists2!$A:$A,0)),"")</f>
        <v/>
      </c>
      <c r="D59" s="42" t="str">
        <f t="array" ref="D59">IFERROR(INDEX(Lists2!$B:$B,MATCH(D60,Lists2!$A:$A,0)),"")</f>
        <v/>
      </c>
      <c r="E59" s="42" t="str">
        <f t="array" ref="E59">IFERROR(INDEX(Lists2!$B:$B,MATCH(E60,Lists2!$A:$A,0)),"")</f>
        <v/>
      </c>
      <c r="F59" s="42" t="str">
        <f t="array" ref="F59">IFERROR(INDEX(Lists2!$B:$B,MATCH(F60,Lists2!$A:$A,0)),"")</f>
        <v/>
      </c>
      <c r="G59" s="42" t="str">
        <f t="array" ref="G59">IFERROR(INDEX(Lists2!$B:$B,MATCH(G60,Lists2!$A:$A,0)),"")</f>
        <v/>
      </c>
      <c r="H59" s="2"/>
      <c r="I59" s="71" t="str">
        <f>"Week of "&amp;TEXT(A58-7,"MM/DD")</f>
        <v>Week of 03/13</v>
      </c>
      <c r="J59" s="71" t="str">
        <f>"Week of "&amp;TEXT(A58,"MM/DD")</f>
        <v>Week of 03/20</v>
      </c>
      <c r="K59" s="2"/>
      <c r="L59" s="2"/>
      <c r="M59" s="2"/>
      <c r="N59" s="2"/>
      <c r="O59" s="2"/>
      <c r="P59" s="2"/>
      <c r="Q59" s="2"/>
      <c r="R59" s="2"/>
      <c r="S59" s="2"/>
      <c r="T59" s="2"/>
      <c r="U59" s="2"/>
      <c r="V59" s="2"/>
      <c r="W59" s="2"/>
      <c r="X59" s="2"/>
      <c r="Y59" s="2"/>
      <c r="Z59" s="2"/>
    </row>
    <row r="60" ht="22.5" customHeight="1">
      <c r="A60" s="42" t="str">
        <f t="array" ref="A60">IFERROR(INDEX(FinishedData!$B:$B,MATCH(A58,FinishedData!$A:$A,0)),"")</f>
        <v>Game</v>
      </c>
      <c r="B60" s="42" t="str">
        <f t="array" ref="B60">IFERROR(INDEX(FinishedData!$B:$B,MATCH(B58,FinishedData!$A:$A,0)),"")</f>
        <v>Off</v>
      </c>
      <c r="C60" s="42" t="str">
        <f t="array" ref="C60">IFERROR(INDEX(FinishedData!$B:$B,MATCH(C58,FinishedData!$A:$A,0)),"")</f>
        <v>Gym</v>
      </c>
      <c r="D60" s="42" t="str">
        <f t="array" ref="D60">IFERROR(INDEX(FinishedData!$B:$B,MATCH(D58,FinishedData!$A:$A,0)),"")</f>
        <v>Practice</v>
      </c>
      <c r="E60" s="42" t="str">
        <f t="array" ref="E60">IFERROR(INDEX(FinishedData!$B:$B,MATCH(E58,FinishedData!$A:$A,0)),"")</f>
        <v>Practice</v>
      </c>
      <c r="F60" s="42" t="str">
        <f t="array" ref="F60">IFERROR(INDEX(FinishedData!$B:$B,MATCH(F58,FinishedData!$A:$A,0)),"")</f>
        <v>Practice</v>
      </c>
      <c r="G60" s="42" t="str">
        <f t="array" ref="G60">IFERROR(INDEX(FinishedData!$B:$B,MATCH(G58,FinishedData!$A:$A,0)),"")</f>
        <v>Game</v>
      </c>
      <c r="H60" s="2"/>
      <c r="I60" s="72">
        <f>IFERROR(__xludf.DUMMYFUNCTION("IF(A58="""","""",IF(WEEKNUM($A$6)=1,SUM(FILTER(FinishedData!$C:$C,YEAR(FinishedData!$A:$A)=YEAR($A$6)-1,WEEKNUM(FinishedData!$A:$A)=WEEKNUM($A$6)+52)),
SUM(FILTER(FinishedData!$C:$C,YEAR(FinishedData!$A:$A)=YEAR($A$6),WEEKNUM(FinishedData!$A:$A)=WEEKNUM($"&amp;"A$6)-1))))"),4410.0)</f>
        <v>4410</v>
      </c>
      <c r="J60" s="72">
        <f>IFERROR(__xludf.DUMMYFUNCTION("IF(A58="""","""", SUM(FILTER(FinishedData!$C:$C,YEAR(FinishedData!$A:$A)=YEAR($A58),WEEKNUM(FinishedData!$A:$A)=WEEKNUM($A58))))"),4680.0)</f>
        <v>4680</v>
      </c>
      <c r="K60" s="2"/>
      <c r="L60" s="2"/>
      <c r="M60" s="2"/>
      <c r="N60" s="2"/>
      <c r="O60" s="2"/>
      <c r="P60" s="2"/>
      <c r="Q60" s="2"/>
      <c r="R60" s="2"/>
      <c r="S60" s="2"/>
      <c r="T60" s="2"/>
      <c r="U60" s="2"/>
      <c r="V60" s="2"/>
      <c r="W60" s="2"/>
      <c r="X60" s="2"/>
      <c r="Y60" s="2"/>
      <c r="Z60" s="2"/>
    </row>
    <row r="61" ht="22.5" customHeight="1">
      <c r="A61" s="73">
        <f t="array" ref="A61">IFERROR(INDEX(FinishedData!$C:$C,MATCH(A58,FinishedData!$A:$A,0)),"")</f>
        <v>910</v>
      </c>
      <c r="B61" s="73" t="str">
        <f t="array" ref="B61">IFERROR(INDEX(FinishedData!$C:$C,MATCH(B58,FinishedData!$A:$A,0)),"")</f>
        <v/>
      </c>
      <c r="C61" s="73">
        <f t="array" ref="C61">IFERROR(INDEX(FinishedData!$C:$C,MATCH(C58,FinishedData!$A:$A,0)),"")</f>
        <v>970</v>
      </c>
      <c r="D61" s="73">
        <f t="array" ref="D61">IFERROR(INDEX(FinishedData!$C:$C,MATCH(D58,FinishedData!$A:$A,0)),"")</f>
        <v>535</v>
      </c>
      <c r="E61" s="73">
        <f t="array" ref="E61">IFERROR(INDEX(FinishedData!$C:$C,MATCH(E58,FinishedData!$A:$A,0)),"")</f>
        <v>700</v>
      </c>
      <c r="F61" s="73">
        <f t="array" ref="F61">IFERROR(INDEX(FinishedData!$C:$C,MATCH(F58,FinishedData!$A:$A,0)),"")</f>
        <v>780</v>
      </c>
      <c r="G61" s="73">
        <f t="array" ref="G61">IFERROR(INDEX(FinishedData!$C:$C,MATCH(G58,FinishedData!$A:$A,0)),"")</f>
        <v>785</v>
      </c>
      <c r="H61" s="2"/>
      <c r="I61" s="74" t="s">
        <v>49</v>
      </c>
      <c r="J61" s="75">
        <f>IFERROR(__xludf.DUMMYFUNCTION("IFERROR(IF(WEEKNUM($A$6)=1,($J60-SUM(FILTER(FinishedData!$C:$C,YEAR(FinishedData!$A:$A)=YEAR($A$6)-1,WEEKNUM(FinishedData!$A:$A)=WEEKNUM($A$6)+52)))/$I60,
($J60-SUM(FILTER(FinishedData!$C:$C,YEAR(FinishedData!$A:$A)=YEAR($A$6),WEEKNUM(FinishedData!$A:$A)="&amp;"WEEKNUM($A$6)-1)))/$I60),"""")"),0.061224489795918366)</f>
        <v>0.0612244898</v>
      </c>
      <c r="K61" s="2"/>
      <c r="L61" s="2"/>
      <c r="M61" s="2"/>
      <c r="N61" s="2"/>
      <c r="O61" s="2"/>
      <c r="P61" s="2"/>
      <c r="Q61" s="2"/>
      <c r="R61" s="2"/>
      <c r="S61" s="2"/>
      <c r="T61" s="2"/>
      <c r="U61" s="2"/>
      <c r="V61" s="2"/>
      <c r="W61" s="2"/>
      <c r="X61" s="2"/>
      <c r="Y61" s="2"/>
      <c r="Z61" s="2"/>
    </row>
    <row r="62" ht="22.5" customHeight="1">
      <c r="A62" s="76">
        <f>IF(G58&gt;=$D$3,"",G58+1)</f>
        <v>44647</v>
      </c>
      <c r="B62" s="76">
        <f t="shared" ref="B62:G62" si="15">IF(A62&gt;=$D$3,"",A62+1)</f>
        <v>44648</v>
      </c>
      <c r="C62" s="76">
        <f t="shared" si="15"/>
        <v>44649</v>
      </c>
      <c r="D62" s="76">
        <f t="shared" si="15"/>
        <v>44650</v>
      </c>
      <c r="E62" s="76">
        <f t="shared" si="15"/>
        <v>44651</v>
      </c>
      <c r="F62" s="76">
        <f t="shared" si="15"/>
        <v>44652</v>
      </c>
      <c r="G62" s="76">
        <f t="shared" si="15"/>
        <v>44653</v>
      </c>
      <c r="H62" s="2"/>
      <c r="K62" s="2"/>
      <c r="L62" s="2"/>
      <c r="M62" s="2"/>
      <c r="N62" s="2"/>
      <c r="O62" s="2"/>
      <c r="P62" s="2"/>
      <c r="Q62" s="2"/>
      <c r="R62" s="2"/>
      <c r="S62" s="2"/>
      <c r="T62" s="2"/>
      <c r="U62" s="2"/>
      <c r="V62" s="2"/>
      <c r="W62" s="2"/>
      <c r="X62" s="2"/>
      <c r="Y62" s="2"/>
      <c r="Z62" s="2"/>
    </row>
    <row r="63" ht="22.5" customHeight="1">
      <c r="A63" s="42" t="str">
        <f t="array" ref="A63">IFERROR(INDEX(Lists2!$B:$B,MATCH(A64,Lists2!$A:$A,0)),"")</f>
        <v/>
      </c>
      <c r="B63" s="42" t="str">
        <f t="array" ref="B63">IFERROR(INDEX(Lists2!$B:$B,MATCH(B64,Lists2!$A:$A,0)),"")</f>
        <v/>
      </c>
      <c r="C63" s="42" t="str">
        <f t="array" ref="C63">IFERROR(INDEX(Lists2!$B:$B,MATCH(C64,Lists2!$A:$A,0)),"")</f>
        <v/>
      </c>
      <c r="D63" s="42" t="str">
        <f t="array" ref="D63">IFERROR(INDEX(Lists2!$B:$B,MATCH(D64,Lists2!$A:$A,0)),"")</f>
        <v/>
      </c>
      <c r="E63" s="42" t="str">
        <f t="array" ref="E63">IFERROR(INDEX(Lists2!$B:$B,MATCH(E64,Lists2!$A:$A,0)),"")</f>
        <v/>
      </c>
      <c r="F63" s="42" t="str">
        <f t="array" ref="F63">IFERROR(INDEX(Lists2!$B:$B,MATCH(F64,Lists2!$A:$A,0)),"")</f>
        <v/>
      </c>
      <c r="G63" s="42" t="str">
        <f t="array" ref="G63">IFERROR(INDEX(Lists2!$B:$B,MATCH(G64,Lists2!$A:$A,0)),"")</f>
        <v/>
      </c>
      <c r="H63" s="2"/>
      <c r="I63" s="71" t="str">
        <f>"Week of "&amp;TEXT(A62-7,"MM/DD")</f>
        <v>Week of 03/20</v>
      </c>
      <c r="J63" s="71" t="str">
        <f>"Week of "&amp;TEXT(A62,"MM/DD")</f>
        <v>Week of 03/27</v>
      </c>
      <c r="K63" s="2"/>
      <c r="L63" s="2"/>
      <c r="M63" s="2"/>
      <c r="N63" s="2"/>
      <c r="O63" s="2"/>
      <c r="P63" s="2"/>
      <c r="Q63" s="2"/>
      <c r="R63" s="2"/>
      <c r="S63" s="2"/>
      <c r="T63" s="2"/>
      <c r="U63" s="2"/>
      <c r="V63" s="2"/>
      <c r="W63" s="2"/>
      <c r="X63" s="2"/>
      <c r="Y63" s="2"/>
      <c r="Z63" s="2"/>
    </row>
    <row r="64" ht="22.5" customHeight="1">
      <c r="A64" s="42" t="str">
        <f t="array" ref="A64">IFERROR(INDEX(FinishedData!$B:$B,MATCH(A62,FinishedData!$A:$A,0)),"")</f>
        <v>Game</v>
      </c>
      <c r="B64" s="42" t="str">
        <f t="array" ref="B64">IFERROR(INDEX(FinishedData!$B:$B,MATCH(B62,FinishedData!$A:$A,0)),"")</f>
        <v>Off</v>
      </c>
      <c r="C64" s="42" t="str">
        <f t="array" ref="C64">IFERROR(INDEX(FinishedData!$B:$B,MATCH(C62,FinishedData!$A:$A,0)),"")</f>
        <v>Practice</v>
      </c>
      <c r="D64" s="42" t="str">
        <f t="array" ref="D64">IFERROR(INDEX(FinishedData!$B:$B,MATCH(D62,FinishedData!$A:$A,0)),"")</f>
        <v>Game</v>
      </c>
      <c r="E64" s="42" t="str">
        <f t="array" ref="E64">IFERROR(INDEX(FinishedData!$B:$B,MATCH(E62,FinishedData!$A:$A,0)),"")</f>
        <v>Practice</v>
      </c>
      <c r="F64" s="42" t="str">
        <f t="array" ref="F64">IFERROR(INDEX(FinishedData!$B:$B,MATCH(F62,FinishedData!$A:$A,0)),"")</f>
        <v>Practice</v>
      </c>
      <c r="G64" s="42" t="str">
        <f t="array" ref="G64">IFERROR(INDEX(FinishedData!$B:$B,MATCH(G62,FinishedData!$A:$A,0)),"")</f>
        <v>Practice</v>
      </c>
      <c r="H64" s="2"/>
      <c r="I64" s="72">
        <f>IFERROR(__xludf.DUMMYFUNCTION("IF(A62="""","""",IF(WEEKNUM($A$6)=1,SUM(FILTER(FinishedData!$C:$C,YEAR(FinishedData!$A:$A)=YEAR($A$6)-1,WEEKNUM(FinishedData!$A:$A)=WEEKNUM($A$6)+52)),
SUM(FILTER(FinishedData!$C:$C,YEAR(FinishedData!$A:$A)=YEAR($A$6),WEEKNUM(FinishedData!$A:$A)=WEEKNUM($"&amp;"A$6)-1))))"),4410.0)</f>
        <v>4410</v>
      </c>
      <c r="J64" s="72">
        <f>IFERROR(__xludf.DUMMYFUNCTION("IF(A62="""","""", SUM(FILTER(FinishedData!$C:$C,YEAR(FinishedData!$A:$A)=YEAR($A62),WEEKNUM(FinishedData!$A:$A)=WEEKNUM($A62))))"),4570.0)</f>
        <v>4570</v>
      </c>
      <c r="K64" s="2"/>
      <c r="L64" s="2"/>
      <c r="M64" s="2"/>
      <c r="N64" s="2"/>
      <c r="O64" s="2"/>
      <c r="P64" s="2"/>
      <c r="Q64" s="2"/>
      <c r="R64" s="2"/>
      <c r="S64" s="2"/>
      <c r="T64" s="2"/>
      <c r="U64" s="2"/>
      <c r="V64" s="2"/>
      <c r="W64" s="2"/>
      <c r="X64" s="2"/>
      <c r="Y64" s="2"/>
      <c r="Z64" s="2"/>
    </row>
    <row r="65" ht="22.5" customHeight="1">
      <c r="A65" s="73">
        <f t="array" ref="A65">IFERROR(INDEX(FinishedData!$C:$C,MATCH(A62,FinishedData!$A:$A,0)),"")</f>
        <v>755</v>
      </c>
      <c r="B65" s="73" t="str">
        <f t="array" ref="B65">IFERROR(INDEX(FinishedData!$C:$C,MATCH(B62,FinishedData!$A:$A,0)),"")</f>
        <v/>
      </c>
      <c r="C65" s="73">
        <f t="array" ref="C65">IFERROR(INDEX(FinishedData!$C:$C,MATCH(C62,FinishedData!$A:$A,0)),"")</f>
        <v>620</v>
      </c>
      <c r="D65" s="73">
        <f t="array" ref="D65">IFERROR(INDEX(FinishedData!$C:$C,MATCH(D62,FinishedData!$A:$A,0)),"")</f>
        <v>900</v>
      </c>
      <c r="E65" s="73">
        <f t="array" ref="E65">IFERROR(INDEX(FinishedData!$C:$C,MATCH(E62,FinishedData!$A:$A,0)),"")</f>
        <v>835</v>
      </c>
      <c r="F65" s="73">
        <f t="array" ref="F65">IFERROR(INDEX(FinishedData!$C:$C,MATCH(F62,FinishedData!$A:$A,0)),"")</f>
        <v>745</v>
      </c>
      <c r="G65" s="73">
        <f t="array" ref="G65">IFERROR(INDEX(FinishedData!$C:$C,MATCH(G62,FinishedData!$A:$A,0)),"")</f>
        <v>715</v>
      </c>
      <c r="H65" s="2"/>
      <c r="I65" s="74" t="s">
        <v>47</v>
      </c>
      <c r="J65" s="75">
        <f>IFERROR(__xludf.DUMMYFUNCTION("IFERROR(IF(WEEKNUM($A$6)=1,($J64-SUM(FILTER(FinishedData!$C:$C,YEAR(FinishedData!$A:$A)=YEAR($A$6)-1,WEEKNUM(FinishedData!$A:$A)=WEEKNUM($A$6)+52)))/$I64,
($J64-SUM(FILTER(FinishedData!$C:$C,YEAR(FinishedData!$A:$A)=YEAR($A$6),WEEKNUM(FinishedData!$A:$A)="&amp;"WEEKNUM($A$6)-1)))/$I64),"""")"),0.036281179138321996)</f>
        <v>0.03628117914</v>
      </c>
      <c r="K65" s="2"/>
      <c r="L65" s="2"/>
      <c r="M65" s="2"/>
      <c r="N65" s="2"/>
      <c r="O65" s="2"/>
      <c r="P65" s="2"/>
      <c r="Q65" s="2"/>
      <c r="R65" s="2"/>
      <c r="S65" s="2"/>
      <c r="T65" s="2"/>
      <c r="U65" s="2"/>
      <c r="V65" s="2"/>
      <c r="W65" s="2"/>
      <c r="X65" s="2"/>
      <c r="Y65" s="2"/>
      <c r="Z65" s="2"/>
    </row>
    <row r="66" ht="22.5" customHeight="1">
      <c r="A66" s="76">
        <f>IF(G62&gt;=$D$3,"",G62+1)</f>
        <v>44654</v>
      </c>
      <c r="B66" s="76">
        <f t="shared" ref="B66:G66" si="16">IF(A66&gt;=$D$3,"",A66+1)</f>
        <v>44655</v>
      </c>
      <c r="C66" s="76">
        <f t="shared" si="16"/>
        <v>44656</v>
      </c>
      <c r="D66" s="76">
        <f t="shared" si="16"/>
        <v>44657</v>
      </c>
      <c r="E66" s="76">
        <f t="shared" si="16"/>
        <v>44658</v>
      </c>
      <c r="F66" s="76">
        <f t="shared" si="16"/>
        <v>44659</v>
      </c>
      <c r="G66" s="76">
        <f t="shared" si="16"/>
        <v>44660</v>
      </c>
      <c r="H66" s="2"/>
      <c r="K66" s="2"/>
      <c r="L66" s="2"/>
      <c r="M66" s="2"/>
      <c r="N66" s="2"/>
      <c r="O66" s="2"/>
      <c r="P66" s="2"/>
      <c r="Q66" s="2"/>
      <c r="R66" s="2"/>
      <c r="S66" s="2"/>
      <c r="T66" s="2"/>
      <c r="U66" s="2"/>
      <c r="V66" s="2"/>
      <c r="W66" s="2"/>
      <c r="X66" s="2"/>
      <c r="Y66" s="2"/>
      <c r="Z66" s="2"/>
    </row>
    <row r="67" ht="22.5" customHeight="1">
      <c r="A67" s="42" t="str">
        <f t="array" ref="A67">IFERROR(INDEX(Lists2!$B:$B,MATCH(A68,Lists2!$A:$A,0)),"")</f>
        <v/>
      </c>
      <c r="B67" s="42" t="str">
        <f t="array" ref="B67">IFERROR(INDEX(Lists2!$B:$B,MATCH(B68,Lists2!$A:$A,0)),"")</f>
        <v/>
      </c>
      <c r="C67" s="42" t="str">
        <f t="array" ref="C67">IFERROR(INDEX(Lists2!$B:$B,MATCH(C68,Lists2!$A:$A,0)),"")</f>
        <v/>
      </c>
      <c r="D67" s="42" t="str">
        <f t="array" ref="D67">IFERROR(INDEX(Lists2!$B:$B,MATCH(D68,Lists2!$A:$A,0)),"")</f>
        <v/>
      </c>
      <c r="E67" s="42" t="str">
        <f t="array" ref="E67">IFERROR(INDEX(Lists2!$B:$B,MATCH(E68,Lists2!$A:$A,0)),"")</f>
        <v/>
      </c>
      <c r="F67" s="42" t="str">
        <f t="array" ref="F67">IFERROR(INDEX(Lists2!$B:$B,MATCH(F68,Lists2!$A:$A,0)),"")</f>
        <v/>
      </c>
      <c r="G67" s="42" t="str">
        <f t="array" ref="G67">IFERROR(INDEX(Lists2!$B:$B,MATCH(G68,Lists2!$A:$A,0)),"")</f>
        <v/>
      </c>
      <c r="H67" s="2"/>
      <c r="I67" s="71" t="str">
        <f>"Week of "&amp;TEXT(A66-7,"MM/DD")</f>
        <v>Week of 03/27</v>
      </c>
      <c r="J67" s="71" t="str">
        <f>"Week of "&amp;TEXT(A66,"MM/DD")</f>
        <v>Week of 04/03</v>
      </c>
      <c r="K67" s="2"/>
      <c r="L67" s="2"/>
      <c r="M67" s="2"/>
      <c r="N67" s="2"/>
      <c r="O67" s="2"/>
      <c r="P67" s="2"/>
      <c r="Q67" s="2"/>
      <c r="R67" s="2"/>
      <c r="S67" s="2"/>
      <c r="T67" s="2"/>
      <c r="U67" s="2"/>
      <c r="V67" s="2"/>
      <c r="W67" s="2"/>
      <c r="X67" s="2"/>
      <c r="Y67" s="2"/>
      <c r="Z67" s="2"/>
    </row>
    <row r="68" ht="22.5" customHeight="1">
      <c r="A68" s="42" t="str">
        <f t="array" ref="A68">IFERROR(INDEX(FinishedData!$B:$B,MATCH(A66,FinishedData!$A:$A,0)),"")</f>
        <v>Game</v>
      </c>
      <c r="B68" s="42" t="str">
        <f t="array" ref="B68">IFERROR(INDEX(FinishedData!$B:$B,MATCH(B66,FinishedData!$A:$A,0)),"")</f>
        <v>Practice</v>
      </c>
      <c r="C68" s="42" t="str">
        <f t="array" ref="C68">IFERROR(INDEX(FinishedData!$B:$B,MATCH(C66,FinishedData!$A:$A,0)),"")</f>
        <v>Practice</v>
      </c>
      <c r="D68" s="42" t="str">
        <f t="array" ref="D68">IFERROR(INDEX(FinishedData!$B:$B,MATCH(D66,FinishedData!$A:$A,0)),"")</f>
        <v>Game</v>
      </c>
      <c r="E68" s="42" t="str">
        <f t="array" ref="E68">IFERROR(INDEX(FinishedData!$B:$B,MATCH(E66,FinishedData!$A:$A,0)),"")</f>
        <v>Off</v>
      </c>
      <c r="F68" s="42" t="str">
        <f t="array" ref="F68">IFERROR(INDEX(FinishedData!$B:$B,MATCH(F66,FinishedData!$A:$A,0)),"")</f>
        <v>Practice</v>
      </c>
      <c r="G68" s="42" t="str">
        <f t="array" ref="G68">IFERROR(INDEX(FinishedData!$B:$B,MATCH(G66,FinishedData!$A:$A,0)),"")</f>
        <v>Gym</v>
      </c>
      <c r="H68" s="2"/>
      <c r="I68" s="72">
        <f>IFERROR(__xludf.DUMMYFUNCTION("IF(A66="""","""",IF(WEEKNUM($A$6)=1,SUM(FILTER(FinishedData!$C:$C,YEAR(FinishedData!$A:$A)=YEAR($A$6)-1,WEEKNUM(FinishedData!$A:$A)=WEEKNUM($A$6)+52)),
SUM(FILTER(FinishedData!$C:$C,YEAR(FinishedData!$A:$A)=YEAR($A$6),WEEKNUM(FinishedData!$A:$A)=WEEKNUM($"&amp;"A$6)-1))))"),4410.0)</f>
        <v>4410</v>
      </c>
      <c r="J68" s="72">
        <f>IFERROR(__xludf.DUMMYFUNCTION("IF(A66="""","""", SUM(FILTER(FinishedData!$C:$C,YEAR(FinishedData!$A:$A)=YEAR($A66),WEEKNUM(FinishedData!$A:$A)=WEEKNUM($A66))))"),4325.0)</f>
        <v>4325</v>
      </c>
      <c r="K68" s="2"/>
      <c r="L68" s="2"/>
      <c r="M68" s="2"/>
      <c r="N68" s="2"/>
      <c r="O68" s="2"/>
      <c r="P68" s="2"/>
      <c r="Q68" s="2"/>
      <c r="R68" s="2"/>
      <c r="S68" s="2"/>
      <c r="T68" s="2"/>
      <c r="U68" s="2"/>
      <c r="V68" s="2"/>
      <c r="W68" s="2"/>
      <c r="X68" s="2"/>
      <c r="Y68" s="2"/>
      <c r="Z68" s="2"/>
    </row>
    <row r="69" ht="22.5" customHeight="1">
      <c r="A69" s="73">
        <f t="array" ref="A69">IFERROR(INDEX(FinishedData!$C:$C,MATCH(A66,FinishedData!$A:$A,0)),"")</f>
        <v>600</v>
      </c>
      <c r="B69" s="73">
        <f t="array" ref="B69">IFERROR(INDEX(FinishedData!$C:$C,MATCH(B66,FinishedData!$A:$A,0)),"")</f>
        <v>720</v>
      </c>
      <c r="C69" s="73">
        <f t="array" ref="C69">IFERROR(INDEX(FinishedData!$C:$C,MATCH(C66,FinishedData!$A:$A,0)),"")</f>
        <v>690</v>
      </c>
      <c r="D69" s="73">
        <f t="array" ref="D69">IFERROR(INDEX(FinishedData!$C:$C,MATCH(D66,FinishedData!$A:$A,0)),"")</f>
        <v>510</v>
      </c>
      <c r="E69" s="73" t="str">
        <f t="array" ref="E69">IFERROR(INDEX(FinishedData!$C:$C,MATCH(E66,FinishedData!$A:$A,0)),"")</f>
        <v/>
      </c>
      <c r="F69" s="73">
        <f t="array" ref="F69">IFERROR(INDEX(FinishedData!$C:$C,MATCH(F66,FinishedData!$A:$A,0)),"")</f>
        <v>895</v>
      </c>
      <c r="G69" s="73">
        <f t="array" ref="G69">IFERROR(INDEX(FinishedData!$C:$C,MATCH(G66,FinishedData!$A:$A,0)),"")</f>
        <v>910</v>
      </c>
      <c r="H69" s="2"/>
      <c r="I69" s="74" t="s">
        <v>49</v>
      </c>
      <c r="J69" s="75">
        <f>IFERROR(__xludf.DUMMYFUNCTION("IFERROR(IF(WEEKNUM($A$6)=1,($J68-SUM(FILTER(FinishedData!$C:$C,YEAR(FinishedData!$A:$A)=YEAR($A$6)-1,WEEKNUM(FinishedData!$A:$A)=WEEKNUM($A$6)+52)))/$I68,
($J68-SUM(FILTER(FinishedData!$C:$C,YEAR(FinishedData!$A:$A)=YEAR($A$6),WEEKNUM(FinishedData!$A:$A)="&amp;"WEEKNUM($A$6)-1)))/$I68),"""")"),-0.01927437641723356)</f>
        <v>-0.01927437642</v>
      </c>
      <c r="K69" s="2"/>
      <c r="L69" s="2"/>
      <c r="M69" s="2"/>
      <c r="N69" s="2"/>
      <c r="O69" s="2"/>
      <c r="P69" s="2"/>
      <c r="Q69" s="2"/>
      <c r="R69" s="2"/>
      <c r="S69" s="2"/>
      <c r="T69" s="2"/>
      <c r="U69" s="2"/>
      <c r="V69" s="2"/>
      <c r="W69" s="2"/>
      <c r="X69" s="2"/>
      <c r="Y69" s="2"/>
      <c r="Z69" s="2"/>
    </row>
    <row r="70" ht="22.5" customHeight="1">
      <c r="A70" s="76">
        <f>IF(G66&gt;=$D$3,"",G66+1)</f>
        <v>44661</v>
      </c>
      <c r="B70" s="76">
        <f t="shared" ref="B70:G70" si="17">IF(A70&gt;=$D$3,"",A70+1)</f>
        <v>44662</v>
      </c>
      <c r="C70" s="76">
        <f t="shared" si="17"/>
        <v>44663</v>
      </c>
      <c r="D70" s="76">
        <f t="shared" si="17"/>
        <v>44664</v>
      </c>
      <c r="E70" s="76">
        <f t="shared" si="17"/>
        <v>44665</v>
      </c>
      <c r="F70" s="76">
        <f t="shared" si="17"/>
        <v>44666</v>
      </c>
      <c r="G70" s="76">
        <f t="shared" si="17"/>
        <v>44667</v>
      </c>
      <c r="H70" s="2"/>
      <c r="I70" s="2"/>
      <c r="J70" s="2"/>
      <c r="K70" s="2"/>
      <c r="L70" s="2"/>
      <c r="M70" s="2"/>
      <c r="N70" s="2"/>
      <c r="O70" s="2"/>
      <c r="P70" s="2"/>
      <c r="Q70" s="2"/>
      <c r="R70" s="2"/>
      <c r="S70" s="2"/>
      <c r="T70" s="2"/>
      <c r="U70" s="2"/>
      <c r="V70" s="2"/>
      <c r="W70" s="2"/>
      <c r="X70" s="2"/>
      <c r="Y70" s="2"/>
      <c r="Z70" s="2"/>
    </row>
    <row r="71" ht="22.5" customHeight="1">
      <c r="A71" s="42" t="str">
        <f t="array" ref="A71">IFERROR(INDEX(Lists2!$B:$B,MATCH(A72,Lists2!$A:$A,0)),"")</f>
        <v/>
      </c>
      <c r="B71" s="42" t="str">
        <f t="array" ref="B71">IFERROR(INDEX(Lists2!$B:$B,MATCH(B72,Lists2!$A:$A,0)),"")</f>
        <v/>
      </c>
      <c r="C71" s="42" t="str">
        <f t="array" ref="C71">IFERROR(INDEX(Lists2!$B:$B,MATCH(C72,Lists2!$A:$A,0)),"")</f>
        <v/>
      </c>
      <c r="D71" s="42" t="str">
        <f t="array" ref="D71">IFERROR(INDEX(Lists2!$B:$B,MATCH(D72,Lists2!$A:$A,0)),"")</f>
        <v/>
      </c>
      <c r="E71" s="42" t="str">
        <f t="array" ref="E71">IFERROR(INDEX(Lists2!$B:$B,MATCH(E72,Lists2!$A:$A,0)),"")</f>
        <v/>
      </c>
      <c r="F71" s="42" t="str">
        <f t="array" ref="F71">IFERROR(INDEX(Lists2!$B:$B,MATCH(F72,Lists2!$A:$A,0)),"")</f>
        <v/>
      </c>
      <c r="G71" s="42" t="str">
        <f t="array" ref="G71">IFERROR(INDEX(Lists2!$B:$B,MATCH(G72,Lists2!$A:$A,0)),"")</f>
        <v/>
      </c>
      <c r="H71" s="2"/>
      <c r="I71" s="71" t="str">
        <f>"Week of "&amp;TEXT(A70-7,"MM/DD")</f>
        <v>Week of 04/03</v>
      </c>
      <c r="J71" s="71" t="str">
        <f>"Week of "&amp;TEXT(A70,"MM/DD")</f>
        <v>Week of 04/10</v>
      </c>
      <c r="K71" s="2"/>
      <c r="L71" s="2"/>
      <c r="M71" s="2"/>
      <c r="N71" s="2"/>
      <c r="O71" s="2"/>
      <c r="P71" s="2"/>
      <c r="Q71" s="2"/>
      <c r="R71" s="2"/>
      <c r="S71" s="2"/>
      <c r="T71" s="2"/>
      <c r="U71" s="2"/>
      <c r="V71" s="2"/>
      <c r="W71" s="2"/>
      <c r="X71" s="2"/>
      <c r="Y71" s="2"/>
      <c r="Z71" s="2"/>
    </row>
    <row r="72" ht="22.5" customHeight="1">
      <c r="A72" s="42" t="str">
        <f t="array" ref="A72">IFERROR(INDEX(FinishedData!$B:$B,MATCH(A70,FinishedData!$A:$A,0)),"")</f>
        <v>Practice</v>
      </c>
      <c r="B72" s="42" t="str">
        <f t="array" ref="B72">IFERROR(INDEX(FinishedData!$B:$B,MATCH(B70,FinishedData!$A:$A,0)),"")</f>
        <v>Practice</v>
      </c>
      <c r="C72" s="42" t="str">
        <f t="array" ref="C72">IFERROR(INDEX(FinishedData!$B:$B,MATCH(C70,FinishedData!$A:$A,0)),"")</f>
        <v>Practice</v>
      </c>
      <c r="D72" s="42" t="str">
        <f t="array" ref="D72">IFERROR(INDEX(FinishedData!$B:$B,MATCH(D70,FinishedData!$A:$A,0)),"")</f>
        <v>Game</v>
      </c>
      <c r="E72" s="42" t="str">
        <f t="array" ref="E72">IFERROR(INDEX(FinishedData!$B:$B,MATCH(E70,FinishedData!$A:$A,0)),"")</f>
        <v>Off</v>
      </c>
      <c r="F72" s="42" t="str">
        <f t="array" ref="F72">IFERROR(INDEX(FinishedData!$B:$B,MATCH(F70,FinishedData!$A:$A,0)),"")</f>
        <v>Gym</v>
      </c>
      <c r="G72" s="42" t="str">
        <f t="array" ref="G72">IFERROR(INDEX(FinishedData!$B:$B,MATCH(G70,FinishedData!$A:$A,0)),"")</f>
        <v>Practice</v>
      </c>
      <c r="H72" s="2"/>
      <c r="I72" s="72">
        <f>IFERROR(__xludf.DUMMYFUNCTION("IF(A70="""","""",IF(WEEKNUM($A$6)=1,SUM(FILTER(FinishedData!$C:$C,YEAR(FinishedData!$A:$A)=YEAR($A$6)-1,WEEKNUM(FinishedData!$A:$A)=WEEKNUM($A$6)+52)),
SUM(FILTER(FinishedData!$C:$C,YEAR(FinishedData!$A:$A)=YEAR($A$6),WEEKNUM(FinishedData!$A:$A)=WEEKNUM($"&amp;"A$6)-1))))"),4410.0)</f>
        <v>4410</v>
      </c>
      <c r="J72" s="72">
        <f>IFERROR(__xludf.DUMMYFUNCTION("IF(A70="""","""", SUM(FILTER(FinishedData!$C:$C,YEAR(FinishedData!$A:$A)=YEAR($A70),WEEKNUM(FinishedData!$A:$A)=WEEKNUM($A70))))"),4535.0)</f>
        <v>4535</v>
      </c>
      <c r="K72" s="2"/>
      <c r="L72" s="2"/>
      <c r="M72" s="2"/>
      <c r="N72" s="2"/>
      <c r="O72" s="2"/>
      <c r="P72" s="2"/>
      <c r="Q72" s="2"/>
      <c r="R72" s="2"/>
      <c r="S72" s="2"/>
      <c r="T72" s="2"/>
      <c r="U72" s="2"/>
      <c r="V72" s="2"/>
      <c r="W72" s="2"/>
      <c r="X72" s="2"/>
      <c r="Y72" s="2"/>
      <c r="Z72" s="2"/>
    </row>
    <row r="73" ht="22.5" customHeight="1">
      <c r="A73" s="73">
        <f t="array" ref="A73">IFERROR(INDEX(FinishedData!$C:$C,MATCH(A70,FinishedData!$A:$A,0)),"")</f>
        <v>720</v>
      </c>
      <c r="B73" s="73">
        <f t="array" ref="B73">IFERROR(INDEX(FinishedData!$C:$C,MATCH(B70,FinishedData!$A:$A,0)),"")</f>
        <v>540</v>
      </c>
      <c r="C73" s="73">
        <f t="array" ref="C73">IFERROR(INDEX(FinishedData!$C:$C,MATCH(C70,FinishedData!$A:$A,0)),"")</f>
        <v>590</v>
      </c>
      <c r="D73" s="73">
        <f t="array" ref="D73">IFERROR(INDEX(FinishedData!$C:$C,MATCH(D70,FinishedData!$A:$A,0)),"")</f>
        <v>810</v>
      </c>
      <c r="E73" s="73" t="str">
        <f t="array" ref="E73">IFERROR(INDEX(FinishedData!$C:$C,MATCH(E70,FinishedData!$A:$A,0)),"")</f>
        <v/>
      </c>
      <c r="F73" s="73">
        <f t="array" ref="F73">IFERROR(INDEX(FinishedData!$C:$C,MATCH(F70,FinishedData!$A:$A,0)),"")</f>
        <v>990</v>
      </c>
      <c r="G73" s="73">
        <f t="array" ref="G73">IFERROR(INDEX(FinishedData!$C:$C,MATCH(G70,FinishedData!$A:$A,0)),"")</f>
        <v>885</v>
      </c>
      <c r="H73" s="2"/>
      <c r="I73" s="74" t="s">
        <v>47</v>
      </c>
      <c r="J73" s="75">
        <f>IFERROR(__xludf.DUMMYFUNCTION("IFERROR(IF(WEEKNUM($A$6)=1,($J72-SUM(FILTER(FinishedData!$C:$C,YEAR(FinishedData!$A:$A)=YEAR($A$6)-1,WEEKNUM(FinishedData!$A:$A)=WEEKNUM($A$6)+52)))/$I72,
($J72-SUM(FILTER(FinishedData!$C:$C,YEAR(FinishedData!$A:$A)=YEAR($A$6),WEEKNUM(FinishedData!$A:$A)="&amp;"WEEKNUM($A$6)-1)))/$I72),"""")"),0.02834467120181406)</f>
        <v>0.0283446712</v>
      </c>
      <c r="K73" s="2"/>
      <c r="L73" s="2"/>
      <c r="M73" s="2"/>
      <c r="N73" s="2"/>
      <c r="O73" s="2"/>
      <c r="P73" s="2"/>
      <c r="Q73" s="2"/>
      <c r="R73" s="2"/>
      <c r="S73" s="2"/>
      <c r="T73" s="2"/>
      <c r="U73" s="2"/>
      <c r="V73" s="2"/>
      <c r="W73" s="2"/>
      <c r="X73" s="2"/>
      <c r="Y73" s="2"/>
      <c r="Z73" s="2"/>
    </row>
    <row r="74" ht="22.5" customHeight="1">
      <c r="A74" s="76">
        <f>IF(G70&gt;=$D$3,"",G70+1)</f>
        <v>44668</v>
      </c>
      <c r="B74" s="76">
        <f t="shared" ref="B74:G74" si="18">IF(A74&gt;=$D$3,"",A74+1)</f>
        <v>44669</v>
      </c>
      <c r="C74" s="76">
        <f t="shared" si="18"/>
        <v>44670</v>
      </c>
      <c r="D74" s="76">
        <f t="shared" si="18"/>
        <v>44671</v>
      </c>
      <c r="E74" s="76">
        <f t="shared" si="18"/>
        <v>44672</v>
      </c>
      <c r="F74" s="76">
        <f t="shared" si="18"/>
        <v>44673</v>
      </c>
      <c r="G74" s="76">
        <f t="shared" si="18"/>
        <v>44674</v>
      </c>
      <c r="H74" s="2"/>
      <c r="K74" s="2"/>
      <c r="L74" s="2"/>
      <c r="M74" s="2"/>
      <c r="N74" s="2"/>
      <c r="O74" s="2"/>
      <c r="P74" s="2"/>
      <c r="Q74" s="2"/>
      <c r="R74" s="2"/>
      <c r="S74" s="2"/>
      <c r="T74" s="2"/>
      <c r="U74" s="2"/>
      <c r="V74" s="2"/>
      <c r="W74" s="2"/>
      <c r="X74" s="2"/>
      <c r="Y74" s="2"/>
      <c r="Z74" s="2"/>
    </row>
    <row r="75" ht="22.5" customHeight="1">
      <c r="A75" s="42" t="str">
        <f t="array" ref="A75">IFERROR(INDEX(Lists2!$B:$B,MATCH(A76,Lists2!$A:$A,0)),"")</f>
        <v/>
      </c>
      <c r="B75" s="42" t="str">
        <f t="array" ref="B75">IFERROR(INDEX(Lists2!$B:$B,MATCH(B76,Lists2!$A:$A,0)),"")</f>
        <v/>
      </c>
      <c r="C75" s="42" t="str">
        <f t="array" ref="C75">IFERROR(INDEX(Lists2!$B:$B,MATCH(C76,Lists2!$A:$A,0)),"")</f>
        <v/>
      </c>
      <c r="D75" s="42" t="str">
        <f t="array" ref="D75">IFERROR(INDEX(Lists2!$B:$B,MATCH(D76,Lists2!$A:$A,0)),"")</f>
        <v/>
      </c>
      <c r="E75" s="42" t="str">
        <f t="array" ref="E75">IFERROR(INDEX(Lists2!$B:$B,MATCH(E76,Lists2!$A:$A,0)),"")</f>
        <v/>
      </c>
      <c r="F75" s="42" t="str">
        <f t="array" ref="F75">IFERROR(INDEX(Lists2!$B:$B,MATCH(F76,Lists2!$A:$A,0)),"")</f>
        <v/>
      </c>
      <c r="G75" s="42" t="str">
        <f t="array" ref="G75">IFERROR(INDEX(Lists2!$B:$B,MATCH(G76,Lists2!$A:$A,0)),"")</f>
        <v/>
      </c>
      <c r="H75" s="2"/>
      <c r="I75" s="71" t="str">
        <f>"Week of "&amp;TEXT(A74-7,"MM/DD")</f>
        <v>Week of 04/10</v>
      </c>
      <c r="J75" s="71" t="str">
        <f>"Week of "&amp;TEXT(A74,"MM/DD")</f>
        <v>Week of 04/17</v>
      </c>
      <c r="K75" s="2"/>
      <c r="L75" s="2"/>
      <c r="M75" s="2"/>
      <c r="N75" s="2"/>
      <c r="O75" s="2"/>
      <c r="P75" s="2"/>
      <c r="Q75" s="2"/>
      <c r="R75" s="2"/>
      <c r="S75" s="2"/>
      <c r="T75" s="2"/>
      <c r="U75" s="2"/>
      <c r="V75" s="2"/>
      <c r="W75" s="2"/>
      <c r="X75" s="2"/>
      <c r="Y75" s="2"/>
      <c r="Z75" s="2"/>
    </row>
    <row r="76" ht="22.5" customHeight="1">
      <c r="A76" s="42" t="str">
        <f t="array" ref="A76">IFERROR(INDEX(FinishedData!$B:$B,MATCH(A74,FinishedData!$A:$A,0)),"")</f>
        <v>Practice</v>
      </c>
      <c r="B76" s="42" t="str">
        <f t="array" ref="B76">IFERROR(INDEX(FinishedData!$B:$B,MATCH(B74,FinishedData!$A:$A,0)),"")</f>
        <v>Game</v>
      </c>
      <c r="C76" s="42" t="str">
        <f t="array" ref="C76">IFERROR(INDEX(FinishedData!$B:$B,MATCH(C74,FinishedData!$A:$A,0)),"")</f>
        <v>Game</v>
      </c>
      <c r="D76" s="42" t="str">
        <f t="array" ref="D76">IFERROR(INDEX(FinishedData!$B:$B,MATCH(D74,FinishedData!$A:$A,0)),"")</f>
        <v>Off</v>
      </c>
      <c r="E76" s="42" t="str">
        <f t="array" ref="E76">IFERROR(INDEX(FinishedData!$B:$B,MATCH(E74,FinishedData!$A:$A,0)),"")</f>
        <v>Practice</v>
      </c>
      <c r="F76" s="42" t="str">
        <f t="array" ref="F76">IFERROR(INDEX(FinishedData!$B:$B,MATCH(F74,FinishedData!$A:$A,0)),"")</f>
        <v>Practice</v>
      </c>
      <c r="G76" s="42" t="str">
        <f t="array" ref="G76">IFERROR(INDEX(FinishedData!$B:$B,MATCH(G74,FinishedData!$A:$A,0)),"")</f>
        <v>Gym</v>
      </c>
      <c r="H76" s="2"/>
      <c r="I76" s="72">
        <f>IFERROR(__xludf.DUMMYFUNCTION("IF(A74="""","""",IF(WEEKNUM($A$6)=1,SUM(FILTER(FinishedData!$C:$C,YEAR(FinishedData!$A:$A)=YEAR($A$6)-1,WEEKNUM(FinishedData!$A:$A)=WEEKNUM($A$6)+52)),
SUM(FILTER(FinishedData!$C:$C,YEAR(FinishedData!$A:$A)=YEAR($A$6),WEEKNUM(FinishedData!$A:$A)=WEEKNUM($"&amp;"A$6)-1))))"),4410.0)</f>
        <v>4410</v>
      </c>
      <c r="J76" s="72">
        <f>IFERROR(__xludf.DUMMYFUNCTION("IF(A74="""","""", SUM(FILTER(FinishedData!$C:$C,YEAR(FinishedData!$A:$A)=YEAR($A74),WEEKNUM(FinishedData!$A:$A)=WEEKNUM($A74))))"),4755.0)</f>
        <v>4755</v>
      </c>
      <c r="K76" s="2"/>
      <c r="L76" s="2"/>
      <c r="M76" s="2"/>
      <c r="N76" s="2"/>
      <c r="O76" s="2"/>
      <c r="P76" s="2"/>
      <c r="Q76" s="2"/>
      <c r="R76" s="2"/>
      <c r="S76" s="2"/>
      <c r="T76" s="2"/>
      <c r="U76" s="2"/>
      <c r="V76" s="2"/>
      <c r="W76" s="2"/>
      <c r="X76" s="2"/>
      <c r="Y76" s="2"/>
      <c r="Z76" s="2"/>
    </row>
    <row r="77" ht="22.5" customHeight="1">
      <c r="A77" s="73">
        <f t="array" ref="A77">IFERROR(INDEX(FinishedData!$C:$C,MATCH(A74,FinishedData!$A:$A,0)),"")</f>
        <v>865</v>
      </c>
      <c r="B77" s="73">
        <f t="array" ref="B77">IFERROR(INDEX(FinishedData!$C:$C,MATCH(B74,FinishedData!$A:$A,0)),"")</f>
        <v>615</v>
      </c>
      <c r="C77" s="73">
        <f t="array" ref="C77">IFERROR(INDEX(FinishedData!$C:$C,MATCH(C74,FinishedData!$A:$A,0)),"")</f>
        <v>740</v>
      </c>
      <c r="D77" s="73" t="str">
        <f t="array" ref="D77">IFERROR(INDEX(FinishedData!$C:$C,MATCH(D74,FinishedData!$A:$A,0)),"")</f>
        <v/>
      </c>
      <c r="E77" s="73">
        <f t="array" ref="E77">IFERROR(INDEX(FinishedData!$C:$C,MATCH(E74,FinishedData!$A:$A,0)),"")</f>
        <v>690</v>
      </c>
      <c r="F77" s="73">
        <f t="array" ref="F77">IFERROR(INDEX(FinishedData!$C:$C,MATCH(F74,FinishedData!$A:$A,0)),"")</f>
        <v>920</v>
      </c>
      <c r="G77" s="73">
        <f t="array" ref="G77">IFERROR(INDEX(FinishedData!$C:$C,MATCH(G74,FinishedData!$A:$A,0)),"")</f>
        <v>925</v>
      </c>
      <c r="H77" s="2"/>
      <c r="I77" s="74" t="s">
        <v>49</v>
      </c>
      <c r="J77" s="75">
        <f>IFERROR(__xludf.DUMMYFUNCTION("IFERROR(IF(WEEKNUM($A$6)=1,($J76-SUM(FILTER(FinishedData!$C:$C,YEAR(FinishedData!$A:$A)=YEAR($A$6)-1,WEEKNUM(FinishedData!$A:$A)=WEEKNUM($A$6)+52)))/$I76,
($J76-SUM(FILTER(FinishedData!$C:$C,YEAR(FinishedData!$A:$A)=YEAR($A$6),WEEKNUM(FinishedData!$A:$A)="&amp;"WEEKNUM($A$6)-1)))/$I76),"""")"),0.0782312925170068)</f>
        <v>0.07823129252</v>
      </c>
      <c r="K77" s="2"/>
      <c r="L77" s="2"/>
      <c r="M77" s="2"/>
      <c r="N77" s="2"/>
      <c r="O77" s="2"/>
      <c r="P77" s="2"/>
      <c r="Q77" s="2"/>
      <c r="R77" s="2"/>
      <c r="S77" s="2"/>
      <c r="T77" s="2"/>
      <c r="U77" s="2"/>
      <c r="V77" s="2"/>
      <c r="W77" s="2"/>
      <c r="X77" s="2"/>
      <c r="Y77" s="2"/>
      <c r="Z77" s="2"/>
    </row>
    <row r="78" ht="22.5" customHeight="1">
      <c r="A78" s="76">
        <f>IF(G74&gt;=$D$3,"",G74+1)</f>
        <v>44675</v>
      </c>
      <c r="B78" s="76">
        <f t="shared" ref="B78:G78" si="19">IF(A78&gt;=$D$3,"",A78+1)</f>
        <v>44676</v>
      </c>
      <c r="C78" s="76">
        <f t="shared" si="19"/>
        <v>44677</v>
      </c>
      <c r="D78" s="76">
        <f t="shared" si="19"/>
        <v>44678</v>
      </c>
      <c r="E78" s="76">
        <f t="shared" si="19"/>
        <v>44679</v>
      </c>
      <c r="F78" s="76">
        <f t="shared" si="19"/>
        <v>44680</v>
      </c>
      <c r="G78" s="76">
        <f t="shared" si="19"/>
        <v>44681</v>
      </c>
      <c r="H78" s="2"/>
      <c r="I78" s="62"/>
      <c r="J78" s="7"/>
      <c r="K78" s="2"/>
      <c r="L78" s="2"/>
      <c r="M78" s="2"/>
      <c r="N78" s="2"/>
      <c r="O78" s="2"/>
      <c r="P78" s="2"/>
      <c r="Q78" s="2"/>
      <c r="R78" s="2"/>
      <c r="S78" s="2"/>
      <c r="T78" s="2"/>
      <c r="U78" s="2"/>
      <c r="V78" s="2"/>
      <c r="W78" s="2"/>
      <c r="X78" s="2"/>
      <c r="Y78" s="2"/>
      <c r="Z78" s="2"/>
    </row>
    <row r="79" ht="22.5" customHeight="1">
      <c r="A79" s="42" t="str">
        <f t="array" ref="A79">IFERROR(INDEX(Lists2!$B:$B,MATCH(A80,Lists2!$A:$A,0)),"")</f>
        <v/>
      </c>
      <c r="B79" s="42" t="str">
        <f t="array" ref="B79">IFERROR(INDEX(Lists2!$B:$B,MATCH(B80,Lists2!$A:$A,0)),"")</f>
        <v/>
      </c>
      <c r="C79" s="42" t="str">
        <f t="array" ref="C79">IFERROR(INDEX(Lists2!$B:$B,MATCH(C80,Lists2!$A:$A,0)),"")</f>
        <v/>
      </c>
      <c r="D79" s="42" t="str">
        <f t="array" ref="D79">IFERROR(INDEX(Lists2!$B:$B,MATCH(D80,Lists2!$A:$A,0)),"")</f>
        <v/>
      </c>
      <c r="E79" s="42" t="str">
        <f t="array" ref="E79">IFERROR(INDEX(Lists2!$B:$B,MATCH(E80,Lists2!$A:$A,0)),"")</f>
        <v/>
      </c>
      <c r="F79" s="42" t="str">
        <f t="array" ref="F79">IFERROR(INDEX(Lists2!$B:$B,MATCH(F80,Lists2!$A:$A,0)),"")</f>
        <v/>
      </c>
      <c r="G79" s="42" t="str">
        <f t="array" ref="G79">IFERROR(INDEX(Lists2!$B:$B,MATCH(G80,Lists2!$A:$A,0)),"")</f>
        <v/>
      </c>
      <c r="H79" s="2"/>
      <c r="I79" s="71" t="str">
        <f>"Week of "&amp;TEXT(A78-7,"MM/DD")</f>
        <v>Week of 04/17</v>
      </c>
      <c r="J79" s="71" t="str">
        <f>"Week of "&amp;TEXT(A78,"MM/DD")</f>
        <v>Week of 04/24</v>
      </c>
      <c r="K79" s="2"/>
      <c r="L79" s="2"/>
      <c r="M79" s="2"/>
      <c r="N79" s="2"/>
      <c r="O79" s="2"/>
      <c r="P79" s="2"/>
      <c r="Q79" s="2"/>
      <c r="R79" s="2"/>
      <c r="S79" s="2"/>
      <c r="T79" s="2"/>
      <c r="U79" s="2"/>
      <c r="V79" s="2"/>
      <c r="W79" s="2"/>
      <c r="X79" s="2"/>
      <c r="Y79" s="2"/>
      <c r="Z79" s="2"/>
    </row>
    <row r="80" ht="22.5" customHeight="1">
      <c r="A80" s="42" t="str">
        <f t="array" ref="A80">IFERROR(INDEX(FinishedData!$B:$B,MATCH(A78,FinishedData!$A:$A,0)),"")</f>
        <v>Practice</v>
      </c>
      <c r="B80" s="42" t="str">
        <f t="array" ref="B80">IFERROR(INDEX(FinishedData!$B:$B,MATCH(B78,FinishedData!$A:$A,0)),"")</f>
        <v>Practice</v>
      </c>
      <c r="C80" s="42" t="str">
        <f t="array" ref="C80">IFERROR(INDEX(FinishedData!$B:$B,MATCH(C78,FinishedData!$A:$A,0)),"")</f>
        <v>Game</v>
      </c>
      <c r="D80" s="42" t="str">
        <f t="array" ref="D80">IFERROR(INDEX(FinishedData!$B:$B,MATCH(D78,FinishedData!$A:$A,0)),"")</f>
        <v>Practice</v>
      </c>
      <c r="E80" s="42" t="str">
        <f t="array" ref="E80">IFERROR(INDEX(FinishedData!$B:$B,MATCH(E78,FinishedData!$A:$A,0)),"")</f>
        <v>Game</v>
      </c>
      <c r="F80" s="42" t="str">
        <f t="array" ref="F80">IFERROR(INDEX(FinishedData!$B:$B,MATCH(F78,FinishedData!$A:$A,0)),"")</f>
        <v>Off</v>
      </c>
      <c r="G80" s="42" t="str">
        <f t="array" ref="G80">IFERROR(INDEX(FinishedData!$B:$B,MATCH(G78,FinishedData!$A:$A,0)),"")</f>
        <v>Practice</v>
      </c>
      <c r="H80" s="2"/>
      <c r="I80" s="72">
        <f>IFERROR(__xludf.DUMMYFUNCTION("IF(A78="""","""",IF(WEEKNUM($A$6)=1,SUM(FILTER(FinishedData!$C:$C,YEAR(FinishedData!$A:$A)=YEAR($A$6)-1,WEEKNUM(FinishedData!$A:$A)=WEEKNUM($A$6)+52)),
SUM(FILTER(FinishedData!$C:$C,YEAR(FinishedData!$A:$A)=YEAR($A$6),WEEKNUM(FinishedData!$A:$A)=WEEKNUM($"&amp;"A$6)-1))))"),4410.0)</f>
        <v>4410</v>
      </c>
      <c r="J80" s="72">
        <f>IFERROR(__xludf.DUMMYFUNCTION("IF(A78="""","""", SUM(FILTER(FinishedData!$C:$C,YEAR(FinishedData!$A:$A)=YEAR($A78),WEEKNUM(FinishedData!$A:$A)=WEEKNUM($A78))))"),4880.0)</f>
        <v>4880</v>
      </c>
      <c r="K80" s="2"/>
      <c r="L80" s="2"/>
      <c r="M80" s="2"/>
      <c r="N80" s="2"/>
      <c r="O80" s="2"/>
      <c r="P80" s="2"/>
      <c r="Q80" s="2"/>
      <c r="R80" s="2"/>
      <c r="S80" s="2"/>
      <c r="T80" s="2"/>
      <c r="U80" s="2"/>
      <c r="V80" s="2"/>
      <c r="W80" s="2"/>
      <c r="X80" s="2"/>
      <c r="Y80" s="2"/>
      <c r="Z80" s="2"/>
    </row>
    <row r="81" ht="22.5" customHeight="1">
      <c r="A81" s="73">
        <f t="array" ref="A81">IFERROR(INDEX(FinishedData!$C:$C,MATCH(A78,FinishedData!$A:$A,0)),"")</f>
        <v>915</v>
      </c>
      <c r="B81" s="73">
        <f t="array" ref="B81">IFERROR(INDEX(FinishedData!$C:$C,MATCH(B78,FinishedData!$A:$A,0)),"")</f>
        <v>650</v>
      </c>
      <c r="C81" s="73">
        <f t="array" ref="C81">IFERROR(INDEX(FinishedData!$C:$C,MATCH(C78,FinishedData!$A:$A,0)),"")</f>
        <v>905</v>
      </c>
      <c r="D81" s="73">
        <f t="array" ref="D81">IFERROR(INDEX(FinishedData!$C:$C,MATCH(D78,FinishedData!$A:$A,0)),"")</f>
        <v>940</v>
      </c>
      <c r="E81" s="73">
        <f t="array" ref="E81">IFERROR(INDEX(FinishedData!$C:$C,MATCH(E78,FinishedData!$A:$A,0)),"")</f>
        <v>770</v>
      </c>
      <c r="F81" s="73" t="str">
        <f t="array" ref="F81">IFERROR(INDEX(FinishedData!$C:$C,MATCH(F78,FinishedData!$A:$A,0)),"")</f>
        <v/>
      </c>
      <c r="G81" s="73">
        <f t="array" ref="G81">IFERROR(INDEX(FinishedData!$C:$C,MATCH(G78,FinishedData!$A:$A,0)),"")</f>
        <v>700</v>
      </c>
      <c r="H81" s="2"/>
      <c r="I81" s="74" t="s">
        <v>47</v>
      </c>
      <c r="J81" s="75">
        <f>IFERROR(__xludf.DUMMYFUNCTION("IFERROR(IF(WEEKNUM($A$6)=1,($J80-SUM(FILTER(FinishedData!$C:$C,YEAR(FinishedData!$A:$A)=YEAR($A$6)-1,WEEKNUM(FinishedData!$A:$A)=WEEKNUM($A$6)+52)))/$I80,
($J80-SUM(FILTER(FinishedData!$C:$C,YEAR(FinishedData!$A:$A)=YEAR($A$6),WEEKNUM(FinishedData!$A:$A)="&amp;"WEEKNUM($A$6)-1)))/$I80),"""")"),0.10657596371882086)</f>
        <v>0.1065759637</v>
      </c>
      <c r="K81" s="2"/>
      <c r="L81" s="2"/>
      <c r="M81" s="2"/>
      <c r="N81" s="2"/>
      <c r="O81" s="2"/>
      <c r="P81" s="2"/>
      <c r="Q81" s="2"/>
      <c r="R81" s="2"/>
      <c r="S81" s="2"/>
      <c r="T81" s="2"/>
      <c r="U81" s="2"/>
      <c r="V81" s="2"/>
      <c r="W81" s="2"/>
      <c r="X81" s="2"/>
      <c r="Y81" s="2"/>
      <c r="Z81" s="2"/>
    </row>
    <row r="82" ht="22.5" customHeight="1">
      <c r="A82" s="76">
        <f>IF(G78&gt;=$D$3,"",G78+1)</f>
        <v>44682</v>
      </c>
      <c r="B82" s="76">
        <f t="shared" ref="B82:G82" si="20">IF(A82&gt;=$D$3,"",A82+1)</f>
        <v>44683</v>
      </c>
      <c r="C82" s="76">
        <f t="shared" si="20"/>
        <v>44684</v>
      </c>
      <c r="D82" s="76">
        <f t="shared" si="20"/>
        <v>44685</v>
      </c>
      <c r="E82" s="76">
        <f t="shared" si="20"/>
        <v>44686</v>
      </c>
      <c r="F82" s="76">
        <f t="shared" si="20"/>
        <v>44687</v>
      </c>
      <c r="G82" s="76">
        <f t="shared" si="20"/>
        <v>44688</v>
      </c>
      <c r="H82" s="2"/>
      <c r="K82" s="2"/>
      <c r="L82" s="2"/>
      <c r="M82" s="2"/>
      <c r="N82" s="2"/>
      <c r="O82" s="2"/>
      <c r="P82" s="2"/>
      <c r="Q82" s="2"/>
      <c r="R82" s="2"/>
      <c r="S82" s="2"/>
      <c r="T82" s="2"/>
      <c r="U82" s="2"/>
      <c r="V82" s="2"/>
      <c r="W82" s="2"/>
      <c r="X82" s="2"/>
      <c r="Y82" s="2"/>
      <c r="Z82" s="2"/>
    </row>
    <row r="83" ht="22.5" customHeight="1">
      <c r="A83" s="42" t="str">
        <f t="array" ref="A83">IFERROR(INDEX(Lists2!$B:$B,MATCH(A84,Lists2!$A:$A,0)),"")</f>
        <v/>
      </c>
      <c r="B83" s="42" t="str">
        <f t="array" ref="B83">IFERROR(INDEX(Lists2!$B:$B,MATCH(B84,Lists2!$A:$A,0)),"")</f>
        <v/>
      </c>
      <c r="C83" s="42" t="str">
        <f t="array" ref="C83">IFERROR(INDEX(Lists2!$B:$B,MATCH(C84,Lists2!$A:$A,0)),"")</f>
        <v/>
      </c>
      <c r="D83" s="42" t="str">
        <f t="array" ref="D83">IFERROR(INDEX(Lists2!$B:$B,MATCH(D84,Lists2!$A:$A,0)),"")</f>
        <v/>
      </c>
      <c r="E83" s="42" t="str">
        <f t="array" ref="E83">IFERROR(INDEX(Lists2!$B:$B,MATCH(E84,Lists2!$A:$A,0)),"")</f>
        <v/>
      </c>
      <c r="F83" s="42" t="str">
        <f t="array" ref="F83">IFERROR(INDEX(Lists2!$B:$B,MATCH(F84,Lists2!$A:$A,0)),"")</f>
        <v/>
      </c>
      <c r="G83" s="42" t="str">
        <f t="array" ref="G83">IFERROR(INDEX(Lists2!$B:$B,MATCH(G84,Lists2!$A:$A,0)),"")</f>
        <v/>
      </c>
      <c r="H83" s="2"/>
      <c r="I83" s="71" t="str">
        <f>"Week of "&amp;TEXT(A82-7,"MM/DD")</f>
        <v>Week of 04/24</v>
      </c>
      <c r="J83" s="71" t="str">
        <f>"Week of "&amp;TEXT(A82,"MM/DD")</f>
        <v>Week of 05/01</v>
      </c>
      <c r="K83" s="2"/>
      <c r="L83" s="2"/>
      <c r="M83" s="2"/>
      <c r="N83" s="2"/>
      <c r="O83" s="2"/>
      <c r="P83" s="2"/>
      <c r="Q83" s="2"/>
      <c r="R83" s="2"/>
      <c r="S83" s="2"/>
      <c r="T83" s="2"/>
      <c r="U83" s="2"/>
      <c r="V83" s="2"/>
      <c r="W83" s="2"/>
      <c r="X83" s="2"/>
      <c r="Y83" s="2"/>
      <c r="Z83" s="2"/>
    </row>
    <row r="84" ht="22.5" customHeight="1">
      <c r="A84" s="42" t="str">
        <f t="array" ref="A84">IFERROR(INDEX(FinishedData!$B:$B,MATCH(A82,FinishedData!$A:$A,0)),"")</f>
        <v>Gym</v>
      </c>
      <c r="B84" s="42" t="str">
        <f t="array" ref="B84">IFERROR(INDEX(FinishedData!$B:$B,MATCH(B82,FinishedData!$A:$A,0)),"")</f>
        <v>Practice</v>
      </c>
      <c r="C84" s="42" t="str">
        <f t="array" ref="C84">IFERROR(INDEX(FinishedData!$B:$B,MATCH(C82,FinishedData!$A:$A,0)),"")</f>
        <v>Practice</v>
      </c>
      <c r="D84" s="42" t="str">
        <f t="array" ref="D84">IFERROR(INDEX(FinishedData!$B:$B,MATCH(D82,FinishedData!$A:$A,0)),"")</f>
        <v>Practice</v>
      </c>
      <c r="E84" s="42" t="str">
        <f t="array" ref="E84">IFERROR(INDEX(FinishedData!$B:$B,MATCH(E82,FinishedData!$A:$A,0)),"")</f>
        <v>Game</v>
      </c>
      <c r="F84" s="42" t="str">
        <f t="array" ref="F84">IFERROR(INDEX(FinishedData!$B:$B,MATCH(F82,FinishedData!$A:$A,0)),"")</f>
        <v>Off</v>
      </c>
      <c r="G84" s="42" t="str">
        <f t="array" ref="G84">IFERROR(INDEX(FinishedData!$B:$B,MATCH(G82,FinishedData!$A:$A,0)),"")</f>
        <v>Practice</v>
      </c>
      <c r="H84" s="2"/>
      <c r="I84" s="72">
        <f>IFERROR(__xludf.DUMMYFUNCTION("IF(A82="""","""",IF(WEEKNUM($A$6)=1,SUM(FILTER(FinishedData!$C:$C,YEAR(FinishedData!$A:$A)=YEAR($A$6)-1,WEEKNUM(FinishedData!$A:$A)=WEEKNUM($A$6)+52)),
SUM(FILTER(FinishedData!$C:$C,YEAR(FinishedData!$A:$A)=YEAR($A$6),WEEKNUM(FinishedData!$A:$A)=WEEKNUM($"&amp;"A$6)-1))))"),4410.0)</f>
        <v>4410</v>
      </c>
      <c r="J84" s="72">
        <f>IFERROR(__xludf.DUMMYFUNCTION("IF(A82="""","""", SUM(FILTER(FinishedData!$C:$C,YEAR(FinishedData!$A:$A)=YEAR($A82),WEEKNUM(FinishedData!$A:$A)=WEEKNUM($A82))))"),3940.0)</f>
        <v>3940</v>
      </c>
      <c r="K84" s="2"/>
      <c r="L84" s="2"/>
      <c r="M84" s="2"/>
      <c r="N84" s="2"/>
      <c r="O84" s="2"/>
      <c r="P84" s="2"/>
      <c r="Q84" s="2"/>
      <c r="R84" s="2"/>
      <c r="S84" s="2"/>
      <c r="T84" s="2"/>
      <c r="U84" s="2"/>
      <c r="V84" s="2"/>
      <c r="W84" s="2"/>
      <c r="X84" s="2"/>
      <c r="Y84" s="2"/>
      <c r="Z84" s="2"/>
    </row>
    <row r="85" ht="22.5" customHeight="1">
      <c r="A85" s="73">
        <f t="array" ref="A85">IFERROR(INDEX(FinishedData!$C:$C,MATCH(A82,FinishedData!$A:$A,0)),"")</f>
        <v>615</v>
      </c>
      <c r="B85" s="73">
        <f t="array" ref="B85">IFERROR(INDEX(FinishedData!$C:$C,MATCH(B82,FinishedData!$A:$A,0)),"")</f>
        <v>810</v>
      </c>
      <c r="C85" s="73">
        <f t="array" ref="C85">IFERROR(INDEX(FinishedData!$C:$C,MATCH(C82,FinishedData!$A:$A,0)),"")</f>
        <v>765</v>
      </c>
      <c r="D85" s="73">
        <f t="array" ref="D85">IFERROR(INDEX(FinishedData!$C:$C,MATCH(D82,FinishedData!$A:$A,0)),"")</f>
        <v>550</v>
      </c>
      <c r="E85" s="73">
        <f t="array" ref="E85">IFERROR(INDEX(FinishedData!$C:$C,MATCH(E82,FinishedData!$A:$A,0)),"")</f>
        <v>585</v>
      </c>
      <c r="F85" s="73" t="str">
        <f t="array" ref="F85">IFERROR(INDEX(FinishedData!$C:$C,MATCH(F82,FinishedData!$A:$A,0)),"")</f>
        <v/>
      </c>
      <c r="G85" s="73">
        <f t="array" ref="G85">IFERROR(INDEX(FinishedData!$C:$C,MATCH(G82,FinishedData!$A:$A,0)),"")</f>
        <v>615</v>
      </c>
      <c r="H85" s="2"/>
      <c r="I85" s="74" t="s">
        <v>49</v>
      </c>
      <c r="J85" s="75">
        <f>IFERROR(__xludf.DUMMYFUNCTION("IFERROR(IF(WEEKNUM($A$6)=1,($J84-SUM(FILTER(FinishedData!$C:$C,YEAR(FinishedData!$A:$A)=YEAR($A$6)-1,WEEKNUM(FinishedData!$A:$A)=WEEKNUM($A$6)+52)))/$I84,
($J84-SUM(FILTER(FinishedData!$C:$C,YEAR(FinishedData!$A:$A)=YEAR($A$6),WEEKNUM(FinishedData!$A:$A)="&amp;"WEEKNUM($A$6)-1)))/$I84),"""")"),-0.10657596371882086)</f>
        <v>-0.1065759637</v>
      </c>
      <c r="K85" s="2"/>
      <c r="L85" s="2"/>
      <c r="M85" s="2"/>
      <c r="N85" s="2"/>
      <c r="O85" s="2"/>
      <c r="P85" s="2"/>
      <c r="Q85" s="2"/>
      <c r="R85" s="2"/>
      <c r="S85" s="2"/>
      <c r="T85" s="2"/>
      <c r="U85" s="2"/>
      <c r="V85" s="2"/>
      <c r="W85" s="2"/>
      <c r="X85" s="2"/>
      <c r="Y85" s="2"/>
      <c r="Z85" s="2"/>
    </row>
    <row r="86" ht="22.5" customHeight="1">
      <c r="A86" s="76">
        <f>IF(G82&gt;=$D$3,"",G82+1)</f>
        <v>44689</v>
      </c>
      <c r="B86" s="76">
        <f t="shared" ref="B86:G86" si="21">IF(A86&gt;=$D$3,"",A86+1)</f>
        <v>44690</v>
      </c>
      <c r="C86" s="76">
        <f t="shared" si="21"/>
        <v>44691</v>
      </c>
      <c r="D86" s="76">
        <f t="shared" si="21"/>
        <v>44692</v>
      </c>
      <c r="E86" s="76">
        <f t="shared" si="21"/>
        <v>44693</v>
      </c>
      <c r="F86" s="76">
        <f t="shared" si="21"/>
        <v>44694</v>
      </c>
      <c r="G86" s="76">
        <f t="shared" si="21"/>
        <v>44695</v>
      </c>
      <c r="H86" s="2"/>
      <c r="K86" s="2"/>
      <c r="L86" s="2"/>
      <c r="M86" s="2"/>
      <c r="N86" s="2"/>
      <c r="O86" s="2"/>
      <c r="P86" s="2"/>
      <c r="Q86" s="2"/>
      <c r="R86" s="2"/>
      <c r="S86" s="2"/>
      <c r="T86" s="2"/>
      <c r="U86" s="2"/>
      <c r="V86" s="2"/>
      <c r="W86" s="2"/>
      <c r="X86" s="2"/>
      <c r="Y86" s="2"/>
      <c r="Z86" s="2"/>
    </row>
    <row r="87" ht="22.5" customHeight="1">
      <c r="A87" s="42" t="str">
        <f t="array" ref="A87">IFERROR(INDEX(Lists2!$B:$B,MATCH(A88,Lists2!$A:$A,0)),"")</f>
        <v/>
      </c>
      <c r="B87" s="42" t="str">
        <f t="array" ref="B87">IFERROR(INDEX(Lists2!$B:$B,MATCH(B88,Lists2!$A:$A,0)),"")</f>
        <v/>
      </c>
      <c r="C87" s="42" t="str">
        <f t="array" ref="C87">IFERROR(INDEX(Lists2!$B:$B,MATCH(C88,Lists2!$A:$A,0)),"")</f>
        <v/>
      </c>
      <c r="D87" s="42" t="str">
        <f t="array" ref="D87">IFERROR(INDEX(Lists2!$B:$B,MATCH(D88,Lists2!$A:$A,0)),"")</f>
        <v/>
      </c>
      <c r="E87" s="42" t="str">
        <f t="array" ref="E87">IFERROR(INDEX(Lists2!$B:$B,MATCH(E88,Lists2!$A:$A,0)),"")</f>
        <v/>
      </c>
      <c r="F87" s="42" t="str">
        <f t="array" ref="F87">IFERROR(INDEX(Lists2!$B:$B,MATCH(F88,Lists2!$A:$A,0)),"")</f>
        <v/>
      </c>
      <c r="G87" s="42" t="str">
        <f t="array" ref="G87">IFERROR(INDEX(Lists2!$B:$B,MATCH(G88,Lists2!$A:$A,0)),"")</f>
        <v/>
      </c>
      <c r="H87" s="2"/>
      <c r="I87" s="71" t="str">
        <f>"Week of "&amp;TEXT(A86-7,"MM/DD")</f>
        <v>Week of 05/01</v>
      </c>
      <c r="J87" s="71" t="str">
        <f>"Week of "&amp;TEXT(A86,"MM/DD")</f>
        <v>Week of 05/08</v>
      </c>
      <c r="K87" s="2"/>
      <c r="L87" s="2"/>
      <c r="M87" s="2"/>
      <c r="N87" s="2"/>
      <c r="O87" s="2"/>
      <c r="P87" s="2"/>
      <c r="Q87" s="2"/>
      <c r="R87" s="2"/>
      <c r="S87" s="2"/>
      <c r="T87" s="2"/>
      <c r="U87" s="2"/>
      <c r="V87" s="2"/>
      <c r="W87" s="2"/>
      <c r="X87" s="2"/>
      <c r="Y87" s="2"/>
      <c r="Z87" s="2"/>
    </row>
    <row r="88" ht="22.5" customHeight="1">
      <c r="A88" s="42" t="str">
        <f t="array" ref="A88">IFERROR(INDEX(FinishedData!$B:$B,MATCH(A86,FinishedData!$A:$A,0)),"")</f>
        <v>Game</v>
      </c>
      <c r="B88" s="42" t="str">
        <f t="array" ref="B88">IFERROR(INDEX(FinishedData!$B:$B,MATCH(B86,FinishedData!$A:$A,0)),"")</f>
        <v>Practice</v>
      </c>
      <c r="C88" s="42" t="str">
        <f t="array" ref="C88">IFERROR(INDEX(FinishedData!$B:$B,MATCH(C86,FinishedData!$A:$A,0)),"")</f>
        <v>Practice</v>
      </c>
      <c r="D88" s="42" t="str">
        <f t="array" ref="D88">IFERROR(INDEX(FinishedData!$B:$B,MATCH(D86,FinishedData!$A:$A,0)),"")</f>
        <v>Game</v>
      </c>
      <c r="E88" s="42" t="str">
        <f t="array" ref="E88">IFERROR(INDEX(FinishedData!$B:$B,MATCH(E86,FinishedData!$A:$A,0)),"")</f>
        <v>Practice</v>
      </c>
      <c r="F88" s="42" t="str">
        <f t="array" ref="F88">IFERROR(INDEX(FinishedData!$B:$B,MATCH(F86,FinishedData!$A:$A,0)),"")</f>
        <v>Gym</v>
      </c>
      <c r="G88" s="42" t="str">
        <f t="array" ref="G88">IFERROR(INDEX(FinishedData!$B:$B,MATCH(G86,FinishedData!$A:$A,0)),"")</f>
        <v>Off</v>
      </c>
      <c r="H88" s="2"/>
      <c r="I88" s="72">
        <f>IFERROR(__xludf.DUMMYFUNCTION("IF(A86="""","""",IF(WEEKNUM($A$6)=1,SUM(FILTER(FinishedData!$C:$C,YEAR(FinishedData!$A:$A)=YEAR($A$6)-1,WEEKNUM(FinishedData!$A:$A)=WEEKNUM($A$6)+52)),
SUM(FILTER(FinishedData!$C:$C,YEAR(FinishedData!$A:$A)=YEAR($A$6),WEEKNUM(FinishedData!$A:$A)=WEEKNUM($"&amp;"A$6)-1))))"),4410.0)</f>
        <v>4410</v>
      </c>
      <c r="J88" s="72">
        <f>IFERROR(__xludf.DUMMYFUNCTION("IF(A86="""","""", SUM(FILTER(FinishedData!$C:$C,YEAR(FinishedData!$A:$A)=YEAR($A86),WEEKNUM(FinishedData!$A:$A)=WEEKNUM($A86))))"),4400.0)</f>
        <v>4400</v>
      </c>
      <c r="K88" s="2"/>
      <c r="L88" s="2"/>
      <c r="M88" s="2"/>
      <c r="N88" s="2"/>
      <c r="O88" s="2"/>
      <c r="P88" s="2"/>
      <c r="Q88" s="2"/>
      <c r="R88" s="2"/>
      <c r="S88" s="2"/>
      <c r="T88" s="2"/>
      <c r="U88" s="2"/>
      <c r="V88" s="2"/>
      <c r="W88" s="2"/>
      <c r="X88" s="2"/>
      <c r="Y88" s="2"/>
      <c r="Z88" s="2"/>
    </row>
    <row r="89" ht="22.5" customHeight="1">
      <c r="A89" s="73">
        <f t="array" ref="A89">IFERROR(INDEX(FinishedData!$C:$C,MATCH(A86,FinishedData!$A:$A,0)),"")</f>
        <v>595</v>
      </c>
      <c r="B89" s="73">
        <f t="array" ref="B89">IFERROR(INDEX(FinishedData!$C:$C,MATCH(B86,FinishedData!$A:$A,0)),"")</f>
        <v>965</v>
      </c>
      <c r="C89" s="73">
        <f t="array" ref="C89">IFERROR(INDEX(FinishedData!$C:$C,MATCH(C86,FinishedData!$A:$A,0)),"")</f>
        <v>700</v>
      </c>
      <c r="D89" s="73">
        <f t="array" ref="D89">IFERROR(INDEX(FinishedData!$C:$C,MATCH(D86,FinishedData!$A:$A,0)),"")</f>
        <v>870</v>
      </c>
      <c r="E89" s="73">
        <f t="array" ref="E89">IFERROR(INDEX(FinishedData!$C:$C,MATCH(E86,FinishedData!$A:$A,0)),"")</f>
        <v>730</v>
      </c>
      <c r="F89" s="73">
        <f t="array" ref="F89">IFERROR(INDEX(FinishedData!$C:$C,MATCH(F86,FinishedData!$A:$A,0)),"")</f>
        <v>540</v>
      </c>
      <c r="G89" s="73" t="str">
        <f t="array" ref="G89">IFERROR(INDEX(FinishedData!$C:$C,MATCH(G86,FinishedData!$A:$A,0)),"")</f>
        <v/>
      </c>
      <c r="H89" s="2"/>
      <c r="I89" s="74" t="s">
        <v>47</v>
      </c>
      <c r="J89" s="75">
        <f>IFERROR(__xludf.DUMMYFUNCTION("IFERROR(IF(WEEKNUM($A$6)=1,($J88-SUM(FILTER(FinishedData!$C:$C,YEAR(FinishedData!$A:$A)=YEAR($A$6)-1,WEEKNUM(FinishedData!$A:$A)=WEEKNUM($A$6)+52)))/$I88,
($J88-SUM(FILTER(FinishedData!$C:$C,YEAR(FinishedData!$A:$A)=YEAR($A$6),WEEKNUM(FinishedData!$A:$A)="&amp;"WEEKNUM($A$6)-1)))/$I88),"""")"),-0.0022675736961451248)</f>
        <v>-0.002267573696</v>
      </c>
      <c r="K89" s="2"/>
      <c r="L89" s="2"/>
      <c r="M89" s="2"/>
      <c r="N89" s="2"/>
      <c r="O89" s="2"/>
      <c r="P89" s="2"/>
      <c r="Q89" s="2"/>
      <c r="R89" s="2"/>
      <c r="S89" s="2"/>
      <c r="T89" s="2"/>
      <c r="U89" s="2"/>
      <c r="V89" s="2"/>
      <c r="W89" s="2"/>
      <c r="X89" s="2"/>
      <c r="Y89" s="2"/>
      <c r="Z89" s="2"/>
    </row>
    <row r="90" ht="22.5" customHeight="1">
      <c r="A90" s="76">
        <f>IF(G86&gt;=$D$3,"",G86+1)</f>
        <v>44696</v>
      </c>
      <c r="B90" s="76">
        <f t="shared" ref="B90:G90" si="22">IF(A90&gt;=$D$3,"",A90+1)</f>
        <v>44697</v>
      </c>
      <c r="C90" s="76">
        <f t="shared" si="22"/>
        <v>44698</v>
      </c>
      <c r="D90" s="76">
        <f t="shared" si="22"/>
        <v>44699</v>
      </c>
      <c r="E90" s="76">
        <f t="shared" si="22"/>
        <v>44700</v>
      </c>
      <c r="F90" s="76">
        <f t="shared" si="22"/>
        <v>44701</v>
      </c>
      <c r="G90" s="76">
        <f t="shared" si="22"/>
        <v>44702</v>
      </c>
      <c r="H90" s="2"/>
      <c r="K90" s="2"/>
      <c r="L90" s="2"/>
      <c r="M90" s="2"/>
      <c r="N90" s="2"/>
      <c r="O90" s="2"/>
      <c r="P90" s="2"/>
      <c r="Q90" s="2"/>
      <c r="R90" s="2"/>
      <c r="S90" s="2"/>
      <c r="T90" s="2"/>
      <c r="U90" s="2"/>
      <c r="V90" s="2"/>
      <c r="W90" s="2"/>
      <c r="X90" s="2"/>
      <c r="Y90" s="2"/>
      <c r="Z90" s="2"/>
    </row>
    <row r="91" ht="22.5" customHeight="1">
      <c r="A91" s="42" t="str">
        <f t="array" ref="A91">IFERROR(INDEX(Lists2!$B:$B,MATCH(A92,Lists2!$A:$A,0)),"")</f>
        <v/>
      </c>
      <c r="B91" s="42" t="str">
        <f t="array" ref="B91">IFERROR(INDEX(Lists2!$B:$B,MATCH(B92,Lists2!$A:$A,0)),"")</f>
        <v/>
      </c>
      <c r="C91" s="42" t="str">
        <f t="array" ref="C91">IFERROR(INDEX(Lists2!$B:$B,MATCH(C92,Lists2!$A:$A,0)),"")</f>
        <v/>
      </c>
      <c r="D91" s="42" t="str">
        <f t="array" ref="D91">IFERROR(INDEX(Lists2!$B:$B,MATCH(D92,Lists2!$A:$A,0)),"")</f>
        <v/>
      </c>
      <c r="E91" s="42" t="str">
        <f t="array" ref="E91">IFERROR(INDEX(Lists2!$B:$B,MATCH(E92,Lists2!$A:$A,0)),"")</f>
        <v/>
      </c>
      <c r="F91" s="42" t="str">
        <f t="array" ref="F91">IFERROR(INDEX(Lists2!$B:$B,MATCH(F92,Lists2!$A:$A,0)),"")</f>
        <v/>
      </c>
      <c r="G91" s="42" t="str">
        <f t="array" ref="G91">IFERROR(INDEX(Lists2!$B:$B,MATCH(G92,Lists2!$A:$A,0)),"")</f>
        <v/>
      </c>
      <c r="H91" s="2"/>
      <c r="I91" s="71" t="str">
        <f>"Week of "&amp;TEXT(A90-7,"MM/DD")</f>
        <v>Week of 05/08</v>
      </c>
      <c r="J91" s="71" t="str">
        <f>"Week of "&amp;TEXT(A90,"MM/DD")</f>
        <v>Week of 05/15</v>
      </c>
      <c r="K91" s="2"/>
      <c r="L91" s="2"/>
      <c r="M91" s="2"/>
      <c r="N91" s="2"/>
      <c r="O91" s="2"/>
      <c r="P91" s="2"/>
      <c r="Q91" s="2"/>
      <c r="R91" s="2"/>
      <c r="S91" s="2"/>
      <c r="T91" s="2"/>
      <c r="U91" s="2"/>
      <c r="V91" s="2"/>
      <c r="W91" s="2"/>
      <c r="X91" s="2"/>
      <c r="Y91" s="2"/>
      <c r="Z91" s="2"/>
    </row>
    <row r="92" ht="22.5" customHeight="1">
      <c r="A92" s="42" t="str">
        <f t="array" ref="A92">IFERROR(INDEX(FinishedData!$B:$B,MATCH(A90,FinishedData!$A:$A,0)),"")</f>
        <v>Practice</v>
      </c>
      <c r="B92" s="42" t="str">
        <f t="array" ref="B92">IFERROR(INDEX(FinishedData!$B:$B,MATCH(B90,FinishedData!$A:$A,0)),"")</f>
        <v>Practice</v>
      </c>
      <c r="C92" s="42" t="str">
        <f t="array" ref="C92">IFERROR(INDEX(FinishedData!$B:$B,MATCH(C90,FinishedData!$A:$A,0)),"")</f>
        <v>Game</v>
      </c>
      <c r="D92" s="42" t="str">
        <f t="array" ref="D92">IFERROR(INDEX(FinishedData!$B:$B,MATCH(D90,FinishedData!$A:$A,0)),"")</f>
        <v>Game</v>
      </c>
      <c r="E92" s="42" t="str">
        <f t="array" ref="E92">IFERROR(INDEX(FinishedData!$B:$B,MATCH(E90,FinishedData!$A:$A,0)),"")</f>
        <v>Off</v>
      </c>
      <c r="F92" s="42" t="str">
        <f t="array" ref="F92">IFERROR(INDEX(FinishedData!$B:$B,MATCH(F90,FinishedData!$A:$A,0)),"")</f>
        <v>Practice</v>
      </c>
      <c r="G92" s="42" t="str">
        <f t="array" ref="G92">IFERROR(INDEX(FinishedData!$B:$B,MATCH(G90,FinishedData!$A:$A,0)),"")</f>
        <v>Gym</v>
      </c>
      <c r="H92" s="2"/>
      <c r="I92" s="72">
        <f>IFERROR(__xludf.DUMMYFUNCTION("IF(A90="""","""",IF(WEEKNUM($A$6)=1,SUM(FILTER(FinishedData!$C:$C,YEAR(FinishedData!$A:$A)=YEAR($A$6)-1,WEEKNUM(FinishedData!$A:$A)=WEEKNUM($A$6)+52)),
SUM(FILTER(FinishedData!$C:$C,YEAR(FinishedData!$A:$A)=YEAR($A$6),WEEKNUM(FinishedData!$A:$A)=WEEKNUM($"&amp;"A$6)-1))))"),4410.0)</f>
        <v>4410</v>
      </c>
      <c r="J92" s="72">
        <f>IFERROR(__xludf.DUMMYFUNCTION("IF(A90="""","""", SUM(FILTER(FinishedData!$C:$C,YEAR(FinishedData!$A:$A)=YEAR($A90),WEEKNUM(FinishedData!$A:$A)=WEEKNUM($A90))))"),5240.0)</f>
        <v>5240</v>
      </c>
      <c r="K92" s="2"/>
      <c r="L92" s="2"/>
      <c r="M92" s="2"/>
      <c r="N92" s="2"/>
      <c r="O92" s="2"/>
      <c r="P92" s="2"/>
      <c r="Q92" s="2"/>
      <c r="R92" s="2"/>
      <c r="S92" s="2"/>
      <c r="T92" s="2"/>
      <c r="U92" s="2"/>
      <c r="V92" s="2"/>
      <c r="W92" s="2"/>
      <c r="X92" s="2"/>
      <c r="Y92" s="2"/>
      <c r="Z92" s="2"/>
    </row>
    <row r="93" ht="22.5" customHeight="1">
      <c r="A93" s="73">
        <f t="array" ref="A93">IFERROR(INDEX(FinishedData!$C:$C,MATCH(A90,FinishedData!$A:$A,0)),"")</f>
        <v>735</v>
      </c>
      <c r="B93" s="73">
        <f t="array" ref="B93">IFERROR(INDEX(FinishedData!$C:$C,MATCH(B90,FinishedData!$A:$A,0)),"")</f>
        <v>895</v>
      </c>
      <c r="C93" s="73">
        <f t="array" ref="C93">IFERROR(INDEX(FinishedData!$C:$C,MATCH(C90,FinishedData!$A:$A,0)),"")</f>
        <v>835</v>
      </c>
      <c r="D93" s="73">
        <f t="array" ref="D93">IFERROR(INDEX(FinishedData!$C:$C,MATCH(D90,FinishedData!$A:$A,0)),"")</f>
        <v>815</v>
      </c>
      <c r="E93" s="73" t="str">
        <f t="array" ref="E93">IFERROR(INDEX(FinishedData!$C:$C,MATCH(E90,FinishedData!$A:$A,0)),"")</f>
        <v/>
      </c>
      <c r="F93" s="73">
        <f t="array" ref="F93">IFERROR(INDEX(FinishedData!$C:$C,MATCH(F90,FinishedData!$A:$A,0)),"")</f>
        <v>990</v>
      </c>
      <c r="G93" s="73">
        <f t="array" ref="G93">IFERROR(INDEX(FinishedData!$C:$C,MATCH(G90,FinishedData!$A:$A,0)),"")</f>
        <v>970</v>
      </c>
      <c r="H93" s="2"/>
      <c r="I93" s="74" t="s">
        <v>49</v>
      </c>
      <c r="J93" s="75">
        <f>IFERROR(__xludf.DUMMYFUNCTION("IFERROR(IF(WEEKNUM($A$6)=1,($J92-SUM(FILTER(FinishedData!$C:$C,YEAR(FinishedData!$A:$A)=YEAR($A$6)-1,WEEKNUM(FinishedData!$A:$A)=WEEKNUM($A$6)+52)))/$I92,
($J92-SUM(FILTER(FinishedData!$C:$C,YEAR(FinishedData!$A:$A)=YEAR($A$6),WEEKNUM(FinishedData!$A:$A)="&amp;"WEEKNUM($A$6)-1)))/$I92),"""")"),0.18820861678004536)</f>
        <v>0.1882086168</v>
      </c>
      <c r="K93" s="2"/>
      <c r="L93" s="2"/>
      <c r="M93" s="2"/>
      <c r="N93" s="2"/>
      <c r="O93" s="2"/>
      <c r="P93" s="2"/>
      <c r="Q93" s="2"/>
      <c r="R93" s="2"/>
      <c r="S93" s="2"/>
      <c r="T93" s="2"/>
      <c r="U93" s="2"/>
      <c r="V93" s="2"/>
      <c r="W93" s="2"/>
      <c r="X93" s="2"/>
      <c r="Y93" s="2"/>
      <c r="Z93" s="2"/>
    </row>
    <row r="94" ht="22.5" customHeight="1">
      <c r="A94" s="76">
        <f>IF(G90&gt;=$D$3,"",G90+1)</f>
        <v>44703</v>
      </c>
      <c r="B94" s="76">
        <f t="shared" ref="B94:G94" si="23">IF(A94&gt;=$D$3,"",A94+1)</f>
        <v>44704</v>
      </c>
      <c r="C94" s="76">
        <f t="shared" si="23"/>
        <v>44705</v>
      </c>
      <c r="D94" s="76">
        <f t="shared" si="23"/>
        <v>44706</v>
      </c>
      <c r="E94" s="76">
        <f t="shared" si="23"/>
        <v>44707</v>
      </c>
      <c r="F94" s="76">
        <f t="shared" si="23"/>
        <v>44708</v>
      </c>
      <c r="G94" s="76">
        <f t="shared" si="23"/>
        <v>44709</v>
      </c>
      <c r="H94" s="2"/>
      <c r="I94" s="2"/>
      <c r="J94" s="2"/>
      <c r="K94" s="2"/>
      <c r="L94" s="2"/>
      <c r="M94" s="2"/>
      <c r="N94" s="2"/>
      <c r="O94" s="2"/>
      <c r="P94" s="2"/>
      <c r="Q94" s="2"/>
      <c r="R94" s="2"/>
      <c r="S94" s="2"/>
      <c r="T94" s="2"/>
      <c r="U94" s="2"/>
      <c r="V94" s="2"/>
      <c r="W94" s="2"/>
      <c r="X94" s="2"/>
      <c r="Y94" s="2"/>
      <c r="Z94" s="2"/>
    </row>
    <row r="95" ht="22.5" customHeight="1">
      <c r="A95" s="42" t="str">
        <f t="array" ref="A95">IFERROR(INDEX(Lists2!$B:$B,MATCH(A96,Lists2!$A:$A,0)),"")</f>
        <v/>
      </c>
      <c r="B95" s="42" t="str">
        <f t="array" ref="B95">IFERROR(INDEX(Lists2!$B:$B,MATCH(B96,Lists2!$A:$A,0)),"")</f>
        <v/>
      </c>
      <c r="C95" s="42" t="str">
        <f t="array" ref="C95">IFERROR(INDEX(Lists2!$B:$B,MATCH(C96,Lists2!$A:$A,0)),"")</f>
        <v/>
      </c>
      <c r="D95" s="42" t="str">
        <f t="array" ref="D95">IFERROR(INDEX(Lists2!$B:$B,MATCH(D96,Lists2!$A:$A,0)),"")</f>
        <v/>
      </c>
      <c r="E95" s="42" t="str">
        <f t="array" ref="E95">IFERROR(INDEX(Lists2!$B:$B,MATCH(E96,Lists2!$A:$A,0)),"")</f>
        <v/>
      </c>
      <c r="F95" s="42" t="str">
        <f t="array" ref="F95">IFERROR(INDEX(Lists2!$B:$B,MATCH(F96,Lists2!$A:$A,0)),"")</f>
        <v/>
      </c>
      <c r="G95" s="42" t="str">
        <f t="array" ref="G95">IFERROR(INDEX(Lists2!$B:$B,MATCH(G96,Lists2!$A:$A,0)),"")</f>
        <v/>
      </c>
      <c r="H95" s="2"/>
      <c r="I95" s="71" t="str">
        <f>"Week of "&amp;TEXT(A94-7,"MM/DD")</f>
        <v>Week of 05/15</v>
      </c>
      <c r="J95" s="71" t="str">
        <f>"Week of "&amp;TEXT(A94,"MM/DD")</f>
        <v>Week of 05/22</v>
      </c>
      <c r="K95" s="2"/>
      <c r="L95" s="2"/>
      <c r="M95" s="2"/>
      <c r="N95" s="2"/>
      <c r="O95" s="2"/>
      <c r="P95" s="2"/>
      <c r="Q95" s="2"/>
      <c r="R95" s="2"/>
      <c r="S95" s="2"/>
      <c r="T95" s="2"/>
      <c r="U95" s="2"/>
      <c r="V95" s="2"/>
      <c r="W95" s="2"/>
      <c r="X95" s="2"/>
      <c r="Y95" s="2"/>
      <c r="Z95" s="2"/>
    </row>
    <row r="96" ht="22.5" customHeight="1">
      <c r="A96" s="42" t="str">
        <f t="array" ref="A96">IFERROR(INDEX(FinishedData!$B:$B,MATCH(A94,FinishedData!$A:$A,0)),"")</f>
        <v>Practice</v>
      </c>
      <c r="B96" s="42" t="str">
        <f t="array" ref="B96">IFERROR(INDEX(FinishedData!$B:$B,MATCH(B94,FinishedData!$A:$A,0)),"")</f>
        <v>Practice</v>
      </c>
      <c r="C96" s="42" t="str">
        <f t="array" ref="C96">IFERROR(INDEX(FinishedData!$B:$B,MATCH(C94,FinishedData!$A:$A,0)),"")</f>
        <v>Game</v>
      </c>
      <c r="D96" s="42" t="str">
        <f t="array" ref="D96">IFERROR(INDEX(FinishedData!$B:$B,MATCH(D94,FinishedData!$A:$A,0)),"")</f>
        <v>Practice</v>
      </c>
      <c r="E96" s="42" t="str">
        <f t="array" ref="E96">IFERROR(INDEX(FinishedData!$B:$B,MATCH(E94,FinishedData!$A:$A,0)),"")</f>
        <v>Game</v>
      </c>
      <c r="F96" s="42" t="str">
        <f t="array" ref="F96">IFERROR(INDEX(FinishedData!$B:$B,MATCH(F94,FinishedData!$A:$A,0)),"")</f>
        <v>Off</v>
      </c>
      <c r="G96" s="42" t="str">
        <f t="array" ref="G96">IFERROR(INDEX(FinishedData!$B:$B,MATCH(G94,FinishedData!$A:$A,0)),"")</f>
        <v>Gym</v>
      </c>
      <c r="H96" s="2"/>
      <c r="I96" s="72">
        <f>IFERROR(__xludf.DUMMYFUNCTION("IF(A94="""","""",IF(WEEKNUM($A$6)=1,SUM(FILTER(FinishedData!$C:$C,YEAR(FinishedData!$A:$A)=YEAR($A$6)-1,WEEKNUM(FinishedData!$A:$A)=WEEKNUM($A$6)+52)),
SUM(FILTER(FinishedData!$C:$C,YEAR(FinishedData!$A:$A)=YEAR($A$6),WEEKNUM(FinishedData!$A:$A)=WEEKNUM($"&amp;"A$6)-1))))"),4410.0)</f>
        <v>4410</v>
      </c>
      <c r="J96" s="72">
        <f>IFERROR(__xludf.DUMMYFUNCTION("IF(A94="""","""", SUM(FILTER(FinishedData!$C:$C,YEAR(FinishedData!$A:$A)=YEAR($A94),WEEKNUM(FinishedData!$A:$A)=WEEKNUM($A94))))"),4615.0)</f>
        <v>4615</v>
      </c>
      <c r="K96" s="2"/>
      <c r="L96" s="2"/>
      <c r="M96" s="2"/>
      <c r="N96" s="2"/>
      <c r="O96" s="2"/>
      <c r="P96" s="2"/>
      <c r="Q96" s="2"/>
      <c r="R96" s="2"/>
      <c r="S96" s="2"/>
      <c r="T96" s="2"/>
      <c r="U96" s="2"/>
      <c r="V96" s="2"/>
      <c r="W96" s="2"/>
      <c r="X96" s="2"/>
      <c r="Y96" s="2"/>
      <c r="Z96" s="2"/>
    </row>
    <row r="97" ht="22.5" customHeight="1">
      <c r="A97" s="73">
        <f t="array" ref="A97">IFERROR(INDEX(FinishedData!$C:$C,MATCH(A94,FinishedData!$A:$A,0)),"")</f>
        <v>730</v>
      </c>
      <c r="B97" s="73">
        <f t="array" ref="B97">IFERROR(INDEX(FinishedData!$C:$C,MATCH(B94,FinishedData!$A:$A,0)),"")</f>
        <v>830</v>
      </c>
      <c r="C97" s="73">
        <f t="array" ref="C97">IFERROR(INDEX(FinishedData!$C:$C,MATCH(C94,FinishedData!$A:$A,0)),"")</f>
        <v>755</v>
      </c>
      <c r="D97" s="73">
        <f t="array" ref="D97">IFERROR(INDEX(FinishedData!$C:$C,MATCH(D94,FinishedData!$A:$A,0)),"")</f>
        <v>835</v>
      </c>
      <c r="E97" s="73">
        <f t="array" ref="E97">IFERROR(INDEX(FinishedData!$C:$C,MATCH(E94,FinishedData!$A:$A,0)),"")</f>
        <v>910</v>
      </c>
      <c r="F97" s="73" t="str">
        <f t="array" ref="F97">IFERROR(INDEX(FinishedData!$C:$C,MATCH(F94,FinishedData!$A:$A,0)),"")</f>
        <v/>
      </c>
      <c r="G97" s="73">
        <f t="array" ref="G97">IFERROR(INDEX(FinishedData!$C:$C,MATCH(G94,FinishedData!$A:$A,0)),"")</f>
        <v>555</v>
      </c>
      <c r="H97" s="2"/>
      <c r="I97" s="74" t="s">
        <v>47</v>
      </c>
      <c r="J97" s="75">
        <f>IFERROR(__xludf.DUMMYFUNCTION("IFERROR(IF(WEEKNUM($A$6)=1,($J96-SUM(FILTER(FinishedData!$C:$C,YEAR(FinishedData!$A:$A)=YEAR($A$6)-1,WEEKNUM(FinishedData!$A:$A)=WEEKNUM($A$6)+52)))/$I96,
($J96-SUM(FILTER(FinishedData!$C:$C,YEAR(FinishedData!$A:$A)=YEAR($A$6),WEEKNUM(FinishedData!$A:$A)="&amp;"WEEKNUM($A$6)-1)))/$I96),"""")"),0.046485260770975055)</f>
        <v>0.04648526077</v>
      </c>
      <c r="K97" s="2"/>
      <c r="L97" s="2"/>
      <c r="M97" s="2"/>
      <c r="N97" s="2"/>
      <c r="O97" s="2"/>
      <c r="P97" s="2"/>
      <c r="Q97" s="2"/>
      <c r="R97" s="2"/>
      <c r="S97" s="2"/>
      <c r="T97" s="2"/>
      <c r="U97" s="2"/>
      <c r="V97" s="2"/>
      <c r="W97" s="2"/>
      <c r="X97" s="2"/>
      <c r="Y97" s="2"/>
      <c r="Z97" s="2"/>
    </row>
    <row r="98" ht="22.5" customHeight="1">
      <c r="A98" s="76">
        <f>IF(G94&gt;=$D$3,"",G94+1)</f>
        <v>44710</v>
      </c>
      <c r="B98" s="76">
        <f t="shared" ref="B98:G98" si="24">IF(A98&gt;=$D$3,"",A98+1)</f>
        <v>44711</v>
      </c>
      <c r="C98" s="76">
        <f t="shared" si="24"/>
        <v>44712</v>
      </c>
      <c r="D98" s="76">
        <f t="shared" si="24"/>
        <v>44713</v>
      </c>
      <c r="E98" s="76">
        <f t="shared" si="24"/>
        <v>44714</v>
      </c>
      <c r="F98" s="76">
        <f t="shared" si="24"/>
        <v>44715</v>
      </c>
      <c r="G98" s="76">
        <f t="shared" si="24"/>
        <v>44716</v>
      </c>
      <c r="H98" s="2"/>
      <c r="K98" s="2"/>
      <c r="L98" s="2"/>
      <c r="M98" s="2"/>
      <c r="N98" s="2"/>
      <c r="O98" s="2"/>
      <c r="P98" s="2"/>
      <c r="Q98" s="2"/>
      <c r="R98" s="2"/>
      <c r="S98" s="2"/>
      <c r="T98" s="2"/>
      <c r="U98" s="2"/>
      <c r="V98" s="2"/>
      <c r="W98" s="2"/>
      <c r="X98" s="2"/>
      <c r="Y98" s="2"/>
      <c r="Z98" s="2"/>
    </row>
    <row r="99" ht="22.5" customHeight="1">
      <c r="A99" s="42" t="str">
        <f t="array" ref="A99">IFERROR(INDEX(Lists2!$B:$B,MATCH(A100,Lists2!$A:$A,0)),"")</f>
        <v/>
      </c>
      <c r="B99" s="42" t="str">
        <f t="array" ref="B99">IFERROR(INDEX(Lists2!$B:$B,MATCH(B100,Lists2!$A:$A,0)),"")</f>
        <v/>
      </c>
      <c r="C99" s="42" t="str">
        <f t="array" ref="C99">IFERROR(INDEX(Lists2!$B:$B,MATCH(C100,Lists2!$A:$A,0)),"")</f>
        <v/>
      </c>
      <c r="D99" s="42" t="str">
        <f t="array" ref="D99">IFERROR(INDEX(Lists2!$B:$B,MATCH(D100,Lists2!$A:$A,0)),"")</f>
        <v/>
      </c>
      <c r="E99" s="42" t="str">
        <f t="array" ref="E99">IFERROR(INDEX(Lists2!$B:$B,MATCH(E100,Lists2!$A:$A,0)),"")</f>
        <v/>
      </c>
      <c r="F99" s="42" t="str">
        <f t="array" ref="F99">IFERROR(INDEX(Lists2!$B:$B,MATCH(F100,Lists2!$A:$A,0)),"")</f>
        <v/>
      </c>
      <c r="G99" s="42" t="str">
        <f t="array" ref="G99">IFERROR(INDEX(Lists2!$B:$B,MATCH(G100,Lists2!$A:$A,0)),"")</f>
        <v/>
      </c>
      <c r="H99" s="2"/>
      <c r="I99" s="71" t="str">
        <f>"Week of "&amp;TEXT(A98-7,"MM/DD")</f>
        <v>Week of 05/22</v>
      </c>
      <c r="J99" s="71" t="str">
        <f>"Week of "&amp;TEXT(A98,"MM/DD")</f>
        <v>Week of 05/29</v>
      </c>
      <c r="K99" s="2"/>
      <c r="L99" s="2"/>
      <c r="M99" s="2"/>
      <c r="N99" s="2"/>
      <c r="O99" s="2"/>
      <c r="P99" s="2"/>
      <c r="Q99" s="2"/>
      <c r="R99" s="2"/>
      <c r="S99" s="2"/>
      <c r="T99" s="2"/>
      <c r="U99" s="2"/>
      <c r="V99" s="2"/>
      <c r="W99" s="2"/>
      <c r="X99" s="2"/>
      <c r="Y99" s="2"/>
      <c r="Z99" s="2"/>
    </row>
    <row r="100" ht="22.5" customHeight="1">
      <c r="A100" s="42" t="str">
        <f t="array" ref="A100">IFERROR(INDEX(FinishedData!$B:$B,MATCH(A98,FinishedData!$A:$A,0)),"")</f>
        <v>Practice</v>
      </c>
      <c r="B100" s="42" t="str">
        <f t="array" ref="B100">IFERROR(INDEX(FinishedData!$B:$B,MATCH(B98,FinishedData!$A:$A,0)),"")</f>
        <v>Practice</v>
      </c>
      <c r="C100" s="42" t="str">
        <f t="array" ref="C100">IFERROR(INDEX(FinishedData!$B:$B,MATCH(C98,FinishedData!$A:$A,0)),"")</f>
        <v>Practice</v>
      </c>
      <c r="D100" s="42" t="str">
        <f t="array" ref="D100">IFERROR(INDEX(FinishedData!$B:$B,MATCH(D98,FinishedData!$A:$A,0)),"")</f>
        <v>Game</v>
      </c>
      <c r="E100" s="42" t="str">
        <f t="array" ref="E100">IFERROR(INDEX(FinishedData!$B:$B,MATCH(E98,FinishedData!$A:$A,0)),"")</f>
        <v>Game</v>
      </c>
      <c r="F100" s="42" t="str">
        <f t="array" ref="F100">IFERROR(INDEX(FinishedData!$B:$B,MATCH(F98,FinishedData!$A:$A,0)),"")</f>
        <v>Off</v>
      </c>
      <c r="G100" s="42" t="str">
        <f t="array" ref="G100">IFERROR(INDEX(FinishedData!$B:$B,MATCH(G98,FinishedData!$A:$A,0)),"")</f>
        <v>Practice</v>
      </c>
      <c r="H100" s="2"/>
      <c r="I100" s="72">
        <f>IFERROR(__xludf.DUMMYFUNCTION("IF(A98="""","""",IF(WEEKNUM($A$6)=1,SUM(FILTER(FinishedData!$C:$C,YEAR(FinishedData!$A:$A)=YEAR($A$6)-1,WEEKNUM(FinishedData!$A:$A)=WEEKNUM($A$6)+52)),
SUM(FILTER(FinishedData!$C:$C,YEAR(FinishedData!$A:$A)=YEAR($A$6),WEEKNUM(FinishedData!$A:$A)=WEEKNUM($"&amp;"A$6)-1))))"),4410.0)</f>
        <v>4410</v>
      </c>
      <c r="J100" s="72">
        <f>IFERROR(__xludf.DUMMYFUNCTION("IF(A98="""","""", SUM(FILTER(FinishedData!$C:$C,YEAR(FinishedData!$A:$A)=YEAR($A98),WEEKNUM(FinishedData!$A:$A)=WEEKNUM($A98))))"),4495.0)</f>
        <v>4495</v>
      </c>
      <c r="K100" s="2"/>
      <c r="L100" s="2"/>
      <c r="M100" s="2"/>
      <c r="N100" s="2"/>
      <c r="O100" s="2"/>
      <c r="P100" s="2"/>
      <c r="Q100" s="2"/>
      <c r="R100" s="2"/>
      <c r="S100" s="2"/>
      <c r="T100" s="2"/>
      <c r="U100" s="2"/>
      <c r="V100" s="2"/>
      <c r="W100" s="2"/>
      <c r="X100" s="2"/>
      <c r="Y100" s="2"/>
      <c r="Z100" s="2"/>
    </row>
    <row r="101" ht="22.5" customHeight="1">
      <c r="A101" s="73">
        <f t="array" ref="A101">IFERROR(INDEX(FinishedData!$C:$C,MATCH(A98,FinishedData!$A:$A,0)),"")</f>
        <v>900</v>
      </c>
      <c r="B101" s="73">
        <f t="array" ref="B101">IFERROR(INDEX(FinishedData!$C:$C,MATCH(B98,FinishedData!$A:$A,0)),"")</f>
        <v>545</v>
      </c>
      <c r="C101" s="73">
        <f t="array" ref="C101">IFERROR(INDEX(FinishedData!$C:$C,MATCH(C98,FinishedData!$A:$A,0)),"")</f>
        <v>550</v>
      </c>
      <c r="D101" s="73">
        <f t="array" ref="D101">IFERROR(INDEX(FinishedData!$C:$C,MATCH(D98,FinishedData!$A:$A,0)),"")</f>
        <v>805</v>
      </c>
      <c r="E101" s="73">
        <f t="array" ref="E101">IFERROR(INDEX(FinishedData!$C:$C,MATCH(E98,FinishedData!$A:$A,0)),"")</f>
        <v>725</v>
      </c>
      <c r="F101" s="73" t="str">
        <f t="array" ref="F101">IFERROR(INDEX(FinishedData!$C:$C,MATCH(F98,FinishedData!$A:$A,0)),"")</f>
        <v/>
      </c>
      <c r="G101" s="73">
        <f t="array" ref="G101">IFERROR(INDEX(FinishedData!$C:$C,MATCH(G98,FinishedData!$A:$A,0)),"")</f>
        <v>970</v>
      </c>
      <c r="H101" s="2"/>
      <c r="I101" s="74" t="s">
        <v>49</v>
      </c>
      <c r="J101" s="75">
        <f>IFERROR(__xludf.DUMMYFUNCTION("IFERROR(IF(WEEKNUM($A$6)=1,($J100-SUM(FILTER(FinishedData!$C:$C,YEAR(FinishedData!$A:$A)=YEAR($A$6)-1,WEEKNUM(FinishedData!$A:$A)=WEEKNUM($A$6)+52)))/$I100,
($J100-SUM(FILTER(FinishedData!$C:$C,YEAR(FinishedData!$A:$A)=YEAR($A$6),WEEKNUM(FinishedData!$A:$"&amp;"A)=WEEKNUM($A$6)-1)))/$I100),"""")"),0.01927437641723356)</f>
        <v>0.01927437642</v>
      </c>
      <c r="K101" s="2"/>
      <c r="L101" s="2"/>
      <c r="M101" s="2"/>
      <c r="N101" s="2"/>
      <c r="O101" s="2"/>
      <c r="P101" s="2"/>
      <c r="Q101" s="2"/>
      <c r="R101" s="2"/>
      <c r="S101" s="2"/>
      <c r="T101" s="2"/>
      <c r="U101" s="2"/>
      <c r="V101" s="2"/>
      <c r="W101" s="2"/>
      <c r="X101" s="2"/>
      <c r="Y101" s="2"/>
      <c r="Z101" s="2"/>
    </row>
    <row r="102" ht="22.5" customHeight="1">
      <c r="A102" s="76">
        <f>IF(G98&gt;=$D$3,"",G98+1)</f>
        <v>44717</v>
      </c>
      <c r="B102" s="76">
        <f t="shared" ref="B102:G102" si="25">IF(A102&gt;=$D$3,"",A102+1)</f>
        <v>44718</v>
      </c>
      <c r="C102" s="76">
        <f t="shared" si="25"/>
        <v>44719</v>
      </c>
      <c r="D102" s="76">
        <f t="shared" si="25"/>
        <v>44720</v>
      </c>
      <c r="E102" s="76">
        <f t="shared" si="25"/>
        <v>44721</v>
      </c>
      <c r="F102" s="76">
        <f t="shared" si="25"/>
        <v>44722</v>
      </c>
      <c r="G102" s="76">
        <f t="shared" si="25"/>
        <v>44723</v>
      </c>
      <c r="H102" s="2"/>
      <c r="I102" s="62"/>
      <c r="J102" s="7"/>
      <c r="K102" s="2"/>
      <c r="L102" s="2"/>
      <c r="M102" s="2"/>
      <c r="N102" s="2"/>
      <c r="O102" s="2"/>
      <c r="P102" s="2"/>
      <c r="Q102" s="2"/>
      <c r="R102" s="2"/>
      <c r="S102" s="2"/>
      <c r="T102" s="2"/>
      <c r="U102" s="2"/>
      <c r="V102" s="2"/>
      <c r="W102" s="2"/>
      <c r="X102" s="2"/>
      <c r="Y102" s="2"/>
      <c r="Z102" s="2"/>
    </row>
    <row r="103" ht="22.5" customHeight="1">
      <c r="A103" s="42" t="str">
        <f t="array" ref="A103">IFERROR(INDEX(Lists2!$B:$B,MATCH(A104,Lists2!$A:$A,0)),"")</f>
        <v/>
      </c>
      <c r="B103" s="42" t="str">
        <f t="array" ref="B103">IFERROR(INDEX(Lists2!$B:$B,MATCH(B104,Lists2!$A:$A,0)),"")</f>
        <v/>
      </c>
      <c r="C103" s="42" t="str">
        <f t="array" ref="C103">IFERROR(INDEX(Lists2!$B:$B,MATCH(C104,Lists2!$A:$A,0)),"")</f>
        <v/>
      </c>
      <c r="D103" s="42" t="str">
        <f t="array" ref="D103">IFERROR(INDEX(Lists2!$B:$B,MATCH(D104,Lists2!$A:$A,0)),"")</f>
        <v/>
      </c>
      <c r="E103" s="42" t="str">
        <f t="array" ref="E103">IFERROR(INDEX(Lists2!$B:$B,MATCH(E104,Lists2!$A:$A,0)),"")</f>
        <v/>
      </c>
      <c r="F103" s="42" t="str">
        <f t="array" ref="F103">IFERROR(INDEX(Lists2!$B:$B,MATCH(F104,Lists2!$A:$A,0)),"")</f>
        <v/>
      </c>
      <c r="G103" s="42" t="str">
        <f t="array" ref="G103">IFERROR(INDEX(Lists2!$B:$B,MATCH(G104,Lists2!$A:$A,0)),"")</f>
        <v/>
      </c>
      <c r="H103" s="2"/>
      <c r="I103" s="71" t="str">
        <f>"Week of "&amp;TEXT(A102-7,"MM/DD")</f>
        <v>Week of 05/29</v>
      </c>
      <c r="J103" s="71" t="str">
        <f>"Week of "&amp;TEXT(A102,"MM/DD")</f>
        <v>Week of 06/05</v>
      </c>
      <c r="K103" s="2"/>
      <c r="L103" s="2"/>
      <c r="M103" s="2"/>
      <c r="N103" s="2"/>
      <c r="O103" s="2"/>
      <c r="P103" s="2"/>
      <c r="Q103" s="2"/>
      <c r="R103" s="2"/>
      <c r="S103" s="2"/>
      <c r="T103" s="2"/>
      <c r="U103" s="2"/>
      <c r="V103" s="2"/>
      <c r="W103" s="2"/>
      <c r="X103" s="2"/>
      <c r="Y103" s="2"/>
      <c r="Z103" s="2"/>
    </row>
    <row r="104" ht="22.5" customHeight="1">
      <c r="A104" s="42" t="str">
        <f t="array" ref="A104">IFERROR(INDEX(FinishedData!$B:$B,MATCH(A102,FinishedData!$A:$A,0)),"")</f>
        <v>Game</v>
      </c>
      <c r="B104" s="42" t="str">
        <f t="array" ref="B104">IFERROR(INDEX(FinishedData!$B:$B,MATCH(B102,FinishedData!$A:$A,0)),"")</f>
        <v>Practice</v>
      </c>
      <c r="C104" s="42" t="str">
        <f t="array" ref="C104">IFERROR(INDEX(FinishedData!$B:$B,MATCH(C102,FinishedData!$A:$A,0)),"")</f>
        <v>Practice</v>
      </c>
      <c r="D104" s="42" t="str">
        <f t="array" ref="D104">IFERROR(INDEX(FinishedData!$B:$B,MATCH(D102,FinishedData!$A:$A,0)),"")</f>
        <v>Practice</v>
      </c>
      <c r="E104" s="42" t="str">
        <f t="array" ref="E104">IFERROR(INDEX(FinishedData!$B:$B,MATCH(E102,FinishedData!$A:$A,0)),"")</f>
        <v>Game</v>
      </c>
      <c r="F104" s="42" t="str">
        <f t="array" ref="F104">IFERROR(INDEX(FinishedData!$B:$B,MATCH(F102,FinishedData!$A:$A,0)),"")</f>
        <v>Practice</v>
      </c>
      <c r="G104" s="42" t="str">
        <f t="array" ref="G104">IFERROR(INDEX(FinishedData!$B:$B,MATCH(G102,FinishedData!$A:$A,0)),"")</f>
        <v>Practice</v>
      </c>
      <c r="H104" s="2"/>
      <c r="I104" s="72">
        <f>IFERROR(__xludf.DUMMYFUNCTION("IF(A102="""","""",IF(WEEKNUM($A$6)=1,SUM(FILTER(FinishedData!$C:$C,YEAR(FinishedData!$A:$A)=YEAR($A$6)-1,WEEKNUM(FinishedData!$A:$A)=WEEKNUM($A$6)+52)),
SUM(FILTER(FinishedData!$C:$C,YEAR(FinishedData!$A:$A)=YEAR($A$6),WEEKNUM(FinishedData!$A:$A)=WEEKNUM("&amp;"$A$6)-1))))"),4410.0)</f>
        <v>4410</v>
      </c>
      <c r="J104" s="72">
        <f>IFERROR(__xludf.DUMMYFUNCTION("IF(A102="""","""", SUM(FILTER(FinishedData!$C:$C,YEAR(FinishedData!$A:$A)=YEAR($A102),WEEKNUM(FinishedData!$A:$A)=WEEKNUM($A102))))"),5740.0)</f>
        <v>5740</v>
      </c>
      <c r="K104" s="2"/>
      <c r="L104" s="2"/>
      <c r="M104" s="2"/>
      <c r="N104" s="2"/>
      <c r="O104" s="2"/>
      <c r="P104" s="2"/>
      <c r="Q104" s="2"/>
      <c r="R104" s="2"/>
      <c r="S104" s="2"/>
      <c r="T104" s="2"/>
      <c r="U104" s="2"/>
      <c r="V104" s="2"/>
      <c r="W104" s="2"/>
      <c r="X104" s="2"/>
      <c r="Y104" s="2"/>
      <c r="Z104" s="2"/>
    </row>
    <row r="105" ht="22.5" customHeight="1">
      <c r="A105" s="73">
        <f t="array" ref="A105">IFERROR(INDEX(FinishedData!$C:$C,MATCH(A102,FinishedData!$A:$A,0)),"")</f>
        <v>875</v>
      </c>
      <c r="B105" s="73">
        <f t="array" ref="B105">IFERROR(INDEX(FinishedData!$C:$C,MATCH(B102,FinishedData!$A:$A,0)),"")</f>
        <v>825</v>
      </c>
      <c r="C105" s="73">
        <f t="array" ref="C105">IFERROR(INDEX(FinishedData!$C:$C,MATCH(C102,FinishedData!$A:$A,0)),"")</f>
        <v>555</v>
      </c>
      <c r="D105" s="73">
        <f t="array" ref="D105">IFERROR(INDEX(FinishedData!$C:$C,MATCH(D102,FinishedData!$A:$A,0)),"")</f>
        <v>970</v>
      </c>
      <c r="E105" s="73">
        <f t="array" ref="E105">IFERROR(INDEX(FinishedData!$C:$C,MATCH(E102,FinishedData!$A:$A,0)),"")</f>
        <v>995</v>
      </c>
      <c r="F105" s="73">
        <f t="array" ref="F105">IFERROR(INDEX(FinishedData!$C:$C,MATCH(F102,FinishedData!$A:$A,0)),"")</f>
        <v>595</v>
      </c>
      <c r="G105" s="73">
        <f t="array" ref="G105">IFERROR(INDEX(FinishedData!$C:$C,MATCH(G102,FinishedData!$A:$A,0)),"")</f>
        <v>925</v>
      </c>
      <c r="H105" s="2"/>
      <c r="I105" s="74" t="s">
        <v>47</v>
      </c>
      <c r="J105" s="75">
        <f>IFERROR(__xludf.DUMMYFUNCTION("IFERROR(IF(WEEKNUM($A$6)=1,($J104-SUM(FILTER(FinishedData!$C:$C,YEAR(FinishedData!$A:$A)=YEAR($A$6)-1,WEEKNUM(FinishedData!$A:$A)=WEEKNUM($A$6)+52)))/$I104,
($J104-SUM(FILTER(FinishedData!$C:$C,YEAR(FinishedData!$A:$A)=YEAR($A$6),WEEKNUM(FinishedData!$A:$"&amp;"A)=WEEKNUM($A$6)-1)))/$I104),"""")"),0.30158730158730157)</f>
        <v>0.3015873016</v>
      </c>
      <c r="K105" s="2"/>
      <c r="L105" s="2"/>
      <c r="M105" s="2"/>
      <c r="N105" s="2"/>
      <c r="O105" s="2"/>
      <c r="P105" s="2"/>
      <c r="Q105" s="2"/>
      <c r="R105" s="2"/>
      <c r="S105" s="2"/>
      <c r="T105" s="2"/>
      <c r="U105" s="2"/>
      <c r="V105" s="2"/>
      <c r="W105" s="2"/>
      <c r="X105" s="2"/>
      <c r="Y105" s="2"/>
      <c r="Z105" s="2"/>
    </row>
    <row r="106" ht="22.5" customHeight="1">
      <c r="A106" s="76">
        <f>IF(G102&gt;=$D$3,"",G102+1)</f>
        <v>44724</v>
      </c>
      <c r="B106" s="76">
        <f t="shared" ref="B106:G106" si="26">IF(A106&gt;=$D$3,"",A106+1)</f>
        <v>44725</v>
      </c>
      <c r="C106" s="76">
        <f t="shared" si="26"/>
        <v>44726</v>
      </c>
      <c r="D106" s="76">
        <f t="shared" si="26"/>
        <v>44727</v>
      </c>
      <c r="E106" s="76">
        <f t="shared" si="26"/>
        <v>44728</v>
      </c>
      <c r="F106" s="76">
        <f t="shared" si="26"/>
        <v>44729</v>
      </c>
      <c r="G106" s="76">
        <f t="shared" si="26"/>
        <v>44730</v>
      </c>
      <c r="H106" s="2"/>
      <c r="K106" s="2"/>
      <c r="L106" s="2"/>
      <c r="M106" s="2"/>
      <c r="N106" s="2"/>
      <c r="O106" s="2"/>
      <c r="P106" s="2"/>
      <c r="Q106" s="2"/>
      <c r="R106" s="2"/>
      <c r="S106" s="2"/>
      <c r="T106" s="2"/>
      <c r="U106" s="2"/>
      <c r="V106" s="2"/>
      <c r="W106" s="2"/>
      <c r="X106" s="2"/>
      <c r="Y106" s="2"/>
      <c r="Z106" s="2"/>
    </row>
    <row r="107" ht="22.5" customHeight="1">
      <c r="A107" s="42" t="str">
        <f t="array" ref="A107">IFERROR(INDEX(Lists2!$B:$B,MATCH(A108,Lists2!$A:$A,0)),"")</f>
        <v/>
      </c>
      <c r="B107" s="42" t="str">
        <f t="array" ref="B107">IFERROR(INDEX(Lists2!$B:$B,MATCH(B108,Lists2!$A:$A,0)),"")</f>
        <v/>
      </c>
      <c r="C107" s="42" t="str">
        <f t="array" ref="C107">IFERROR(INDEX(Lists2!$B:$B,MATCH(C108,Lists2!$A:$A,0)),"")</f>
        <v/>
      </c>
      <c r="D107" s="42" t="str">
        <f t="array" ref="D107">IFERROR(INDEX(Lists2!$B:$B,MATCH(D108,Lists2!$A:$A,0)),"")</f>
        <v/>
      </c>
      <c r="E107" s="42" t="str">
        <f t="array" ref="E107">IFERROR(INDEX(Lists2!$B:$B,MATCH(E108,Lists2!$A:$A,0)),"")</f>
        <v/>
      </c>
      <c r="F107" s="42" t="str">
        <f t="array" ref="F107">IFERROR(INDEX(Lists2!$B:$B,MATCH(F108,Lists2!$A:$A,0)),"")</f>
        <v/>
      </c>
      <c r="G107" s="42" t="str">
        <f t="array" ref="G107">IFERROR(INDEX(Lists2!$B:$B,MATCH(G108,Lists2!$A:$A,0)),"")</f>
        <v/>
      </c>
      <c r="H107" s="2"/>
      <c r="I107" s="71" t="str">
        <f>"Week of "&amp;TEXT(A106-7,"MM/DD")</f>
        <v>Week of 06/05</v>
      </c>
      <c r="J107" s="71" t="str">
        <f>"Week of "&amp;TEXT(A106,"MM/DD")</f>
        <v>Week of 06/12</v>
      </c>
      <c r="K107" s="2"/>
      <c r="L107" s="2"/>
      <c r="M107" s="2"/>
      <c r="N107" s="2"/>
      <c r="O107" s="2"/>
      <c r="P107" s="2"/>
      <c r="Q107" s="2"/>
      <c r="R107" s="2"/>
      <c r="S107" s="2"/>
      <c r="T107" s="2"/>
      <c r="U107" s="2"/>
      <c r="V107" s="2"/>
      <c r="W107" s="2"/>
      <c r="X107" s="2"/>
      <c r="Y107" s="2"/>
      <c r="Z107" s="2"/>
    </row>
    <row r="108" ht="22.5" customHeight="1">
      <c r="A108" s="42" t="str">
        <f t="array" ref="A108">IFERROR(INDEX(FinishedData!$B:$B,MATCH(A106,FinishedData!$A:$A,0)),"")</f>
        <v>Game</v>
      </c>
      <c r="B108" s="42" t="str">
        <f t="array" ref="B108">IFERROR(INDEX(FinishedData!$B:$B,MATCH(B106,FinishedData!$A:$A,0)),"")</f>
        <v>Off</v>
      </c>
      <c r="C108" s="42" t="str">
        <f t="array" ref="C108">IFERROR(INDEX(FinishedData!$B:$B,MATCH(C106,FinishedData!$A:$A,0)),"")</f>
        <v>Practice</v>
      </c>
      <c r="D108" s="42" t="str">
        <f t="array" ref="D108">IFERROR(INDEX(FinishedData!$B:$B,MATCH(D106,FinishedData!$A:$A,0)),"")</f>
        <v>Gym</v>
      </c>
      <c r="E108" s="42" t="str">
        <f t="array" ref="E108">IFERROR(INDEX(FinishedData!$B:$B,MATCH(E106,FinishedData!$A:$A,0)),"")</f>
        <v>Practice</v>
      </c>
      <c r="F108" s="42" t="str">
        <f t="array" ref="F108">IFERROR(INDEX(FinishedData!$B:$B,MATCH(F106,FinishedData!$A:$A,0)),"")</f>
        <v>Practice</v>
      </c>
      <c r="G108" s="42" t="str">
        <f t="array" ref="G108">IFERROR(INDEX(FinishedData!$B:$B,MATCH(G106,FinishedData!$A:$A,0)),"")</f>
        <v>Practice</v>
      </c>
      <c r="H108" s="2"/>
      <c r="I108" s="72">
        <f>IFERROR(__xludf.DUMMYFUNCTION("IF(A106="""","""",IF(WEEKNUM($A$6)=1,SUM(FILTER(FinishedData!$C:$C,YEAR(FinishedData!$A:$A)=YEAR($A$6)-1,WEEKNUM(FinishedData!$A:$A)=WEEKNUM($A$6)+52)),
SUM(FILTER(FinishedData!$C:$C,YEAR(FinishedData!$A:$A)=YEAR($A$6),WEEKNUM(FinishedData!$A:$A)=WEEKNUM("&amp;"$A$6)-1))))"),4410.0)</f>
        <v>4410</v>
      </c>
      <c r="J108" s="72">
        <f>IFERROR(__xludf.DUMMYFUNCTION("IF(A106="""","""", SUM(FILTER(FinishedData!$C:$C,YEAR(FinishedData!$A:$A)=YEAR($A106),WEEKNUM(FinishedData!$A:$A)=WEEKNUM($A106))))"),4795.0)</f>
        <v>4795</v>
      </c>
      <c r="K108" s="2"/>
      <c r="L108" s="2"/>
      <c r="M108" s="2"/>
      <c r="N108" s="2"/>
      <c r="O108" s="2"/>
      <c r="P108" s="2"/>
      <c r="Q108" s="2"/>
      <c r="R108" s="2"/>
      <c r="S108" s="2"/>
      <c r="T108" s="2"/>
      <c r="U108" s="2"/>
      <c r="V108" s="2"/>
      <c r="W108" s="2"/>
      <c r="X108" s="2"/>
      <c r="Y108" s="2"/>
      <c r="Z108" s="2"/>
    </row>
    <row r="109" ht="22.5" customHeight="1">
      <c r="A109" s="73">
        <f t="array" ref="A109">IFERROR(INDEX(FinishedData!$C:$C,MATCH(A106,FinishedData!$A:$A,0)),"")</f>
        <v>640</v>
      </c>
      <c r="B109" s="73" t="str">
        <f t="array" ref="B109">IFERROR(INDEX(FinishedData!$C:$C,MATCH(B106,FinishedData!$A:$A,0)),"")</f>
        <v/>
      </c>
      <c r="C109" s="73">
        <f t="array" ref="C109">IFERROR(INDEX(FinishedData!$C:$C,MATCH(C106,FinishedData!$A:$A,0)),"")</f>
        <v>640</v>
      </c>
      <c r="D109" s="73">
        <f t="array" ref="D109">IFERROR(INDEX(FinishedData!$C:$C,MATCH(D106,FinishedData!$A:$A,0)),"")</f>
        <v>800</v>
      </c>
      <c r="E109" s="73">
        <f t="array" ref="E109">IFERROR(INDEX(FinishedData!$C:$C,MATCH(E106,FinishedData!$A:$A,0)),"")</f>
        <v>955</v>
      </c>
      <c r="F109" s="73">
        <f t="array" ref="F109">IFERROR(INDEX(FinishedData!$C:$C,MATCH(F106,FinishedData!$A:$A,0)),"")</f>
        <v>895</v>
      </c>
      <c r="G109" s="73">
        <f t="array" ref="G109">IFERROR(INDEX(FinishedData!$C:$C,MATCH(G106,FinishedData!$A:$A,0)),"")</f>
        <v>865</v>
      </c>
      <c r="H109" s="2"/>
      <c r="I109" s="74" t="s">
        <v>49</v>
      </c>
      <c r="J109" s="75">
        <f>IFERROR(__xludf.DUMMYFUNCTION("IFERROR(IF(WEEKNUM($A$6)=1,($J108-SUM(FILTER(FinishedData!$C:$C,YEAR(FinishedData!$A:$A)=YEAR($A$6)-1,WEEKNUM(FinishedData!$A:$A)=WEEKNUM($A$6)+52)))/$I108,
($J108-SUM(FILTER(FinishedData!$C:$C,YEAR(FinishedData!$A:$A)=YEAR($A$6),WEEKNUM(FinishedData!$A:$"&amp;"A)=WEEKNUM($A$6)-1)))/$I108),"""")"),0.0873015873015873)</f>
        <v>0.0873015873</v>
      </c>
      <c r="K109" s="2"/>
      <c r="L109" s="2"/>
      <c r="M109" s="2"/>
      <c r="N109" s="2"/>
      <c r="O109" s="2"/>
      <c r="P109" s="2"/>
      <c r="Q109" s="2"/>
      <c r="R109" s="2"/>
      <c r="S109" s="2"/>
      <c r="T109" s="2"/>
      <c r="U109" s="2"/>
      <c r="V109" s="2"/>
      <c r="W109" s="2"/>
      <c r="X109" s="2"/>
      <c r="Y109" s="2"/>
      <c r="Z109" s="2"/>
    </row>
    <row r="110" ht="22.5" customHeight="1">
      <c r="A110" s="76">
        <f>IF(G106&gt;=$D$3,"",G106+1)</f>
        <v>44731</v>
      </c>
      <c r="B110" s="76">
        <f t="shared" ref="B110:G110" si="27">IF(A110&gt;=$D$3,"",A110+1)</f>
        <v>44732</v>
      </c>
      <c r="C110" s="76">
        <f t="shared" si="27"/>
        <v>44733</v>
      </c>
      <c r="D110" s="76">
        <f t="shared" si="27"/>
        <v>44734</v>
      </c>
      <c r="E110" s="76">
        <f t="shared" si="27"/>
        <v>44735</v>
      </c>
      <c r="F110" s="76">
        <f t="shared" si="27"/>
        <v>44736</v>
      </c>
      <c r="G110" s="76">
        <f t="shared" si="27"/>
        <v>44737</v>
      </c>
      <c r="H110" s="2"/>
      <c r="K110" s="2"/>
      <c r="L110" s="2"/>
      <c r="M110" s="2"/>
      <c r="N110" s="2"/>
      <c r="O110" s="2"/>
      <c r="P110" s="2"/>
      <c r="Q110" s="2"/>
      <c r="R110" s="2"/>
      <c r="S110" s="2"/>
      <c r="T110" s="2"/>
      <c r="U110" s="2"/>
      <c r="V110" s="2"/>
      <c r="W110" s="2"/>
      <c r="X110" s="2"/>
      <c r="Y110" s="2"/>
      <c r="Z110" s="2"/>
    </row>
    <row r="111" ht="22.5" customHeight="1">
      <c r="A111" s="42" t="str">
        <f t="array" ref="A111">IFERROR(INDEX(Lists2!$B:$B,MATCH(A112,Lists2!$A:$A,0)),"")</f>
        <v/>
      </c>
      <c r="B111" s="42" t="str">
        <f t="array" ref="B111">IFERROR(INDEX(Lists2!$B:$B,MATCH(B112,Lists2!$A:$A,0)),"")</f>
        <v/>
      </c>
      <c r="C111" s="42" t="str">
        <f t="array" ref="C111">IFERROR(INDEX(Lists2!$B:$B,MATCH(C112,Lists2!$A:$A,0)),"")</f>
        <v/>
      </c>
      <c r="D111" s="42" t="str">
        <f t="array" ref="D111">IFERROR(INDEX(Lists2!$B:$B,MATCH(D112,Lists2!$A:$A,0)),"")</f>
        <v/>
      </c>
      <c r="E111" s="42" t="str">
        <f t="array" ref="E111">IFERROR(INDEX(Lists2!$B:$B,MATCH(E112,Lists2!$A:$A,0)),"")</f>
        <v/>
      </c>
      <c r="F111" s="42" t="str">
        <f t="array" ref="F111">IFERROR(INDEX(Lists2!$B:$B,MATCH(F112,Lists2!$A:$A,0)),"")</f>
        <v/>
      </c>
      <c r="G111" s="42" t="str">
        <f t="array" ref="G111">IFERROR(INDEX(Lists2!$B:$B,MATCH(G112,Lists2!$A:$A,0)),"")</f>
        <v/>
      </c>
      <c r="H111" s="2"/>
      <c r="I111" s="71" t="str">
        <f>"Week of "&amp;TEXT(A110-7,"MM/DD")</f>
        <v>Week of 06/12</v>
      </c>
      <c r="J111" s="71" t="str">
        <f>"Week of "&amp;TEXT(A110,"MM/DD")</f>
        <v>Week of 06/19</v>
      </c>
      <c r="K111" s="2"/>
      <c r="L111" s="2"/>
      <c r="M111" s="2"/>
      <c r="N111" s="2"/>
      <c r="O111" s="2"/>
      <c r="P111" s="2"/>
      <c r="Q111" s="2"/>
      <c r="R111" s="2"/>
      <c r="S111" s="2"/>
      <c r="T111" s="2"/>
      <c r="U111" s="2"/>
      <c r="V111" s="2"/>
      <c r="W111" s="2"/>
      <c r="X111" s="2"/>
      <c r="Y111" s="2"/>
      <c r="Z111" s="2"/>
    </row>
    <row r="112" ht="22.5" customHeight="1">
      <c r="A112" s="42" t="str">
        <f t="array" ref="A112">IFERROR(INDEX(FinishedData!$B:$B,MATCH(A110,FinishedData!$A:$A,0)),"")</f>
        <v>Game</v>
      </c>
      <c r="B112" s="42" t="str">
        <f t="array" ref="B112">IFERROR(INDEX(FinishedData!$B:$B,MATCH(B110,FinishedData!$A:$A,0)),"")</f>
        <v>Off</v>
      </c>
      <c r="C112" s="42" t="str">
        <f t="array" ref="C112">IFERROR(INDEX(FinishedData!$B:$B,MATCH(C110,FinishedData!$A:$A,0)),"")</f>
        <v>Gym</v>
      </c>
      <c r="D112" s="42" t="str">
        <f t="array" ref="D112">IFERROR(INDEX(FinishedData!$B:$B,MATCH(D110,FinishedData!$A:$A,0)),"")</f>
        <v>Practice</v>
      </c>
      <c r="E112" s="42" t="str">
        <f t="array" ref="E112">IFERROR(INDEX(FinishedData!$B:$B,MATCH(E110,FinishedData!$A:$A,0)),"")</f>
        <v>Practice</v>
      </c>
      <c r="F112" s="42" t="str">
        <f t="array" ref="F112">IFERROR(INDEX(FinishedData!$B:$B,MATCH(F110,FinishedData!$A:$A,0)),"")</f>
        <v>Game</v>
      </c>
      <c r="G112" s="42" t="str">
        <f t="array" ref="G112">IFERROR(INDEX(FinishedData!$B:$B,MATCH(G110,FinishedData!$A:$A,0)),"")</f>
        <v>Game</v>
      </c>
      <c r="H112" s="2"/>
      <c r="I112" s="72">
        <f>IFERROR(__xludf.DUMMYFUNCTION("IF(A110="""","""",IF(WEEKNUM($A$6)=1,SUM(FILTER(FinishedData!$C:$C,YEAR(FinishedData!$A:$A)=YEAR($A$6)-1,WEEKNUM(FinishedData!$A:$A)=WEEKNUM($A$6)+52)),
SUM(FILTER(FinishedData!$C:$C,YEAR(FinishedData!$A:$A)=YEAR($A$6),WEEKNUM(FinishedData!$A:$A)=WEEKNUM("&amp;"$A$6)-1))))"),4410.0)</f>
        <v>4410</v>
      </c>
      <c r="J112" s="72">
        <f>IFERROR(__xludf.DUMMYFUNCTION("IF(A110="""","""", SUM(FILTER(FinishedData!$C:$C,YEAR(FinishedData!$A:$A)=YEAR($A110),WEEKNUM(FinishedData!$A:$A)=WEEKNUM($A110))))"),4540.0)</f>
        <v>4540</v>
      </c>
      <c r="K112" s="2"/>
      <c r="L112" s="2"/>
      <c r="M112" s="2"/>
      <c r="N112" s="2"/>
      <c r="O112" s="2"/>
      <c r="P112" s="2"/>
      <c r="Q112" s="2"/>
      <c r="R112" s="2"/>
      <c r="S112" s="2"/>
      <c r="T112" s="2"/>
      <c r="U112" s="2"/>
      <c r="V112" s="2"/>
      <c r="W112" s="2"/>
      <c r="X112" s="2"/>
      <c r="Y112" s="2"/>
      <c r="Z112" s="2"/>
    </row>
    <row r="113" ht="22.5" customHeight="1">
      <c r="A113" s="73">
        <f t="array" ref="A113">IFERROR(INDEX(FinishedData!$C:$C,MATCH(A110,FinishedData!$A:$A,0)),"")</f>
        <v>545</v>
      </c>
      <c r="B113" s="73" t="str">
        <f t="array" ref="B113">IFERROR(INDEX(FinishedData!$C:$C,MATCH(B110,FinishedData!$A:$A,0)),"")</f>
        <v/>
      </c>
      <c r="C113" s="73">
        <f t="array" ref="C113">IFERROR(INDEX(FinishedData!$C:$C,MATCH(C110,FinishedData!$A:$A,0)),"")</f>
        <v>930</v>
      </c>
      <c r="D113" s="73">
        <f t="array" ref="D113">IFERROR(INDEX(FinishedData!$C:$C,MATCH(D110,FinishedData!$A:$A,0)),"")</f>
        <v>960</v>
      </c>
      <c r="E113" s="73">
        <f t="array" ref="E113">IFERROR(INDEX(FinishedData!$C:$C,MATCH(E110,FinishedData!$A:$A,0)),"")</f>
        <v>655</v>
      </c>
      <c r="F113" s="73">
        <f t="array" ref="F113">IFERROR(INDEX(FinishedData!$C:$C,MATCH(F110,FinishedData!$A:$A,0)),"")</f>
        <v>760</v>
      </c>
      <c r="G113" s="73">
        <f t="array" ref="G113">IFERROR(INDEX(FinishedData!$C:$C,MATCH(G110,FinishedData!$A:$A,0)),"")</f>
        <v>690</v>
      </c>
      <c r="H113" s="2"/>
      <c r="I113" s="74" t="s">
        <v>47</v>
      </c>
      <c r="J113" s="75">
        <f>IFERROR(__xludf.DUMMYFUNCTION("IFERROR(IF(WEEKNUM($A$6)=1,($J112-SUM(FILTER(FinishedData!$C:$C,YEAR(FinishedData!$A:$A)=YEAR($A$6)-1,WEEKNUM(FinishedData!$A:$A)=WEEKNUM($A$6)+52)))/$I112,
($J112-SUM(FILTER(FinishedData!$C:$C,YEAR(FinishedData!$A:$A)=YEAR($A$6),WEEKNUM(FinishedData!$A:$"&amp;"A)=WEEKNUM($A$6)-1)))/$I112),"""")"),0.02947845804988662)</f>
        <v>0.02947845805</v>
      </c>
      <c r="K113" s="2"/>
      <c r="L113" s="2"/>
      <c r="M113" s="2"/>
      <c r="N113" s="2"/>
      <c r="O113" s="2"/>
      <c r="P113" s="2"/>
      <c r="Q113" s="2"/>
      <c r="R113" s="2"/>
      <c r="S113" s="2"/>
      <c r="T113" s="2"/>
      <c r="U113" s="2"/>
      <c r="V113" s="2"/>
      <c r="W113" s="2"/>
      <c r="X113" s="2"/>
      <c r="Y113" s="2"/>
      <c r="Z113" s="2"/>
    </row>
    <row r="114" ht="22.5" customHeight="1">
      <c r="A114" s="76">
        <f>IF(G110&gt;=$D$3,"",G110+1)</f>
        <v>44738</v>
      </c>
      <c r="B114" s="76">
        <f t="shared" ref="B114:G114" si="28">IF(A114&gt;=$D$3,"",A114+1)</f>
        <v>44739</v>
      </c>
      <c r="C114" s="76">
        <f t="shared" si="28"/>
        <v>44740</v>
      </c>
      <c r="D114" s="76">
        <f t="shared" si="28"/>
        <v>44741</v>
      </c>
      <c r="E114" s="76">
        <f t="shared" si="28"/>
        <v>44742</v>
      </c>
      <c r="F114" s="76">
        <f t="shared" si="28"/>
        <v>44743</v>
      </c>
      <c r="G114" s="76">
        <f t="shared" si="28"/>
        <v>44744</v>
      </c>
      <c r="H114" s="2"/>
      <c r="K114" s="2"/>
      <c r="L114" s="2"/>
      <c r="M114" s="2"/>
      <c r="N114" s="2"/>
      <c r="O114" s="2"/>
      <c r="P114" s="2"/>
      <c r="Q114" s="2"/>
      <c r="R114" s="2"/>
      <c r="S114" s="2"/>
      <c r="T114" s="2"/>
      <c r="U114" s="2"/>
      <c r="V114" s="2"/>
      <c r="W114" s="2"/>
      <c r="X114" s="2"/>
      <c r="Y114" s="2"/>
      <c r="Z114" s="2"/>
    </row>
    <row r="115" ht="22.5" customHeight="1">
      <c r="A115" s="42" t="str">
        <f t="array" ref="A115">IFERROR(INDEX(Lists2!$B:$B,MATCH(A116,Lists2!$A:$A,0)),"")</f>
        <v/>
      </c>
      <c r="B115" s="42" t="str">
        <f t="array" ref="B115">IFERROR(INDEX(Lists2!$B:$B,MATCH(B116,Lists2!$A:$A,0)),"")</f>
        <v/>
      </c>
      <c r="C115" s="42" t="str">
        <f t="array" ref="C115">IFERROR(INDEX(Lists2!$B:$B,MATCH(C116,Lists2!$A:$A,0)),"")</f>
        <v/>
      </c>
      <c r="D115" s="42" t="str">
        <f t="array" ref="D115">IFERROR(INDEX(Lists2!$B:$B,MATCH(D116,Lists2!$A:$A,0)),"")</f>
        <v/>
      </c>
      <c r="E115" s="42" t="str">
        <f t="array" ref="E115">IFERROR(INDEX(Lists2!$B:$B,MATCH(E116,Lists2!$A:$A,0)),"")</f>
        <v/>
      </c>
      <c r="F115" s="42" t="str">
        <f t="array" ref="F115">IFERROR(INDEX(Lists2!$B:$B,MATCH(F116,Lists2!$A:$A,0)),"")</f>
        <v/>
      </c>
      <c r="G115" s="42" t="str">
        <f t="array" ref="G115">IFERROR(INDEX(Lists2!$B:$B,MATCH(G116,Lists2!$A:$A,0)),"")</f>
        <v/>
      </c>
      <c r="H115" s="2"/>
      <c r="I115" s="71" t="str">
        <f>"Week of "&amp;TEXT(A114-7,"MM/DD")</f>
        <v>Week of 06/19</v>
      </c>
      <c r="J115" s="71" t="str">
        <f>"Week of "&amp;TEXT(A114,"MM/DD")</f>
        <v>Week of 06/26</v>
      </c>
      <c r="K115" s="2"/>
      <c r="L115" s="2"/>
      <c r="M115" s="2"/>
      <c r="N115" s="2"/>
      <c r="O115" s="2"/>
      <c r="P115" s="2"/>
      <c r="Q115" s="2"/>
      <c r="R115" s="2"/>
      <c r="S115" s="2"/>
      <c r="T115" s="2"/>
      <c r="U115" s="2"/>
      <c r="V115" s="2"/>
      <c r="W115" s="2"/>
      <c r="X115" s="2"/>
      <c r="Y115" s="2"/>
      <c r="Z115" s="2"/>
    </row>
    <row r="116" ht="22.5" customHeight="1">
      <c r="A116" s="42" t="str">
        <f t="array" ref="A116">IFERROR(INDEX(FinishedData!$B:$B,MATCH(A114,FinishedData!$A:$A,0)),"")</f>
        <v>Off</v>
      </c>
      <c r="B116" s="42" t="str">
        <f t="array" ref="B116">IFERROR(INDEX(FinishedData!$B:$B,MATCH(B114,FinishedData!$A:$A,0)),"")</f>
        <v>Practice</v>
      </c>
      <c r="C116" s="42" t="str">
        <f t="array" ref="C116">IFERROR(INDEX(FinishedData!$B:$B,MATCH(C114,FinishedData!$A:$A,0)),"")</f>
        <v>Practice</v>
      </c>
      <c r="D116" s="42" t="str">
        <f t="array" ref="D116">IFERROR(INDEX(FinishedData!$B:$B,MATCH(D114,FinishedData!$A:$A,0)),"")</f>
        <v>Gym</v>
      </c>
      <c r="E116" s="42" t="str">
        <f t="array" ref="E116">IFERROR(INDEX(FinishedData!$B:$B,MATCH(E114,FinishedData!$A:$A,0)),"")</f>
        <v>Practice</v>
      </c>
      <c r="F116" s="42" t="str">
        <f t="array" ref="F116">IFERROR(INDEX(FinishedData!$B:$B,MATCH(F114,FinishedData!$A:$A,0)),"")</f>
        <v>Practice</v>
      </c>
      <c r="G116" s="42" t="str">
        <f t="array" ref="G116">IFERROR(INDEX(FinishedData!$B:$B,MATCH(G114,FinishedData!$A:$A,0)),"")</f>
        <v>Game</v>
      </c>
      <c r="H116" s="2"/>
      <c r="I116" s="72">
        <f>IFERROR(__xludf.DUMMYFUNCTION("IF(A114="""","""",IF(WEEKNUM($A$6)=1,SUM(FILTER(FinishedData!$C:$C,YEAR(FinishedData!$A:$A)=YEAR($A$6)-1,WEEKNUM(FinishedData!$A:$A)=WEEKNUM($A$6)+52)),
SUM(FILTER(FinishedData!$C:$C,YEAR(FinishedData!$A:$A)=YEAR($A$6),WEEKNUM(FinishedData!$A:$A)=WEEKNUM("&amp;"$A$6)-1))))"),4410.0)</f>
        <v>4410</v>
      </c>
      <c r="J116" s="72">
        <f>IFERROR(__xludf.DUMMYFUNCTION("IF(A114="""","""", SUM(FILTER(FinishedData!$C:$C,YEAR(FinishedData!$A:$A)=YEAR($A114),WEEKNUM(FinishedData!$A:$A)=WEEKNUM($A114))))"),4280.0)</f>
        <v>4280</v>
      </c>
      <c r="K116" s="2"/>
      <c r="L116" s="2"/>
      <c r="M116" s="2"/>
      <c r="N116" s="2"/>
      <c r="O116" s="2"/>
      <c r="P116" s="2"/>
      <c r="Q116" s="2"/>
      <c r="R116" s="2"/>
      <c r="S116" s="2"/>
      <c r="T116" s="2"/>
      <c r="U116" s="2"/>
      <c r="V116" s="2"/>
      <c r="W116" s="2"/>
      <c r="X116" s="2"/>
      <c r="Y116" s="2"/>
      <c r="Z116" s="2"/>
    </row>
    <row r="117" ht="22.5" customHeight="1">
      <c r="A117" s="73" t="str">
        <f t="array" ref="A117">IFERROR(INDEX(FinishedData!$C:$C,MATCH(A114,FinishedData!$A:$A,0)),"")</f>
        <v/>
      </c>
      <c r="B117" s="73">
        <f t="array" ref="B117">IFERROR(INDEX(FinishedData!$C:$C,MATCH(B114,FinishedData!$A:$A,0)),"")</f>
        <v>755</v>
      </c>
      <c r="C117" s="73">
        <f t="array" ref="C117">IFERROR(INDEX(FinishedData!$C:$C,MATCH(C114,FinishedData!$A:$A,0)),"")</f>
        <v>930</v>
      </c>
      <c r="D117" s="73">
        <f t="array" ref="D117">IFERROR(INDEX(FinishedData!$C:$C,MATCH(D114,FinishedData!$A:$A,0)),"")</f>
        <v>670</v>
      </c>
      <c r="E117" s="73">
        <f t="array" ref="E117">IFERROR(INDEX(FinishedData!$C:$C,MATCH(E114,FinishedData!$A:$A,0)),"")</f>
        <v>830</v>
      </c>
      <c r="F117" s="73">
        <f t="array" ref="F117">IFERROR(INDEX(FinishedData!$C:$C,MATCH(F114,FinishedData!$A:$A,0)),"")</f>
        <v>505</v>
      </c>
      <c r="G117" s="73">
        <f t="array" ref="G117">IFERROR(INDEX(FinishedData!$C:$C,MATCH(G114,FinishedData!$A:$A,0)),"")</f>
        <v>590</v>
      </c>
      <c r="H117" s="2"/>
      <c r="I117" s="74" t="s">
        <v>49</v>
      </c>
      <c r="J117" s="75">
        <f>IFERROR(__xludf.DUMMYFUNCTION("IFERROR(IF(WEEKNUM($A$6)=1,($J116-SUM(FILTER(FinishedData!$C:$C,YEAR(FinishedData!$A:$A)=YEAR($A$6)-1,WEEKNUM(FinishedData!$A:$A)=WEEKNUM($A$6)+52)))/$I116,
($J116-SUM(FILTER(FinishedData!$C:$C,YEAR(FinishedData!$A:$A)=YEAR($A$6),WEEKNUM(FinishedData!$A:$"&amp;"A)=WEEKNUM($A$6)-1)))/$I116),"""")"),-0.02947845804988662)</f>
        <v>-0.02947845805</v>
      </c>
      <c r="K117" s="2"/>
      <c r="L117" s="2"/>
      <c r="M117" s="2"/>
      <c r="N117" s="2"/>
      <c r="O117" s="2"/>
      <c r="P117" s="2"/>
      <c r="Q117" s="2"/>
      <c r="R117" s="2"/>
      <c r="S117" s="2"/>
      <c r="T117" s="2"/>
      <c r="U117" s="2"/>
      <c r="V117" s="2"/>
      <c r="W117" s="2"/>
      <c r="X117" s="2"/>
      <c r="Y117" s="2"/>
      <c r="Z117" s="2"/>
    </row>
    <row r="118" ht="22.5" customHeight="1">
      <c r="A118" s="76">
        <f>IF(G114&gt;=$D$3,"",G114+1)</f>
        <v>44745</v>
      </c>
      <c r="B118" s="76">
        <f t="shared" ref="B118:G118" si="29">IF(A118&gt;=$D$3,"",A118+1)</f>
        <v>44746</v>
      </c>
      <c r="C118" s="76">
        <f t="shared" si="29"/>
        <v>44747</v>
      </c>
      <c r="D118" s="76">
        <f t="shared" si="29"/>
        <v>44748</v>
      </c>
      <c r="E118" s="76">
        <f t="shared" si="29"/>
        <v>44749</v>
      </c>
      <c r="F118" s="76">
        <f t="shared" si="29"/>
        <v>44750</v>
      </c>
      <c r="G118" s="76">
        <f t="shared" si="29"/>
        <v>44751</v>
      </c>
      <c r="H118" s="2"/>
      <c r="I118" s="2"/>
      <c r="J118" s="2"/>
      <c r="K118" s="2"/>
      <c r="L118" s="2"/>
      <c r="M118" s="2"/>
      <c r="N118" s="2"/>
      <c r="O118" s="2"/>
      <c r="P118" s="2"/>
      <c r="Q118" s="2"/>
      <c r="R118" s="2"/>
      <c r="S118" s="2"/>
      <c r="T118" s="2"/>
      <c r="U118" s="2"/>
      <c r="V118" s="2"/>
      <c r="W118" s="2"/>
      <c r="X118" s="2"/>
      <c r="Y118" s="2"/>
      <c r="Z118" s="2"/>
    </row>
    <row r="119" ht="22.5" customHeight="1">
      <c r="A119" s="42" t="str">
        <f t="array" ref="A119">IFERROR(INDEX(Lists2!$B:$B,MATCH(A120,Lists2!$A:$A,0)),"")</f>
        <v/>
      </c>
      <c r="B119" s="42" t="str">
        <f t="array" ref="B119">IFERROR(INDEX(Lists2!$B:$B,MATCH(B120,Lists2!$A:$A,0)),"")</f>
        <v/>
      </c>
      <c r="C119" s="42" t="str">
        <f t="array" ref="C119">IFERROR(INDEX(Lists2!$B:$B,MATCH(C120,Lists2!$A:$A,0)),"")</f>
        <v/>
      </c>
      <c r="D119" s="42" t="str">
        <f t="array" ref="D119">IFERROR(INDEX(Lists2!$B:$B,MATCH(D120,Lists2!$A:$A,0)),"")</f>
        <v/>
      </c>
      <c r="E119" s="42" t="str">
        <f t="array" ref="E119">IFERROR(INDEX(Lists2!$B:$B,MATCH(E120,Lists2!$A:$A,0)),"")</f>
        <v/>
      </c>
      <c r="F119" s="42" t="str">
        <f t="array" ref="F119">IFERROR(INDEX(Lists2!$B:$B,MATCH(F120,Lists2!$A:$A,0)),"")</f>
        <v/>
      </c>
      <c r="G119" s="42" t="str">
        <f t="array" ref="G119">IFERROR(INDEX(Lists2!$B:$B,MATCH(G120,Lists2!$A:$A,0)),"")</f>
        <v/>
      </c>
      <c r="H119" s="2"/>
      <c r="I119" s="71" t="str">
        <f>"Week of "&amp;TEXT(A118-7,"MM/DD")</f>
        <v>Week of 06/26</v>
      </c>
      <c r="J119" s="71" t="str">
        <f>"Week of "&amp;TEXT(A118,"MM/DD")</f>
        <v>Week of 07/03</v>
      </c>
      <c r="K119" s="2"/>
      <c r="L119" s="2"/>
      <c r="M119" s="2"/>
      <c r="N119" s="2"/>
      <c r="O119" s="2"/>
      <c r="P119" s="2"/>
      <c r="Q119" s="2"/>
      <c r="R119" s="2"/>
      <c r="S119" s="2"/>
      <c r="T119" s="2"/>
      <c r="U119" s="2"/>
      <c r="V119" s="2"/>
      <c r="W119" s="2"/>
      <c r="X119" s="2"/>
      <c r="Y119" s="2"/>
      <c r="Z119" s="2"/>
    </row>
    <row r="120" ht="22.5" customHeight="1">
      <c r="A120" s="42" t="str">
        <f t="array" ref="A120">IFERROR(INDEX(FinishedData!$B:$B,MATCH(A118,FinishedData!$A:$A,0)),"")</f>
        <v>Practice</v>
      </c>
      <c r="B120" s="42" t="str">
        <f t="array" ref="B120">IFERROR(INDEX(FinishedData!$B:$B,MATCH(B118,FinishedData!$A:$A,0)),"")</f>
        <v>Game</v>
      </c>
      <c r="C120" s="42" t="str">
        <f t="array" ref="C120">IFERROR(INDEX(FinishedData!$B:$B,MATCH(C118,FinishedData!$A:$A,0)),"")</f>
        <v>Off</v>
      </c>
      <c r="D120" s="42" t="str">
        <f t="array" ref="D120">IFERROR(INDEX(FinishedData!$B:$B,MATCH(D118,FinishedData!$A:$A,0)),"")</f>
        <v>Practice</v>
      </c>
      <c r="E120" s="42" t="str">
        <f t="array" ref="E120">IFERROR(INDEX(FinishedData!$B:$B,MATCH(E118,FinishedData!$A:$A,0)),"")</f>
        <v>Gym</v>
      </c>
      <c r="F120" s="42" t="str">
        <f t="array" ref="F120">IFERROR(INDEX(FinishedData!$B:$B,MATCH(F118,FinishedData!$A:$A,0)),"")</f>
        <v>Practice</v>
      </c>
      <c r="G120" s="42" t="str">
        <f t="array" ref="G120">IFERROR(INDEX(FinishedData!$B:$B,MATCH(G118,FinishedData!$A:$A,0)),"")</f>
        <v>Practice</v>
      </c>
      <c r="H120" s="2"/>
      <c r="I120" s="72">
        <f>IFERROR(__xludf.DUMMYFUNCTION("IF(A118="""","""",IF(WEEKNUM($A$6)=1,SUM(FILTER(FinishedData!$C:$C,YEAR(FinishedData!$A:$A)=YEAR($A$6)-1,WEEKNUM(FinishedData!$A:$A)=WEEKNUM($A$6)+52)),
SUM(FILTER(FinishedData!$C:$C,YEAR(FinishedData!$A:$A)=YEAR($A$6),WEEKNUM(FinishedData!$A:$A)=WEEKNUM("&amp;"$A$6)-1))))"),4410.0)</f>
        <v>4410</v>
      </c>
      <c r="J120" s="72">
        <f>IFERROR(__xludf.DUMMYFUNCTION("IF(A118="""","""", SUM(FILTER(FinishedData!$C:$C,YEAR(FinishedData!$A:$A)=YEAR($A118),WEEKNUM(FinishedData!$A:$A)=WEEKNUM($A118))))"),4710.0)</f>
        <v>4710</v>
      </c>
      <c r="K120" s="2"/>
      <c r="L120" s="2"/>
      <c r="M120" s="2"/>
      <c r="N120" s="2"/>
      <c r="O120" s="2"/>
      <c r="P120" s="2"/>
      <c r="Q120" s="2"/>
      <c r="R120" s="2"/>
      <c r="S120" s="2"/>
      <c r="T120" s="2"/>
      <c r="U120" s="2"/>
      <c r="V120" s="2"/>
      <c r="W120" s="2"/>
      <c r="X120" s="2"/>
      <c r="Y120" s="2"/>
      <c r="Z120" s="2"/>
    </row>
    <row r="121" ht="22.5" customHeight="1">
      <c r="A121" s="73">
        <f t="array" ref="A121">IFERROR(INDEX(FinishedData!$C:$C,MATCH(A118,FinishedData!$A:$A,0)),"")</f>
        <v>835</v>
      </c>
      <c r="B121" s="73">
        <f t="array" ref="B121">IFERROR(INDEX(FinishedData!$C:$C,MATCH(B118,FinishedData!$A:$A,0)),"")</f>
        <v>880</v>
      </c>
      <c r="C121" s="73" t="str">
        <f t="array" ref="C121">IFERROR(INDEX(FinishedData!$C:$C,MATCH(C118,FinishedData!$A:$A,0)),"")</f>
        <v/>
      </c>
      <c r="D121" s="73">
        <f t="array" ref="D121">IFERROR(INDEX(FinishedData!$C:$C,MATCH(D118,FinishedData!$A:$A,0)),"")</f>
        <v>760</v>
      </c>
      <c r="E121" s="73">
        <f t="array" ref="E121">IFERROR(INDEX(FinishedData!$C:$C,MATCH(E118,FinishedData!$A:$A,0)),"")</f>
        <v>705</v>
      </c>
      <c r="F121" s="73">
        <f t="array" ref="F121">IFERROR(INDEX(FinishedData!$C:$C,MATCH(F118,FinishedData!$A:$A,0)),"")</f>
        <v>790</v>
      </c>
      <c r="G121" s="73">
        <f t="array" ref="G121">IFERROR(INDEX(FinishedData!$C:$C,MATCH(G118,FinishedData!$A:$A,0)),"")</f>
        <v>740</v>
      </c>
      <c r="H121" s="2"/>
      <c r="I121" s="74" t="s">
        <v>47</v>
      </c>
      <c r="J121" s="75">
        <f>IFERROR(__xludf.DUMMYFUNCTION("IFERROR(IF(WEEKNUM($A$6)=1,($J120-SUM(FILTER(FinishedData!$C:$C,YEAR(FinishedData!$A:$A)=YEAR($A$6)-1,WEEKNUM(FinishedData!$A:$A)=WEEKNUM($A$6)+52)))/$I120,
($J120-SUM(FILTER(FinishedData!$C:$C,YEAR(FinishedData!$A:$A)=YEAR($A$6),WEEKNUM(FinishedData!$A:$"&amp;"A)=WEEKNUM($A$6)-1)))/$I120),"""")"),0.06802721088435375)</f>
        <v>0.06802721088</v>
      </c>
      <c r="K121" s="2"/>
      <c r="L121" s="2"/>
      <c r="M121" s="2"/>
      <c r="N121" s="2"/>
      <c r="O121" s="2"/>
      <c r="P121" s="2"/>
      <c r="Q121" s="2"/>
      <c r="R121" s="2"/>
      <c r="S121" s="2"/>
      <c r="T121" s="2"/>
      <c r="U121" s="2"/>
      <c r="V121" s="2"/>
      <c r="W121" s="2"/>
      <c r="X121" s="2"/>
      <c r="Y121" s="2"/>
      <c r="Z121" s="2"/>
    </row>
    <row r="122" ht="22.5" customHeight="1">
      <c r="A122" s="76">
        <f>IF(G118&gt;=$D$3,"",G118+1)</f>
        <v>44752</v>
      </c>
      <c r="B122" s="76">
        <f t="shared" ref="B122:G122" si="30">IF(A122&gt;=$D$3,"",A122+1)</f>
        <v>44753</v>
      </c>
      <c r="C122" s="76">
        <f t="shared" si="30"/>
        <v>44754</v>
      </c>
      <c r="D122" s="76">
        <f t="shared" si="30"/>
        <v>44755</v>
      </c>
      <c r="E122" s="76">
        <f t="shared" si="30"/>
        <v>44756</v>
      </c>
      <c r="F122" s="76">
        <f t="shared" si="30"/>
        <v>44757</v>
      </c>
      <c r="G122" s="76">
        <f t="shared" si="30"/>
        <v>44758</v>
      </c>
      <c r="H122" s="2"/>
      <c r="K122" s="2"/>
      <c r="L122" s="2"/>
      <c r="M122" s="2"/>
      <c r="N122" s="2"/>
      <c r="O122" s="2"/>
      <c r="P122" s="2"/>
      <c r="Q122" s="2"/>
      <c r="R122" s="2"/>
      <c r="S122" s="2"/>
      <c r="T122" s="2"/>
      <c r="U122" s="2"/>
      <c r="V122" s="2"/>
      <c r="W122" s="2"/>
      <c r="X122" s="2"/>
      <c r="Y122" s="2"/>
      <c r="Z122" s="2"/>
    </row>
    <row r="123" ht="22.5" customHeight="1">
      <c r="A123" s="42" t="str">
        <f t="array" ref="A123">IFERROR(INDEX(Lists2!$B:$B,MATCH(A124,Lists2!$A:$A,0)),"")</f>
        <v/>
      </c>
      <c r="B123" s="42" t="str">
        <f t="array" ref="B123">IFERROR(INDEX(Lists2!$B:$B,MATCH(B124,Lists2!$A:$A,0)),"")</f>
        <v/>
      </c>
      <c r="C123" s="42" t="str">
        <f t="array" ref="C123">IFERROR(INDEX(Lists2!$B:$B,MATCH(C124,Lists2!$A:$A,0)),"")</f>
        <v/>
      </c>
      <c r="D123" s="42" t="str">
        <f t="array" ref="D123">IFERROR(INDEX(Lists2!$B:$B,MATCH(D124,Lists2!$A:$A,0)),"")</f>
        <v/>
      </c>
      <c r="E123" s="42" t="str">
        <f t="array" ref="E123">IFERROR(INDEX(Lists2!$B:$B,MATCH(E124,Lists2!$A:$A,0)),"")</f>
        <v/>
      </c>
      <c r="F123" s="42" t="str">
        <f t="array" ref="F123">IFERROR(INDEX(Lists2!$B:$B,MATCH(F124,Lists2!$A:$A,0)),"")</f>
        <v/>
      </c>
      <c r="G123" s="42" t="str">
        <f t="array" ref="G123">IFERROR(INDEX(Lists2!$B:$B,MATCH(G124,Lists2!$A:$A,0)),"")</f>
        <v/>
      </c>
      <c r="H123" s="2"/>
      <c r="I123" s="71" t="str">
        <f>"Week of "&amp;TEXT(A122-7,"MM/DD")</f>
        <v>Week of 07/03</v>
      </c>
      <c r="J123" s="71" t="str">
        <f>"Week of "&amp;TEXT(A122,"MM/DD")</f>
        <v>Week of 07/10</v>
      </c>
      <c r="K123" s="2"/>
      <c r="L123" s="2"/>
      <c r="M123" s="2"/>
      <c r="N123" s="2"/>
      <c r="O123" s="2"/>
      <c r="P123" s="2"/>
      <c r="Q123" s="2"/>
      <c r="R123" s="2"/>
      <c r="S123" s="2"/>
      <c r="T123" s="2"/>
      <c r="U123" s="2"/>
      <c r="V123" s="2"/>
      <c r="W123" s="2"/>
      <c r="X123" s="2"/>
      <c r="Y123" s="2"/>
      <c r="Z123" s="2"/>
    </row>
    <row r="124" ht="22.5" customHeight="1">
      <c r="A124" s="42" t="str">
        <f t="array" ref="A124">IFERROR(INDEX(FinishedData!$B:$B,MATCH(A122,FinishedData!$A:$A,0)),"")</f>
        <v>Practice</v>
      </c>
      <c r="B124" s="42" t="str">
        <f t="array" ref="B124">IFERROR(INDEX(FinishedData!$B:$B,MATCH(B122,FinishedData!$A:$A,0)),"")</f>
        <v>Game</v>
      </c>
      <c r="C124" s="42" t="str">
        <f t="array" ref="C124">IFERROR(INDEX(FinishedData!$B:$B,MATCH(C122,FinishedData!$A:$A,0)),"")</f>
        <v>Off</v>
      </c>
      <c r="D124" s="42" t="str">
        <f t="array" ref="D124">IFERROR(INDEX(FinishedData!$B:$B,MATCH(D122,FinishedData!$A:$A,0)),"")</f>
        <v>Practice</v>
      </c>
      <c r="E124" s="42" t="str">
        <f t="array" ref="E124">IFERROR(INDEX(FinishedData!$B:$B,MATCH(E122,FinishedData!$A:$A,0)),"")</f>
        <v>Game</v>
      </c>
      <c r="F124" s="42" t="str">
        <f t="array" ref="F124">IFERROR(INDEX(FinishedData!$B:$B,MATCH(F122,FinishedData!$A:$A,0)),"")</f>
        <v>Practice</v>
      </c>
      <c r="G124" s="42" t="str">
        <f t="array" ref="G124">IFERROR(INDEX(FinishedData!$B:$B,MATCH(G122,FinishedData!$A:$A,0)),"")</f>
        <v>Practice</v>
      </c>
      <c r="H124" s="2"/>
      <c r="I124" s="72">
        <f>IFERROR(__xludf.DUMMYFUNCTION("IF(A122="""","""",IF(WEEKNUM($A$6)=1,SUM(FILTER(FinishedData!$C:$C,YEAR(FinishedData!$A:$A)=YEAR($A$6)-1,WEEKNUM(FinishedData!$A:$A)=WEEKNUM($A$6)+52)),
SUM(FILTER(FinishedData!$C:$C,YEAR(FinishedData!$A:$A)=YEAR($A$6),WEEKNUM(FinishedData!$A:$A)=WEEKNUM("&amp;"$A$6)-1))))"),4410.0)</f>
        <v>4410</v>
      </c>
      <c r="J124" s="72">
        <f>IFERROR(__xludf.DUMMYFUNCTION("IF(A122="""","""", SUM(FILTER(FinishedData!$C:$C,YEAR(FinishedData!$A:$A)=YEAR($A122),WEEKNUM(FinishedData!$A:$A)=WEEKNUM($A122))))"),4825.0)</f>
        <v>4825</v>
      </c>
      <c r="K124" s="2"/>
      <c r="L124" s="2"/>
      <c r="M124" s="2"/>
      <c r="N124" s="2"/>
      <c r="O124" s="2"/>
      <c r="P124" s="2"/>
      <c r="Q124" s="2"/>
      <c r="R124" s="2"/>
      <c r="S124" s="2"/>
      <c r="T124" s="2"/>
      <c r="U124" s="2"/>
      <c r="V124" s="2"/>
      <c r="W124" s="2"/>
      <c r="X124" s="2"/>
      <c r="Y124" s="2"/>
      <c r="Z124" s="2"/>
    </row>
    <row r="125" ht="22.5" customHeight="1">
      <c r="A125" s="73">
        <f t="array" ref="A125">IFERROR(INDEX(FinishedData!$C:$C,MATCH(A122,FinishedData!$A:$A,0)),"")</f>
        <v>510</v>
      </c>
      <c r="B125" s="73">
        <f t="array" ref="B125">IFERROR(INDEX(FinishedData!$C:$C,MATCH(B122,FinishedData!$A:$A,0)),"")</f>
        <v>890</v>
      </c>
      <c r="C125" s="73" t="str">
        <f t="array" ref="C125">IFERROR(INDEX(FinishedData!$C:$C,MATCH(C122,FinishedData!$A:$A,0)),"")</f>
        <v/>
      </c>
      <c r="D125" s="73">
        <f t="array" ref="D125">IFERROR(INDEX(FinishedData!$C:$C,MATCH(D122,FinishedData!$A:$A,0)),"")</f>
        <v>970</v>
      </c>
      <c r="E125" s="73">
        <f t="array" ref="E125">IFERROR(INDEX(FinishedData!$C:$C,MATCH(E122,FinishedData!$A:$A,0)),"")</f>
        <v>745</v>
      </c>
      <c r="F125" s="73">
        <f t="array" ref="F125">IFERROR(INDEX(FinishedData!$C:$C,MATCH(F122,FinishedData!$A:$A,0)),"")</f>
        <v>850</v>
      </c>
      <c r="G125" s="73">
        <f t="array" ref="G125">IFERROR(INDEX(FinishedData!$C:$C,MATCH(G122,FinishedData!$A:$A,0)),"")</f>
        <v>860</v>
      </c>
      <c r="H125" s="2"/>
      <c r="I125" s="74" t="s">
        <v>49</v>
      </c>
      <c r="J125" s="75">
        <f>IFERROR(__xludf.DUMMYFUNCTION("IFERROR(IF(WEEKNUM($A$6)=1,($J124-SUM(FILTER(FinishedData!$C:$C,YEAR(FinishedData!$A:$A)=YEAR($A$6)-1,WEEKNUM(FinishedData!$A:$A)=WEEKNUM($A$6)+52)))/$I124,
($J124-SUM(FILTER(FinishedData!$C:$C,YEAR(FinishedData!$A:$A)=YEAR($A$6),WEEKNUM(FinishedData!$A:$"&amp;"A)=WEEKNUM($A$6)-1)))/$I124),"""")"),0.09410430839002268)</f>
        <v>0.09410430839</v>
      </c>
      <c r="K125" s="2"/>
      <c r="L125" s="2"/>
      <c r="M125" s="2"/>
      <c r="N125" s="2"/>
      <c r="O125" s="2"/>
      <c r="P125" s="2"/>
      <c r="Q125" s="2"/>
      <c r="R125" s="2"/>
      <c r="S125" s="2"/>
      <c r="T125" s="2"/>
      <c r="U125" s="2"/>
      <c r="V125" s="2"/>
      <c r="W125" s="2"/>
      <c r="X125" s="2"/>
      <c r="Y125" s="2"/>
      <c r="Z125" s="2"/>
    </row>
    <row r="126" ht="22.5" customHeight="1">
      <c r="A126" s="76">
        <f>IF(G122&gt;=$D$3,"",G122+1)</f>
        <v>44759</v>
      </c>
      <c r="B126" s="76">
        <f t="shared" ref="B126:G126" si="31">IF(A126&gt;=$D$3,"",A126+1)</f>
        <v>44760</v>
      </c>
      <c r="C126" s="76">
        <f t="shared" si="31"/>
        <v>44761</v>
      </c>
      <c r="D126" s="76">
        <f t="shared" si="31"/>
        <v>44762</v>
      </c>
      <c r="E126" s="76">
        <f t="shared" si="31"/>
        <v>44763</v>
      </c>
      <c r="F126" s="76">
        <f t="shared" si="31"/>
        <v>44764</v>
      </c>
      <c r="G126" s="76">
        <f t="shared" si="31"/>
        <v>44765</v>
      </c>
      <c r="H126" s="2"/>
      <c r="I126" s="62"/>
      <c r="J126" s="7"/>
      <c r="K126" s="2"/>
      <c r="L126" s="2"/>
      <c r="M126" s="2"/>
      <c r="N126" s="2"/>
      <c r="O126" s="2"/>
      <c r="P126" s="2"/>
      <c r="Q126" s="2"/>
      <c r="R126" s="2"/>
      <c r="S126" s="2"/>
      <c r="T126" s="2"/>
      <c r="U126" s="2"/>
      <c r="V126" s="2"/>
      <c r="W126" s="2"/>
      <c r="X126" s="2"/>
      <c r="Y126" s="2"/>
      <c r="Z126" s="2"/>
    </row>
    <row r="127" ht="22.5" customHeight="1">
      <c r="A127" s="42" t="str">
        <f t="array" ref="A127">IFERROR(INDEX(Lists2!$B:$B,MATCH(A128,Lists2!$A:$A,0)),"")</f>
        <v/>
      </c>
      <c r="B127" s="42" t="str">
        <f t="array" ref="B127">IFERROR(INDEX(Lists2!$B:$B,MATCH(B128,Lists2!$A:$A,0)),"")</f>
        <v/>
      </c>
      <c r="C127" s="42" t="str">
        <f t="array" ref="C127">IFERROR(INDEX(Lists2!$B:$B,MATCH(C128,Lists2!$A:$A,0)),"")</f>
        <v/>
      </c>
      <c r="D127" s="42" t="str">
        <f t="array" ref="D127">IFERROR(INDEX(Lists2!$B:$B,MATCH(D128,Lists2!$A:$A,0)),"")</f>
        <v/>
      </c>
      <c r="E127" s="42" t="str">
        <f t="array" ref="E127">IFERROR(INDEX(Lists2!$B:$B,MATCH(E128,Lists2!$A:$A,0)),"")</f>
        <v/>
      </c>
      <c r="F127" s="42" t="str">
        <f t="array" ref="F127">IFERROR(INDEX(Lists2!$B:$B,MATCH(F128,Lists2!$A:$A,0)),"")</f>
        <v/>
      </c>
      <c r="G127" s="42" t="str">
        <f t="array" ref="G127">IFERROR(INDEX(Lists2!$B:$B,MATCH(G128,Lists2!$A:$A,0)),"")</f>
        <v/>
      </c>
      <c r="H127" s="2"/>
      <c r="I127" s="71" t="str">
        <f>"Week of "&amp;TEXT(A126-7,"MM/DD")</f>
        <v>Week of 07/10</v>
      </c>
      <c r="J127" s="71" t="str">
        <f>"Week of "&amp;TEXT(A126,"MM/DD")</f>
        <v>Week of 07/17</v>
      </c>
      <c r="K127" s="2"/>
      <c r="L127" s="2"/>
      <c r="M127" s="2"/>
      <c r="N127" s="2"/>
      <c r="O127" s="2"/>
      <c r="P127" s="2"/>
      <c r="Q127" s="2"/>
      <c r="R127" s="2"/>
      <c r="S127" s="2"/>
      <c r="T127" s="2"/>
      <c r="U127" s="2"/>
      <c r="V127" s="2"/>
      <c r="W127" s="2"/>
      <c r="X127" s="2"/>
      <c r="Y127" s="2"/>
      <c r="Z127" s="2"/>
    </row>
    <row r="128" ht="22.5" customHeight="1">
      <c r="A128" s="42" t="str">
        <f t="array" ref="A128">IFERROR(INDEX(FinishedData!$B:$B,MATCH(A126,FinishedData!$A:$A,0)),"")</f>
        <v>Game</v>
      </c>
      <c r="B128" s="42" t="str">
        <f t="array" ref="B128">IFERROR(INDEX(FinishedData!$B:$B,MATCH(B126,FinishedData!$A:$A,0)),"")</f>
        <v>Practice</v>
      </c>
      <c r="C128" s="42" t="str">
        <f t="array" ref="C128">IFERROR(INDEX(FinishedData!$B:$B,MATCH(C126,FinishedData!$A:$A,0)),"")</f>
        <v>Gym</v>
      </c>
      <c r="D128" s="42" t="str">
        <f t="array" ref="D128">IFERROR(INDEX(FinishedData!$B:$B,MATCH(D126,FinishedData!$A:$A,0)),"")</f>
        <v>Off</v>
      </c>
      <c r="E128" s="42" t="str">
        <f t="array" ref="E128">IFERROR(INDEX(FinishedData!$B:$B,MATCH(E126,FinishedData!$A:$A,0)),"")</f>
        <v>Practice</v>
      </c>
      <c r="F128" s="42" t="str">
        <f t="array" ref="F128">IFERROR(INDEX(FinishedData!$B:$B,MATCH(F126,FinishedData!$A:$A,0)),"")</f>
        <v>Practice</v>
      </c>
      <c r="G128" s="42" t="str">
        <f t="array" ref="G128">IFERROR(INDEX(FinishedData!$B:$B,MATCH(G126,FinishedData!$A:$A,0)),"")</f>
        <v>Game</v>
      </c>
      <c r="H128" s="2"/>
      <c r="I128" s="72">
        <f>IFERROR(__xludf.DUMMYFUNCTION("IF(A126="""","""",IF(WEEKNUM($A$6)=1,SUM(FILTER(FinishedData!$C:$C,YEAR(FinishedData!$A:$A)=YEAR($A$6)-1,WEEKNUM(FinishedData!$A:$A)=WEEKNUM($A$6)+52)),
SUM(FILTER(FinishedData!$C:$C,YEAR(FinishedData!$A:$A)=YEAR($A$6),WEEKNUM(FinishedData!$A:$A)=WEEKNUM("&amp;"$A$6)-1))))"),4410.0)</f>
        <v>4410</v>
      </c>
      <c r="J128" s="72">
        <f>IFERROR(__xludf.DUMMYFUNCTION("IF(A126="""","""", SUM(FILTER(FinishedData!$C:$C,YEAR(FinishedData!$A:$A)=YEAR($A126),WEEKNUM(FinishedData!$A:$A)=WEEKNUM($A126))))"),4015.0)</f>
        <v>4015</v>
      </c>
      <c r="K128" s="2"/>
      <c r="L128" s="2"/>
      <c r="M128" s="2"/>
      <c r="N128" s="2"/>
      <c r="O128" s="2"/>
      <c r="P128" s="2"/>
      <c r="Q128" s="2"/>
      <c r="R128" s="2"/>
      <c r="S128" s="2"/>
      <c r="T128" s="2"/>
      <c r="U128" s="2"/>
      <c r="V128" s="2"/>
      <c r="W128" s="2"/>
      <c r="X128" s="2"/>
      <c r="Y128" s="2"/>
      <c r="Z128" s="2"/>
    </row>
    <row r="129" ht="22.5" customHeight="1">
      <c r="A129" s="73">
        <f t="array" ref="A129">IFERROR(INDEX(FinishedData!$C:$C,MATCH(A126,FinishedData!$A:$A,0)),"")</f>
        <v>710</v>
      </c>
      <c r="B129" s="73">
        <f t="array" ref="B129">IFERROR(INDEX(FinishedData!$C:$C,MATCH(B126,FinishedData!$A:$A,0)),"")</f>
        <v>805</v>
      </c>
      <c r="C129" s="73">
        <f t="array" ref="C129">IFERROR(INDEX(FinishedData!$C:$C,MATCH(C126,FinishedData!$A:$A,0)),"")</f>
        <v>680</v>
      </c>
      <c r="D129" s="73" t="str">
        <f t="array" ref="D129">IFERROR(INDEX(FinishedData!$C:$C,MATCH(D126,FinishedData!$A:$A,0)),"")</f>
        <v/>
      </c>
      <c r="E129" s="73">
        <f t="array" ref="E129">IFERROR(INDEX(FinishedData!$C:$C,MATCH(E126,FinishedData!$A:$A,0)),"")</f>
        <v>660</v>
      </c>
      <c r="F129" s="73">
        <f t="array" ref="F129">IFERROR(INDEX(FinishedData!$C:$C,MATCH(F126,FinishedData!$A:$A,0)),"")</f>
        <v>535</v>
      </c>
      <c r="G129" s="73">
        <f t="array" ref="G129">IFERROR(INDEX(FinishedData!$C:$C,MATCH(G126,FinishedData!$A:$A,0)),"")</f>
        <v>625</v>
      </c>
      <c r="H129" s="2"/>
      <c r="I129" s="74" t="s">
        <v>47</v>
      </c>
      <c r="J129" s="75">
        <f>IFERROR(__xludf.DUMMYFUNCTION("IFERROR(IF(WEEKNUM($A$6)=1,($J128-SUM(FILTER(FinishedData!$C:$C,YEAR(FinishedData!$A:$A)=YEAR($A$6)-1,WEEKNUM(FinishedData!$A:$A)=WEEKNUM($A$6)+52)))/$I128,
($J128-SUM(FILTER(FinishedData!$C:$C,YEAR(FinishedData!$A:$A)=YEAR($A$6),WEEKNUM(FinishedData!$A:$"&amp;"A)=WEEKNUM($A$6)-1)))/$I128),"""")"),-0.08956916099773243)</f>
        <v>-0.089569161</v>
      </c>
      <c r="K129" s="2"/>
      <c r="L129" s="2"/>
      <c r="M129" s="2"/>
      <c r="N129" s="2"/>
      <c r="O129" s="2"/>
      <c r="P129" s="2"/>
      <c r="Q129" s="2"/>
      <c r="R129" s="2"/>
      <c r="S129" s="2"/>
      <c r="T129" s="2"/>
      <c r="U129" s="2"/>
      <c r="V129" s="2"/>
      <c r="W129" s="2"/>
      <c r="X129" s="2"/>
      <c r="Y129" s="2"/>
      <c r="Z129" s="2"/>
    </row>
    <row r="130" ht="22.5" customHeight="1">
      <c r="A130" s="76">
        <f>IF(G126&gt;=$D$3,"",G126+1)</f>
        <v>44766</v>
      </c>
      <c r="B130" s="76">
        <f t="shared" ref="B130:G130" si="32">IF(A130&gt;=$D$3,"",A130+1)</f>
        <v>44767</v>
      </c>
      <c r="C130" s="76">
        <f t="shared" si="32"/>
        <v>44768</v>
      </c>
      <c r="D130" s="76">
        <f t="shared" si="32"/>
        <v>44769</v>
      </c>
      <c r="E130" s="76">
        <f t="shared" si="32"/>
        <v>44770</v>
      </c>
      <c r="F130" s="76">
        <f t="shared" si="32"/>
        <v>44771</v>
      </c>
      <c r="G130" s="76">
        <f t="shared" si="32"/>
        <v>44772</v>
      </c>
      <c r="H130" s="2"/>
      <c r="K130" s="2"/>
      <c r="L130" s="2"/>
      <c r="M130" s="2"/>
      <c r="N130" s="2"/>
      <c r="O130" s="2"/>
      <c r="P130" s="2"/>
      <c r="Q130" s="2"/>
      <c r="R130" s="2"/>
      <c r="S130" s="2"/>
      <c r="T130" s="2"/>
      <c r="U130" s="2"/>
      <c r="V130" s="2"/>
      <c r="W130" s="2"/>
      <c r="X130" s="2"/>
      <c r="Y130" s="2"/>
      <c r="Z130" s="2"/>
    </row>
    <row r="131" ht="22.5" customHeight="1">
      <c r="A131" s="42" t="str">
        <f t="array" ref="A131">IFERROR(INDEX(Lists2!$B:$B,MATCH(A132,Lists2!$A:$A,0)),"")</f>
        <v/>
      </c>
      <c r="B131" s="42" t="str">
        <f t="array" ref="B131">IFERROR(INDEX(Lists2!$B:$B,MATCH(B132,Lists2!$A:$A,0)),"")</f>
        <v/>
      </c>
      <c r="C131" s="42" t="str">
        <f t="array" ref="C131">IFERROR(INDEX(Lists2!$B:$B,MATCH(C132,Lists2!$A:$A,0)),"")</f>
        <v/>
      </c>
      <c r="D131" s="42" t="str">
        <f t="array" ref="D131">IFERROR(INDEX(Lists2!$B:$B,MATCH(D132,Lists2!$A:$A,0)),"")</f>
        <v/>
      </c>
      <c r="E131" s="42" t="str">
        <f t="array" ref="E131">IFERROR(INDEX(Lists2!$B:$B,MATCH(E132,Lists2!$A:$A,0)),"")</f>
        <v/>
      </c>
      <c r="F131" s="42" t="str">
        <f t="array" ref="F131">IFERROR(INDEX(Lists2!$B:$B,MATCH(F132,Lists2!$A:$A,0)),"")</f>
        <v/>
      </c>
      <c r="G131" s="42" t="str">
        <f t="array" ref="G131">IFERROR(INDEX(Lists2!$B:$B,MATCH(G132,Lists2!$A:$A,0)),"")</f>
        <v/>
      </c>
      <c r="H131" s="2"/>
      <c r="I131" s="71" t="str">
        <f>"Week of "&amp;TEXT(A130-7,"MM/DD")</f>
        <v>Week of 07/17</v>
      </c>
      <c r="J131" s="71" t="str">
        <f>"Week of "&amp;TEXT(A130,"MM/DD")</f>
        <v>Week of 07/24</v>
      </c>
      <c r="K131" s="2"/>
      <c r="L131" s="2"/>
      <c r="M131" s="2"/>
      <c r="N131" s="2"/>
      <c r="O131" s="2"/>
      <c r="P131" s="2"/>
      <c r="Q131" s="2"/>
      <c r="R131" s="2"/>
      <c r="S131" s="2"/>
      <c r="T131" s="2"/>
      <c r="U131" s="2"/>
      <c r="V131" s="2"/>
      <c r="W131" s="2"/>
      <c r="X131" s="2"/>
      <c r="Y131" s="2"/>
      <c r="Z131" s="2"/>
    </row>
    <row r="132" ht="22.5" customHeight="1">
      <c r="A132" s="42" t="str">
        <f t="array" ref="A132">IFERROR(INDEX(FinishedData!$B:$B,MATCH(A130,FinishedData!$A:$A,0)),"")</f>
        <v>Game</v>
      </c>
      <c r="B132" s="42" t="str">
        <f t="array" ref="B132">IFERROR(INDEX(FinishedData!$B:$B,MATCH(B130,FinishedData!$A:$A,0)),"")</f>
        <v>Off</v>
      </c>
      <c r="C132" s="42" t="str">
        <f t="array" ref="C132">IFERROR(INDEX(FinishedData!$B:$B,MATCH(C130,FinishedData!$A:$A,0)),"")</f>
        <v>Practice</v>
      </c>
      <c r="D132" s="42" t="str">
        <f t="array" ref="D132">IFERROR(INDEX(FinishedData!$B:$B,MATCH(D130,FinishedData!$A:$A,0)),"")</f>
        <v>Gym</v>
      </c>
      <c r="E132" s="42" t="str">
        <f t="array" ref="E132">IFERROR(INDEX(FinishedData!$B:$B,MATCH(E130,FinishedData!$A:$A,0)),"")</f>
        <v>Practice</v>
      </c>
      <c r="F132" s="42" t="str">
        <f t="array" ref="F132">IFERROR(INDEX(FinishedData!$B:$B,MATCH(F130,FinishedData!$A:$A,0)),"")</f>
        <v>Practice</v>
      </c>
      <c r="G132" s="42" t="str">
        <f t="array" ref="G132">IFERROR(INDEX(FinishedData!$B:$B,MATCH(G130,FinishedData!$A:$A,0)),"")</f>
        <v>Game</v>
      </c>
      <c r="H132" s="2"/>
      <c r="I132" s="72">
        <f>IFERROR(__xludf.DUMMYFUNCTION("IF(A130="""","""",IF(WEEKNUM($A$6)=1,SUM(FILTER(FinishedData!$C:$C,YEAR(FinishedData!$A:$A)=YEAR($A$6)-1,WEEKNUM(FinishedData!$A:$A)=WEEKNUM($A$6)+52)),
SUM(FILTER(FinishedData!$C:$C,YEAR(FinishedData!$A:$A)=YEAR($A$6),WEEKNUM(FinishedData!$A:$A)=WEEKNUM("&amp;"$A$6)-1))))"),4410.0)</f>
        <v>4410</v>
      </c>
      <c r="J132" s="72">
        <f>IFERROR(__xludf.DUMMYFUNCTION("IF(A130="""","""", SUM(FILTER(FinishedData!$C:$C,YEAR(FinishedData!$A:$A)=YEAR($A130),WEEKNUM(FinishedData!$A:$A)=WEEKNUM($A130))))"),4530.0)</f>
        <v>4530</v>
      </c>
      <c r="K132" s="2"/>
      <c r="L132" s="2"/>
      <c r="M132" s="2"/>
      <c r="N132" s="2"/>
      <c r="O132" s="2"/>
      <c r="P132" s="2"/>
      <c r="Q132" s="2"/>
      <c r="R132" s="2"/>
      <c r="S132" s="2"/>
      <c r="T132" s="2"/>
      <c r="U132" s="2"/>
      <c r="V132" s="2"/>
      <c r="W132" s="2"/>
      <c r="X132" s="2"/>
      <c r="Y132" s="2"/>
      <c r="Z132" s="2"/>
    </row>
    <row r="133" ht="22.5" customHeight="1">
      <c r="A133" s="73">
        <f t="array" ref="A133">IFERROR(INDEX(FinishedData!$C:$C,MATCH(A130,FinishedData!$A:$A,0)),"")</f>
        <v>760</v>
      </c>
      <c r="B133" s="73" t="str">
        <f t="array" ref="B133">IFERROR(INDEX(FinishedData!$C:$C,MATCH(B130,FinishedData!$A:$A,0)),"")</f>
        <v/>
      </c>
      <c r="C133" s="73">
        <f t="array" ref="C133">IFERROR(INDEX(FinishedData!$C:$C,MATCH(C130,FinishedData!$A:$A,0)),"")</f>
        <v>840</v>
      </c>
      <c r="D133" s="73">
        <f t="array" ref="D133">IFERROR(INDEX(FinishedData!$C:$C,MATCH(D130,FinishedData!$A:$A,0)),"")</f>
        <v>620</v>
      </c>
      <c r="E133" s="73">
        <f t="array" ref="E133">IFERROR(INDEX(FinishedData!$C:$C,MATCH(E130,FinishedData!$A:$A,0)),"")</f>
        <v>935</v>
      </c>
      <c r="F133" s="73">
        <f t="array" ref="F133">IFERROR(INDEX(FinishedData!$C:$C,MATCH(F130,FinishedData!$A:$A,0)),"")</f>
        <v>825</v>
      </c>
      <c r="G133" s="73">
        <f t="array" ref="G133">IFERROR(INDEX(FinishedData!$C:$C,MATCH(G130,FinishedData!$A:$A,0)),"")</f>
        <v>550</v>
      </c>
      <c r="H133" s="2"/>
      <c r="I133" s="74" t="s">
        <v>49</v>
      </c>
      <c r="J133" s="75">
        <f>IFERROR(__xludf.DUMMYFUNCTION("IFERROR(IF(WEEKNUM($A$6)=1,($J132-SUM(FILTER(FinishedData!$C:$C,YEAR(FinishedData!$A:$A)=YEAR($A$6)-1,WEEKNUM(FinishedData!$A:$A)=WEEKNUM($A$6)+52)))/$I132,
($J132-SUM(FILTER(FinishedData!$C:$C,YEAR(FinishedData!$A:$A)=YEAR($A$6),WEEKNUM(FinishedData!$A:$"&amp;"A)=WEEKNUM($A$6)-1)))/$I132),"""")"),0.027210884353741496)</f>
        <v>0.02721088435</v>
      </c>
      <c r="K133" s="2"/>
      <c r="L133" s="2"/>
      <c r="M133" s="2"/>
      <c r="N133" s="2"/>
      <c r="O133" s="2"/>
      <c r="P133" s="2"/>
      <c r="Q133" s="2"/>
      <c r="R133" s="2"/>
      <c r="S133" s="2"/>
      <c r="T133" s="2"/>
      <c r="U133" s="2"/>
      <c r="V133" s="2"/>
      <c r="W133" s="2"/>
      <c r="X133" s="2"/>
      <c r="Y133" s="2"/>
      <c r="Z133" s="2"/>
    </row>
    <row r="134" ht="22.5" customHeight="1">
      <c r="A134" s="76">
        <f>IF(G130&gt;=$D$3,"",G130+1)</f>
        <v>44773</v>
      </c>
      <c r="B134" s="76">
        <f t="shared" ref="B134:G134" si="33">IF(A134&gt;=$D$3,"",A134+1)</f>
        <v>44774</v>
      </c>
      <c r="C134" s="76">
        <f t="shared" si="33"/>
        <v>44775</v>
      </c>
      <c r="D134" s="76">
        <f t="shared" si="33"/>
        <v>44776</v>
      </c>
      <c r="E134" s="76">
        <f t="shared" si="33"/>
        <v>44777</v>
      </c>
      <c r="F134" s="76">
        <f t="shared" si="33"/>
        <v>44778</v>
      </c>
      <c r="G134" s="76">
        <f t="shared" si="33"/>
        <v>44779</v>
      </c>
      <c r="H134" s="2"/>
      <c r="K134" s="2"/>
      <c r="L134" s="2"/>
      <c r="M134" s="2"/>
      <c r="N134" s="2"/>
      <c r="O134" s="2"/>
      <c r="P134" s="2"/>
      <c r="Q134" s="2"/>
      <c r="R134" s="2"/>
      <c r="S134" s="2"/>
      <c r="T134" s="2"/>
      <c r="U134" s="2"/>
      <c r="V134" s="2"/>
      <c r="W134" s="2"/>
      <c r="X134" s="2"/>
      <c r="Y134" s="2"/>
      <c r="Z134" s="2"/>
    </row>
    <row r="135" ht="22.5" customHeight="1">
      <c r="A135" s="42" t="str">
        <f t="array" ref="A135">IFERROR(INDEX(Lists2!$B:$B,MATCH(A136,Lists2!$A:$A,0)),"")</f>
        <v/>
      </c>
      <c r="B135" s="42" t="str">
        <f t="array" ref="B135">IFERROR(INDEX(Lists2!$B:$B,MATCH(B136,Lists2!$A:$A,0)),"")</f>
        <v/>
      </c>
      <c r="C135" s="42" t="str">
        <f t="array" ref="C135">IFERROR(INDEX(Lists2!$B:$B,MATCH(C136,Lists2!$A:$A,0)),"")</f>
        <v/>
      </c>
      <c r="D135" s="42" t="str">
        <f t="array" ref="D135">IFERROR(INDEX(Lists2!$B:$B,MATCH(D136,Lists2!$A:$A,0)),"")</f>
        <v/>
      </c>
      <c r="E135" s="42" t="str">
        <f t="array" ref="E135">IFERROR(INDEX(Lists2!$B:$B,MATCH(E136,Lists2!$A:$A,0)),"")</f>
        <v/>
      </c>
      <c r="F135" s="42" t="str">
        <f t="array" ref="F135">IFERROR(INDEX(Lists2!$B:$B,MATCH(F136,Lists2!$A:$A,0)),"")</f>
        <v/>
      </c>
      <c r="G135" s="42" t="str">
        <f t="array" ref="G135">IFERROR(INDEX(Lists2!$B:$B,MATCH(G136,Lists2!$A:$A,0)),"")</f>
        <v/>
      </c>
      <c r="H135" s="2"/>
      <c r="I135" s="71" t="str">
        <f>"Week of "&amp;TEXT(A134-7,"MM/DD")</f>
        <v>Week of 07/24</v>
      </c>
      <c r="J135" s="71" t="str">
        <f>"Week of "&amp;TEXT(A134,"MM/DD")</f>
        <v>Week of 07/31</v>
      </c>
      <c r="K135" s="2"/>
      <c r="L135" s="2"/>
      <c r="M135" s="2"/>
      <c r="N135" s="2"/>
      <c r="O135" s="2"/>
      <c r="P135" s="2"/>
      <c r="Q135" s="2"/>
      <c r="R135" s="2"/>
      <c r="S135" s="2"/>
      <c r="T135" s="2"/>
      <c r="U135" s="2"/>
      <c r="V135" s="2"/>
      <c r="W135" s="2"/>
      <c r="X135" s="2"/>
      <c r="Y135" s="2"/>
      <c r="Z135" s="2"/>
    </row>
    <row r="136" ht="22.5" customHeight="1">
      <c r="A136" s="42" t="str">
        <f t="array" ref="A136">IFERROR(INDEX(FinishedData!$B:$B,MATCH(A134,FinishedData!$A:$A,0)),"")</f>
        <v>Practice</v>
      </c>
      <c r="B136" s="42" t="str">
        <f t="array" ref="B136">IFERROR(INDEX(FinishedData!$B:$B,MATCH(B134,FinishedData!$A:$A,0)),"")</f>
        <v>Game</v>
      </c>
      <c r="C136" s="42" t="str">
        <f t="array" ref="C136">IFERROR(INDEX(FinishedData!$B:$B,MATCH(C134,FinishedData!$A:$A,0)),"")</f>
        <v>Off</v>
      </c>
      <c r="D136" s="42" t="str">
        <f t="array" ref="D136">IFERROR(INDEX(FinishedData!$B:$B,MATCH(D134,FinishedData!$A:$A,0)),"")</f>
        <v>Gym</v>
      </c>
      <c r="E136" s="42" t="str">
        <f t="array" ref="E136">IFERROR(INDEX(FinishedData!$B:$B,MATCH(E134,FinishedData!$A:$A,0)),"")</f>
        <v>Practice</v>
      </c>
      <c r="F136" s="42" t="str">
        <f t="array" ref="F136">IFERROR(INDEX(FinishedData!$B:$B,MATCH(F134,FinishedData!$A:$A,0)),"")</f>
        <v>Practice</v>
      </c>
      <c r="G136" s="42" t="str">
        <f t="array" ref="G136">IFERROR(INDEX(FinishedData!$B:$B,MATCH(G134,FinishedData!$A:$A,0)),"")</f>
        <v>Practice</v>
      </c>
      <c r="H136" s="2"/>
      <c r="I136" s="72">
        <f>IFERROR(__xludf.DUMMYFUNCTION("IF(A134="""","""",IF(WEEKNUM($A$6)=1,SUM(FILTER(FinishedData!$C:$C,YEAR(FinishedData!$A:$A)=YEAR($A$6)-1,WEEKNUM(FinishedData!$A:$A)=WEEKNUM($A$6)+52)),
SUM(FILTER(FinishedData!$C:$C,YEAR(FinishedData!$A:$A)=YEAR($A$6),WEEKNUM(FinishedData!$A:$A)=WEEKNUM("&amp;"$A$6)-1))))"),4410.0)</f>
        <v>4410</v>
      </c>
      <c r="J136" s="72">
        <f>IFERROR(__xludf.DUMMYFUNCTION("IF(A134="""","""", SUM(FILTER(FinishedData!$C:$C,YEAR(FinishedData!$A:$A)=YEAR($A134),WEEKNUM(FinishedData!$A:$A)=WEEKNUM($A134))))"),4030.0)</f>
        <v>4030</v>
      </c>
      <c r="K136" s="2"/>
      <c r="L136" s="2"/>
      <c r="M136" s="2"/>
      <c r="N136" s="2"/>
      <c r="O136" s="2"/>
      <c r="P136" s="2"/>
      <c r="Q136" s="2"/>
      <c r="R136" s="2"/>
      <c r="S136" s="2"/>
      <c r="T136" s="2"/>
      <c r="U136" s="2"/>
      <c r="V136" s="2"/>
      <c r="W136" s="2"/>
      <c r="X136" s="2"/>
      <c r="Y136" s="2"/>
      <c r="Z136" s="2"/>
    </row>
    <row r="137" ht="22.5" customHeight="1">
      <c r="A137" s="73">
        <f t="array" ref="A137">IFERROR(INDEX(FinishedData!$C:$C,MATCH(A134,FinishedData!$A:$A,0)),"")</f>
        <v>780</v>
      </c>
      <c r="B137" s="73">
        <f t="array" ref="B137">IFERROR(INDEX(FinishedData!$C:$C,MATCH(B134,FinishedData!$A:$A,0)),"")</f>
        <v>675</v>
      </c>
      <c r="C137" s="73" t="str">
        <f t="array" ref="C137">IFERROR(INDEX(FinishedData!$C:$C,MATCH(C134,FinishedData!$A:$A,0)),"")</f>
        <v/>
      </c>
      <c r="D137" s="73">
        <f t="array" ref="D137">IFERROR(INDEX(FinishedData!$C:$C,MATCH(D134,FinishedData!$A:$A,0)),"")</f>
        <v>790</v>
      </c>
      <c r="E137" s="73">
        <f t="array" ref="E137">IFERROR(INDEX(FinishedData!$C:$C,MATCH(E134,FinishedData!$A:$A,0)),"")</f>
        <v>555</v>
      </c>
      <c r="F137" s="73">
        <f t="array" ref="F137">IFERROR(INDEX(FinishedData!$C:$C,MATCH(F134,FinishedData!$A:$A,0)),"")</f>
        <v>540</v>
      </c>
      <c r="G137" s="73">
        <f t="array" ref="G137">IFERROR(INDEX(FinishedData!$C:$C,MATCH(G134,FinishedData!$A:$A,0)),"")</f>
        <v>690</v>
      </c>
      <c r="H137" s="2"/>
      <c r="I137" s="74" t="s">
        <v>47</v>
      </c>
      <c r="J137" s="75">
        <f>IFERROR(__xludf.DUMMYFUNCTION("IFERROR(IF(WEEKNUM($A$6)=1,($J136-SUM(FILTER(FinishedData!$C:$C,YEAR(FinishedData!$A:$A)=YEAR($A$6)-1,WEEKNUM(FinishedData!$A:$A)=WEEKNUM($A$6)+52)))/$I136,
($J136-SUM(FILTER(FinishedData!$C:$C,YEAR(FinishedData!$A:$A)=YEAR($A$6),WEEKNUM(FinishedData!$A:$"&amp;"A)=WEEKNUM($A$6)-1)))/$I136),"""")"),-0.08616780045351474)</f>
        <v>-0.08616780045</v>
      </c>
      <c r="K137" s="2"/>
      <c r="L137" s="2"/>
      <c r="M137" s="2"/>
      <c r="N137" s="2"/>
      <c r="O137" s="2"/>
      <c r="P137" s="2"/>
      <c r="Q137" s="2"/>
      <c r="R137" s="2"/>
      <c r="S137" s="2"/>
      <c r="T137" s="2"/>
      <c r="U137" s="2"/>
      <c r="V137" s="2"/>
      <c r="W137" s="2"/>
      <c r="X137" s="2"/>
      <c r="Y137" s="2"/>
      <c r="Z137" s="2"/>
    </row>
    <row r="138" ht="22.5" customHeight="1">
      <c r="A138" s="76">
        <f>IF(G134&gt;=$D$3,"",G134+1)</f>
        <v>44780</v>
      </c>
      <c r="B138" s="76">
        <f t="shared" ref="B138:G138" si="34">IF(A138&gt;=$D$3,"",A138+1)</f>
        <v>44781</v>
      </c>
      <c r="C138" s="76">
        <f t="shared" si="34"/>
        <v>44782</v>
      </c>
      <c r="D138" s="76">
        <f t="shared" si="34"/>
        <v>44783</v>
      </c>
      <c r="E138" s="76">
        <f t="shared" si="34"/>
        <v>44784</v>
      </c>
      <c r="F138" s="76">
        <f t="shared" si="34"/>
        <v>44785</v>
      </c>
      <c r="G138" s="76">
        <f t="shared" si="34"/>
        <v>44786</v>
      </c>
      <c r="H138" s="2"/>
      <c r="K138" s="2"/>
      <c r="L138" s="2"/>
      <c r="M138" s="2"/>
      <c r="N138" s="2"/>
      <c r="O138" s="2"/>
      <c r="P138" s="2"/>
      <c r="Q138" s="2"/>
      <c r="R138" s="2"/>
      <c r="S138" s="2"/>
      <c r="T138" s="2"/>
      <c r="U138" s="2"/>
      <c r="V138" s="2"/>
      <c r="W138" s="2"/>
      <c r="X138" s="2"/>
      <c r="Y138" s="2"/>
      <c r="Z138" s="2"/>
    </row>
    <row r="139" ht="22.5" customHeight="1">
      <c r="A139" s="42" t="str">
        <f t="array" ref="A139">IFERROR(INDEX(Lists2!$B:$B,MATCH(A140,Lists2!$A:$A,0)),"")</f>
        <v/>
      </c>
      <c r="B139" s="42" t="str">
        <f t="array" ref="B139">IFERROR(INDEX(Lists2!$B:$B,MATCH(B140,Lists2!$A:$A,0)),"")</f>
        <v/>
      </c>
      <c r="C139" s="42" t="str">
        <f t="array" ref="C139">IFERROR(INDEX(Lists2!$B:$B,MATCH(C140,Lists2!$A:$A,0)),"")</f>
        <v/>
      </c>
      <c r="D139" s="42" t="str">
        <f t="array" ref="D139">IFERROR(INDEX(Lists2!$B:$B,MATCH(D140,Lists2!$A:$A,0)),"")</f>
        <v/>
      </c>
      <c r="E139" s="42" t="str">
        <f t="array" ref="E139">IFERROR(INDEX(Lists2!$B:$B,MATCH(E140,Lists2!$A:$A,0)),"")</f>
        <v/>
      </c>
      <c r="F139" s="42" t="str">
        <f t="array" ref="F139">IFERROR(INDEX(Lists2!$B:$B,MATCH(F140,Lists2!$A:$A,0)),"")</f>
        <v/>
      </c>
      <c r="G139" s="42" t="str">
        <f t="array" ref="G139">IFERROR(INDEX(Lists2!$B:$B,MATCH(G140,Lists2!$A:$A,0)),"")</f>
        <v/>
      </c>
      <c r="H139" s="2"/>
      <c r="I139" s="71" t="str">
        <f>"Week of "&amp;TEXT(A138-7,"MM/DD")</f>
        <v>Week of 07/31</v>
      </c>
      <c r="J139" s="71" t="str">
        <f>"Week of "&amp;TEXT(A138,"MM/DD")</f>
        <v>Week of 08/07</v>
      </c>
      <c r="K139" s="2"/>
      <c r="L139" s="2"/>
      <c r="M139" s="2"/>
      <c r="N139" s="2"/>
      <c r="O139" s="2"/>
      <c r="P139" s="2"/>
      <c r="Q139" s="2"/>
      <c r="R139" s="2"/>
      <c r="S139" s="2"/>
      <c r="T139" s="2"/>
      <c r="U139" s="2"/>
      <c r="V139" s="2"/>
      <c r="W139" s="2"/>
      <c r="X139" s="2"/>
      <c r="Y139" s="2"/>
      <c r="Z139" s="2"/>
    </row>
    <row r="140" ht="22.5" customHeight="1">
      <c r="A140" s="42" t="str">
        <f t="array" ref="A140">IFERROR(INDEX(FinishedData!$B:$B,MATCH(A138,FinishedData!$A:$A,0)),"")</f>
        <v>Game</v>
      </c>
      <c r="B140" s="42" t="str">
        <f t="array" ref="B140">IFERROR(INDEX(FinishedData!$B:$B,MATCH(B138,FinishedData!$A:$A,0)),"")</f>
        <v>Game</v>
      </c>
      <c r="C140" s="42" t="str">
        <f t="array" ref="C140">IFERROR(INDEX(FinishedData!$B:$B,MATCH(C138,FinishedData!$A:$A,0)),"")</f>
        <v>Off</v>
      </c>
      <c r="D140" s="42" t="str">
        <f t="array" ref="D140">IFERROR(INDEX(FinishedData!$B:$B,MATCH(D138,FinishedData!$A:$A,0)),"")</f>
        <v>Practice</v>
      </c>
      <c r="E140" s="42" t="str">
        <f t="array" ref="E140">IFERROR(INDEX(FinishedData!$B:$B,MATCH(E138,FinishedData!$A:$A,0)),"")</f>
        <v>Game</v>
      </c>
      <c r="F140" s="42" t="str">
        <f t="array" ref="F140">IFERROR(INDEX(FinishedData!$B:$B,MATCH(F138,FinishedData!$A:$A,0)),"")</f>
        <v>Practice</v>
      </c>
      <c r="G140" s="42" t="str">
        <f t="array" ref="G140">IFERROR(INDEX(FinishedData!$B:$B,MATCH(G138,FinishedData!$A:$A,0)),"")</f>
        <v>Practice</v>
      </c>
      <c r="H140" s="2"/>
      <c r="I140" s="72">
        <f>IFERROR(__xludf.DUMMYFUNCTION("IF(A138="""","""",IF(WEEKNUM($A$6)=1,SUM(FILTER(FinishedData!$C:$C,YEAR(FinishedData!$A:$A)=YEAR($A$6)-1,WEEKNUM(FinishedData!$A:$A)=WEEKNUM($A$6)+52)),
SUM(FILTER(FinishedData!$C:$C,YEAR(FinishedData!$A:$A)=YEAR($A$6),WEEKNUM(FinishedData!$A:$A)=WEEKNUM("&amp;"$A$6)-1))))"),4410.0)</f>
        <v>4410</v>
      </c>
      <c r="J140" s="72">
        <f>IFERROR(__xludf.DUMMYFUNCTION("IF(A138="""","""", SUM(FILTER(FinishedData!$C:$C,YEAR(FinishedData!$A:$A)=YEAR($A138),WEEKNUM(FinishedData!$A:$A)=WEEKNUM($A138))))"),4070.0)</f>
        <v>4070</v>
      </c>
      <c r="K140" s="2"/>
      <c r="L140" s="2"/>
      <c r="M140" s="2"/>
      <c r="N140" s="2"/>
      <c r="O140" s="2"/>
      <c r="P140" s="2"/>
      <c r="Q140" s="2"/>
      <c r="R140" s="2"/>
      <c r="S140" s="2"/>
      <c r="T140" s="2"/>
      <c r="U140" s="2"/>
      <c r="V140" s="2"/>
      <c r="W140" s="2"/>
      <c r="X140" s="2"/>
      <c r="Y140" s="2"/>
      <c r="Z140" s="2"/>
    </row>
    <row r="141" ht="22.5" customHeight="1">
      <c r="A141" s="73">
        <f t="array" ref="A141">IFERROR(INDEX(FinishedData!$C:$C,MATCH(A138,FinishedData!$A:$A,0)),"")</f>
        <v>620</v>
      </c>
      <c r="B141" s="73">
        <f t="array" ref="B141">IFERROR(INDEX(FinishedData!$C:$C,MATCH(B138,FinishedData!$A:$A,0)),"")</f>
        <v>870</v>
      </c>
      <c r="C141" s="73" t="str">
        <f t="array" ref="C141">IFERROR(INDEX(FinishedData!$C:$C,MATCH(C138,FinishedData!$A:$A,0)),"")</f>
        <v/>
      </c>
      <c r="D141" s="73">
        <f t="array" ref="D141">IFERROR(INDEX(FinishedData!$C:$C,MATCH(D138,FinishedData!$A:$A,0)),"")</f>
        <v>560</v>
      </c>
      <c r="E141" s="73">
        <f t="array" ref="E141">IFERROR(INDEX(FinishedData!$C:$C,MATCH(E138,FinishedData!$A:$A,0)),"")</f>
        <v>550</v>
      </c>
      <c r="F141" s="73">
        <f t="array" ref="F141">IFERROR(INDEX(FinishedData!$C:$C,MATCH(F138,FinishedData!$A:$A,0)),"")</f>
        <v>730</v>
      </c>
      <c r="G141" s="73">
        <f t="array" ref="G141">IFERROR(INDEX(FinishedData!$C:$C,MATCH(G138,FinishedData!$A:$A,0)),"")</f>
        <v>740</v>
      </c>
      <c r="H141" s="2"/>
      <c r="I141" s="74" t="s">
        <v>49</v>
      </c>
      <c r="J141" s="75">
        <f>IFERROR(__xludf.DUMMYFUNCTION("IFERROR(IF(WEEKNUM($A$6)=1,($J140-SUM(FILTER(FinishedData!$C:$C,YEAR(FinishedData!$A:$A)=YEAR($A$6)-1,WEEKNUM(FinishedData!$A:$A)=WEEKNUM($A$6)+52)))/$I140,
($J140-SUM(FILTER(FinishedData!$C:$C,YEAR(FinishedData!$A:$A)=YEAR($A$6),WEEKNUM(FinishedData!$A:$"&amp;"A)=WEEKNUM($A$6)-1)))/$I140),"""")"),-0.07709750566893424)</f>
        <v>-0.07709750567</v>
      </c>
      <c r="K141" s="2"/>
      <c r="L141" s="2"/>
      <c r="M141" s="2"/>
      <c r="N141" s="2"/>
      <c r="O141" s="2"/>
      <c r="P141" s="2"/>
      <c r="Q141" s="2"/>
      <c r="R141" s="2"/>
      <c r="S141" s="2"/>
      <c r="T141" s="2"/>
      <c r="U141" s="2"/>
      <c r="V141" s="2"/>
      <c r="W141" s="2"/>
      <c r="X141" s="2"/>
      <c r="Y141" s="2"/>
      <c r="Z141" s="2"/>
    </row>
    <row r="142" ht="22.5" customHeight="1">
      <c r="A142" s="76">
        <f>IF(G138&gt;=$D$3,"",G138+1)</f>
        <v>44787</v>
      </c>
      <c r="B142" s="76">
        <f t="shared" ref="B142:G142" si="35">IF(A142&gt;=$D$3,"",A142+1)</f>
        <v>44788</v>
      </c>
      <c r="C142" s="76">
        <f t="shared" si="35"/>
        <v>44789</v>
      </c>
      <c r="D142" s="76">
        <f t="shared" si="35"/>
        <v>44790</v>
      </c>
      <c r="E142" s="76">
        <f t="shared" si="35"/>
        <v>44791</v>
      </c>
      <c r="F142" s="76">
        <f t="shared" si="35"/>
        <v>44792</v>
      </c>
      <c r="G142" s="76">
        <f t="shared" si="35"/>
        <v>44793</v>
      </c>
      <c r="H142" s="2"/>
      <c r="I142" s="2"/>
      <c r="J142" s="2"/>
      <c r="K142" s="2"/>
      <c r="L142" s="2"/>
      <c r="M142" s="2"/>
      <c r="N142" s="2"/>
      <c r="O142" s="2"/>
      <c r="P142" s="2"/>
      <c r="Q142" s="2"/>
      <c r="R142" s="2"/>
      <c r="S142" s="2"/>
      <c r="T142" s="2"/>
      <c r="U142" s="2"/>
      <c r="V142" s="2"/>
      <c r="W142" s="2"/>
      <c r="X142" s="2"/>
      <c r="Y142" s="2"/>
      <c r="Z142" s="2"/>
    </row>
    <row r="143" ht="22.5" customHeight="1">
      <c r="A143" s="42" t="str">
        <f t="array" ref="A143">IFERROR(INDEX(Lists2!$B:$B,MATCH(A144,Lists2!$A:$A,0)),"")</f>
        <v/>
      </c>
      <c r="B143" s="42" t="str">
        <f t="array" ref="B143">IFERROR(INDEX(Lists2!$B:$B,MATCH(B144,Lists2!$A:$A,0)),"")</f>
        <v/>
      </c>
      <c r="C143" s="42" t="str">
        <f t="array" ref="C143">IFERROR(INDEX(Lists2!$B:$B,MATCH(C144,Lists2!$A:$A,0)),"")</f>
        <v/>
      </c>
      <c r="D143" s="42" t="str">
        <f t="array" ref="D143">IFERROR(INDEX(Lists2!$B:$B,MATCH(D144,Lists2!$A:$A,0)),"")</f>
        <v/>
      </c>
      <c r="E143" s="42" t="str">
        <f t="array" ref="E143">IFERROR(INDEX(Lists2!$B:$B,MATCH(E144,Lists2!$A:$A,0)),"")</f>
        <v/>
      </c>
      <c r="F143" s="42" t="str">
        <f t="array" ref="F143">IFERROR(INDEX(Lists2!$B:$B,MATCH(F144,Lists2!$A:$A,0)),"")</f>
        <v/>
      </c>
      <c r="G143" s="42" t="str">
        <f t="array" ref="G143">IFERROR(INDEX(Lists2!$B:$B,MATCH(G144,Lists2!$A:$A,0)),"")</f>
        <v/>
      </c>
      <c r="H143" s="2"/>
      <c r="I143" s="71" t="str">
        <f>"Week of "&amp;TEXT(A142-7,"MM/DD")</f>
        <v>Week of 08/07</v>
      </c>
      <c r="J143" s="71" t="str">
        <f>"Week of "&amp;TEXT(A142,"MM/DD")</f>
        <v>Week of 08/14</v>
      </c>
      <c r="K143" s="2"/>
      <c r="L143" s="2"/>
      <c r="M143" s="2"/>
      <c r="N143" s="2"/>
      <c r="O143" s="2"/>
      <c r="P143" s="2"/>
      <c r="Q143" s="2"/>
      <c r="R143" s="2"/>
      <c r="S143" s="2"/>
      <c r="T143" s="2"/>
      <c r="U143" s="2"/>
      <c r="V143" s="2"/>
      <c r="W143" s="2"/>
      <c r="X143" s="2"/>
      <c r="Y143" s="2"/>
      <c r="Z143" s="2"/>
    </row>
    <row r="144" ht="22.5" customHeight="1">
      <c r="A144" s="42" t="str">
        <f t="array" ref="A144">IFERROR(INDEX(FinishedData!$B:$B,MATCH(A142,FinishedData!$A:$A,0)),"")</f>
        <v>Practice</v>
      </c>
      <c r="B144" s="42" t="str">
        <f t="array" ref="B144">IFERROR(INDEX(FinishedData!$B:$B,MATCH(B142,FinishedData!$A:$A,0)),"")</f>
        <v>Game</v>
      </c>
      <c r="C144" s="42" t="str">
        <f t="array" ref="C144">IFERROR(INDEX(FinishedData!$B:$B,MATCH(C142,FinishedData!$A:$A,0)),"")</f>
        <v>Practice</v>
      </c>
      <c r="D144" s="42" t="str">
        <f t="array" ref="D144">IFERROR(INDEX(FinishedData!$B:$B,MATCH(D142,FinishedData!$A:$A,0)),"")</f>
        <v>Practice</v>
      </c>
      <c r="E144" s="42" t="str">
        <f t="array" ref="E144">IFERROR(INDEX(FinishedData!$B:$B,MATCH(E142,FinishedData!$A:$A,0)),"")</f>
        <v>Game</v>
      </c>
      <c r="F144" s="42" t="str">
        <f t="array" ref="F144">IFERROR(INDEX(FinishedData!$B:$B,MATCH(F142,FinishedData!$A:$A,0)),"")</f>
        <v>Off</v>
      </c>
      <c r="G144" s="42" t="str">
        <f t="array" ref="G144">IFERROR(INDEX(FinishedData!$B:$B,MATCH(G142,FinishedData!$A:$A,0)),"")</f>
        <v>Practice</v>
      </c>
      <c r="H144" s="2"/>
      <c r="I144" s="72">
        <f>IFERROR(__xludf.DUMMYFUNCTION("IF(A142="""","""",IF(WEEKNUM($A$6)=1,SUM(FILTER(FinishedData!$C:$C,YEAR(FinishedData!$A:$A)=YEAR($A$6)-1,WEEKNUM(FinishedData!$A:$A)=WEEKNUM($A$6)+52)),
SUM(FILTER(FinishedData!$C:$C,YEAR(FinishedData!$A:$A)=YEAR($A$6),WEEKNUM(FinishedData!$A:$A)=WEEKNUM("&amp;"$A$6)-1))))"),4410.0)</f>
        <v>4410</v>
      </c>
      <c r="J144" s="72">
        <f>IFERROR(__xludf.DUMMYFUNCTION("IF(A142="""","""", SUM(FILTER(FinishedData!$C:$C,YEAR(FinishedData!$A:$A)=YEAR($A142),WEEKNUM(FinishedData!$A:$A)=WEEKNUM($A142))))"),4745.0)</f>
        <v>4745</v>
      </c>
      <c r="K144" s="2"/>
      <c r="L144" s="2"/>
      <c r="M144" s="2"/>
      <c r="N144" s="2"/>
      <c r="O144" s="2"/>
      <c r="P144" s="2"/>
      <c r="Q144" s="2"/>
      <c r="R144" s="2"/>
      <c r="S144" s="2"/>
      <c r="T144" s="2"/>
      <c r="U144" s="2"/>
      <c r="V144" s="2"/>
      <c r="W144" s="2"/>
      <c r="X144" s="2"/>
      <c r="Y144" s="2"/>
      <c r="Z144" s="2"/>
    </row>
    <row r="145" ht="22.5" customHeight="1">
      <c r="A145" s="73">
        <f t="array" ref="A145">IFERROR(INDEX(FinishedData!$C:$C,MATCH(A142,FinishedData!$A:$A,0)),"")</f>
        <v>950</v>
      </c>
      <c r="B145" s="73">
        <f t="array" ref="B145">IFERROR(INDEX(FinishedData!$C:$C,MATCH(B142,FinishedData!$A:$A,0)),"")</f>
        <v>570</v>
      </c>
      <c r="C145" s="73">
        <f t="array" ref="C145">IFERROR(INDEX(FinishedData!$C:$C,MATCH(C142,FinishedData!$A:$A,0)),"")</f>
        <v>880</v>
      </c>
      <c r="D145" s="73">
        <f t="array" ref="D145">IFERROR(INDEX(FinishedData!$C:$C,MATCH(D142,FinishedData!$A:$A,0)),"")</f>
        <v>965</v>
      </c>
      <c r="E145" s="73">
        <f t="array" ref="E145">IFERROR(INDEX(FinishedData!$C:$C,MATCH(E142,FinishedData!$A:$A,0)),"")</f>
        <v>875</v>
      </c>
      <c r="F145" s="73" t="str">
        <f t="array" ref="F145">IFERROR(INDEX(FinishedData!$C:$C,MATCH(F142,FinishedData!$A:$A,0)),"")</f>
        <v/>
      </c>
      <c r="G145" s="73">
        <f t="array" ref="G145">IFERROR(INDEX(FinishedData!$C:$C,MATCH(G142,FinishedData!$A:$A,0)),"")</f>
        <v>505</v>
      </c>
      <c r="H145" s="2"/>
      <c r="I145" s="74" t="s">
        <v>47</v>
      </c>
      <c r="J145" s="75">
        <f>IFERROR(__xludf.DUMMYFUNCTION("IFERROR(IF(WEEKNUM($A$6)=1,($J144-SUM(FILTER(FinishedData!$C:$C,YEAR(FinishedData!$A:$A)=YEAR($A$6)-1,WEEKNUM(FinishedData!$A:$A)=WEEKNUM($A$6)+52)))/$I144,
($J144-SUM(FILTER(FinishedData!$C:$C,YEAR(FinishedData!$A:$A)=YEAR($A$6),WEEKNUM(FinishedData!$A:$"&amp;"A)=WEEKNUM($A$6)-1)))/$I144),"""")"),0.07596371882086168)</f>
        <v>0.07596371882</v>
      </c>
      <c r="K145" s="2"/>
      <c r="L145" s="2"/>
      <c r="M145" s="2"/>
      <c r="N145" s="2"/>
      <c r="O145" s="2"/>
      <c r="P145" s="2"/>
      <c r="Q145" s="2"/>
      <c r="R145" s="2"/>
      <c r="S145" s="2"/>
      <c r="T145" s="2"/>
      <c r="U145" s="2"/>
      <c r="V145" s="2"/>
      <c r="W145" s="2"/>
      <c r="X145" s="2"/>
      <c r="Y145" s="2"/>
      <c r="Z145" s="2"/>
    </row>
    <row r="146" ht="22.5" customHeight="1">
      <c r="A146" s="76">
        <f>IF(G142&gt;=$D$3,"",G142+1)</f>
        <v>44794</v>
      </c>
      <c r="B146" s="76">
        <f t="shared" ref="B146:G146" si="36">IF(A146&gt;=$D$3,"",A146+1)</f>
        <v>44795</v>
      </c>
      <c r="C146" s="76">
        <f t="shared" si="36"/>
        <v>44796</v>
      </c>
      <c r="D146" s="76">
        <f t="shared" si="36"/>
        <v>44797</v>
      </c>
      <c r="E146" s="76">
        <f t="shared" si="36"/>
        <v>44798</v>
      </c>
      <c r="F146" s="76">
        <f t="shared" si="36"/>
        <v>44799</v>
      </c>
      <c r="G146" s="76">
        <f t="shared" si="36"/>
        <v>44800</v>
      </c>
      <c r="H146" s="2"/>
      <c r="K146" s="2"/>
      <c r="L146" s="2"/>
      <c r="M146" s="2"/>
      <c r="N146" s="2"/>
      <c r="O146" s="2"/>
      <c r="P146" s="2"/>
      <c r="Q146" s="2"/>
      <c r="R146" s="2"/>
      <c r="S146" s="2"/>
      <c r="T146" s="2"/>
      <c r="U146" s="2"/>
      <c r="V146" s="2"/>
      <c r="W146" s="2"/>
      <c r="X146" s="2"/>
      <c r="Y146" s="2"/>
      <c r="Z146" s="2"/>
    </row>
    <row r="147" ht="22.5" customHeight="1">
      <c r="A147" s="42" t="str">
        <f t="array" ref="A147">IFERROR(INDEX(Lists2!$B:$B,MATCH(A148,Lists2!$A:$A,0)),"")</f>
        <v/>
      </c>
      <c r="B147" s="42" t="str">
        <f t="array" ref="B147">IFERROR(INDEX(Lists2!$B:$B,MATCH(B148,Lists2!$A:$A,0)),"")</f>
        <v/>
      </c>
      <c r="C147" s="42" t="str">
        <f t="array" ref="C147">IFERROR(INDEX(Lists2!$B:$B,MATCH(C148,Lists2!$A:$A,0)),"")</f>
        <v/>
      </c>
      <c r="D147" s="42" t="str">
        <f t="array" ref="D147">IFERROR(INDEX(Lists2!$B:$B,MATCH(D148,Lists2!$A:$A,0)),"")</f>
        <v/>
      </c>
      <c r="E147" s="42" t="str">
        <f t="array" ref="E147">IFERROR(INDEX(Lists2!$B:$B,MATCH(E148,Lists2!$A:$A,0)),"")</f>
        <v/>
      </c>
      <c r="F147" s="42" t="str">
        <f t="array" ref="F147">IFERROR(INDEX(Lists2!$B:$B,MATCH(F148,Lists2!$A:$A,0)),"")</f>
        <v/>
      </c>
      <c r="G147" s="42" t="str">
        <f t="array" ref="G147">IFERROR(INDEX(Lists2!$B:$B,MATCH(G148,Lists2!$A:$A,0)),"")</f>
        <v/>
      </c>
      <c r="H147" s="2"/>
      <c r="I147" s="71" t="str">
        <f>"Week of "&amp;TEXT(A146-7,"MM/DD")</f>
        <v>Week of 08/14</v>
      </c>
      <c r="J147" s="71" t="str">
        <f>"Week of "&amp;TEXT(A146,"MM/DD")</f>
        <v>Week of 08/21</v>
      </c>
      <c r="K147" s="2"/>
      <c r="L147" s="2"/>
      <c r="M147" s="2"/>
      <c r="N147" s="2"/>
      <c r="O147" s="2"/>
      <c r="P147" s="2"/>
      <c r="Q147" s="2"/>
      <c r="R147" s="2"/>
      <c r="S147" s="2"/>
      <c r="T147" s="2"/>
      <c r="U147" s="2"/>
      <c r="V147" s="2"/>
      <c r="W147" s="2"/>
      <c r="X147" s="2"/>
      <c r="Y147" s="2"/>
      <c r="Z147" s="2"/>
    </row>
    <row r="148" ht="22.5" customHeight="1">
      <c r="A148" s="42" t="str">
        <f t="array" ref="A148">IFERROR(INDEX(FinishedData!$B:$B,MATCH(A146,FinishedData!$A:$A,0)),"")</f>
        <v>Gym</v>
      </c>
      <c r="B148" s="42" t="str">
        <f t="array" ref="B148">IFERROR(INDEX(FinishedData!$B:$B,MATCH(B146,FinishedData!$A:$A,0)),"")</f>
        <v>Practice</v>
      </c>
      <c r="C148" s="42" t="str">
        <f t="array" ref="C148">IFERROR(INDEX(FinishedData!$B:$B,MATCH(C146,FinishedData!$A:$A,0)),"")</f>
        <v>Practice</v>
      </c>
      <c r="D148" s="42" t="str">
        <f t="array" ref="D148">IFERROR(INDEX(FinishedData!$B:$B,MATCH(D146,FinishedData!$A:$A,0)),"")</f>
        <v>Practice</v>
      </c>
      <c r="E148" s="42" t="str">
        <f t="array" ref="E148">IFERROR(INDEX(FinishedData!$B:$B,MATCH(E146,FinishedData!$A:$A,0)),"")</f>
        <v>Game</v>
      </c>
      <c r="F148" s="42" t="str">
        <f t="array" ref="F148">IFERROR(INDEX(FinishedData!$B:$B,MATCH(F146,FinishedData!$A:$A,0)),"")</f>
        <v>Off</v>
      </c>
      <c r="G148" s="42" t="str">
        <f t="array" ref="G148">IFERROR(INDEX(FinishedData!$B:$B,MATCH(G146,FinishedData!$A:$A,0)),"")</f>
        <v>Gym</v>
      </c>
      <c r="H148" s="2"/>
      <c r="I148" s="72">
        <f>IFERROR(__xludf.DUMMYFUNCTION("IF(A146="""","""",IF(WEEKNUM($A$6)=1,SUM(FILTER(FinishedData!$C:$C,YEAR(FinishedData!$A:$A)=YEAR($A$6)-1,WEEKNUM(FinishedData!$A:$A)=WEEKNUM($A$6)+52)),
SUM(FILTER(FinishedData!$C:$C,YEAR(FinishedData!$A:$A)=YEAR($A$6),WEEKNUM(FinishedData!$A:$A)=WEEKNUM("&amp;"$A$6)-1))))"),4410.0)</f>
        <v>4410</v>
      </c>
      <c r="J148" s="72">
        <f>IFERROR(__xludf.DUMMYFUNCTION("IF(A146="""","""", SUM(FILTER(FinishedData!$C:$C,YEAR(FinishedData!$A:$A)=YEAR($A146),WEEKNUM(FinishedData!$A:$A)=WEEKNUM($A146))))"),4770.0)</f>
        <v>4770</v>
      </c>
      <c r="K148" s="2"/>
      <c r="L148" s="2"/>
      <c r="M148" s="2"/>
      <c r="N148" s="2"/>
      <c r="O148" s="2"/>
      <c r="P148" s="2"/>
      <c r="Q148" s="2"/>
      <c r="R148" s="2"/>
      <c r="S148" s="2"/>
      <c r="T148" s="2"/>
      <c r="U148" s="2"/>
      <c r="V148" s="2"/>
      <c r="W148" s="2"/>
      <c r="X148" s="2"/>
      <c r="Y148" s="2"/>
      <c r="Z148" s="2"/>
    </row>
    <row r="149" ht="22.5" customHeight="1">
      <c r="A149" s="73">
        <f t="array" ref="A149">IFERROR(INDEX(FinishedData!$C:$C,MATCH(A146,FinishedData!$A:$A,0)),"")</f>
        <v>820</v>
      </c>
      <c r="B149" s="73">
        <f t="array" ref="B149">IFERROR(INDEX(FinishedData!$C:$C,MATCH(B146,FinishedData!$A:$A,0)),"")</f>
        <v>975</v>
      </c>
      <c r="C149" s="73">
        <f t="array" ref="C149">IFERROR(INDEX(FinishedData!$C:$C,MATCH(C146,FinishedData!$A:$A,0)),"")</f>
        <v>565</v>
      </c>
      <c r="D149" s="73">
        <f t="array" ref="D149">IFERROR(INDEX(FinishedData!$C:$C,MATCH(D146,FinishedData!$A:$A,0)),"")</f>
        <v>730</v>
      </c>
      <c r="E149" s="73">
        <f t="array" ref="E149">IFERROR(INDEX(FinishedData!$C:$C,MATCH(E146,FinishedData!$A:$A,0)),"")</f>
        <v>915</v>
      </c>
      <c r="F149" s="73" t="str">
        <f t="array" ref="F149">IFERROR(INDEX(FinishedData!$C:$C,MATCH(F146,FinishedData!$A:$A,0)),"")</f>
        <v/>
      </c>
      <c r="G149" s="73">
        <f t="array" ref="G149">IFERROR(INDEX(FinishedData!$C:$C,MATCH(G146,FinishedData!$A:$A,0)),"")</f>
        <v>765</v>
      </c>
      <c r="H149" s="2"/>
      <c r="I149" s="74" t="s">
        <v>49</v>
      </c>
      <c r="J149" s="75">
        <f>IFERROR(__xludf.DUMMYFUNCTION("IFERROR(IF(WEEKNUM($A$6)=1,($J148-SUM(FILTER(FinishedData!$C:$C,YEAR(FinishedData!$A:$A)=YEAR($A$6)-1,WEEKNUM(FinishedData!$A:$A)=WEEKNUM($A$6)+52)))/$I148,
($J148-SUM(FILTER(FinishedData!$C:$C,YEAR(FinishedData!$A:$A)=YEAR($A$6),WEEKNUM(FinishedData!$A:$"&amp;"A)=WEEKNUM($A$6)-1)))/$I148),"""")"),0.08163265306122448)</f>
        <v>0.08163265306</v>
      </c>
      <c r="K149" s="2"/>
      <c r="L149" s="2"/>
      <c r="M149" s="2"/>
      <c r="N149" s="2"/>
      <c r="O149" s="2"/>
      <c r="P149" s="2"/>
      <c r="Q149" s="2"/>
      <c r="R149" s="2"/>
      <c r="S149" s="2"/>
      <c r="T149" s="2"/>
      <c r="U149" s="2"/>
      <c r="V149" s="2"/>
      <c r="W149" s="2"/>
      <c r="X149" s="2"/>
      <c r="Y149" s="2"/>
      <c r="Z149" s="2"/>
    </row>
    <row r="150" ht="22.5" customHeight="1">
      <c r="A150" s="76">
        <f>IF(G146&gt;=$D$3,"",G146+1)</f>
        <v>44801</v>
      </c>
      <c r="B150" s="76">
        <f t="shared" ref="B150:G150" si="37">IF(A150&gt;=$D$3,"",A150+1)</f>
        <v>44802</v>
      </c>
      <c r="C150" s="76">
        <f t="shared" si="37"/>
        <v>44803</v>
      </c>
      <c r="D150" s="76">
        <f t="shared" si="37"/>
        <v>44804</v>
      </c>
      <c r="E150" s="76">
        <f t="shared" si="37"/>
        <v>44805</v>
      </c>
      <c r="F150" s="76">
        <f t="shared" si="37"/>
        <v>44806</v>
      </c>
      <c r="G150" s="76">
        <f t="shared" si="37"/>
        <v>44807</v>
      </c>
      <c r="H150" s="2"/>
      <c r="I150" s="62"/>
      <c r="J150" s="7"/>
      <c r="K150" s="2"/>
      <c r="L150" s="2"/>
      <c r="M150" s="2"/>
      <c r="N150" s="2"/>
      <c r="O150" s="2"/>
      <c r="P150" s="2"/>
      <c r="Q150" s="2"/>
      <c r="R150" s="2"/>
      <c r="S150" s="2"/>
      <c r="T150" s="2"/>
      <c r="U150" s="2"/>
      <c r="V150" s="2"/>
      <c r="W150" s="2"/>
      <c r="X150" s="2"/>
      <c r="Y150" s="2"/>
      <c r="Z150" s="2"/>
    </row>
    <row r="151" ht="22.5" customHeight="1">
      <c r="A151" s="42" t="str">
        <f t="array" ref="A151">IFERROR(INDEX(Lists2!$B:$B,MATCH(A152,Lists2!$A:$A,0)),"")</f>
        <v/>
      </c>
      <c r="B151" s="42" t="str">
        <f t="array" ref="B151">IFERROR(INDEX(Lists2!$B:$B,MATCH(B152,Lists2!$A:$A,0)),"")</f>
        <v/>
      </c>
      <c r="C151" s="42" t="str">
        <f t="array" ref="C151">IFERROR(INDEX(Lists2!$B:$B,MATCH(C152,Lists2!$A:$A,0)),"")</f>
        <v/>
      </c>
      <c r="D151" s="42" t="str">
        <f t="array" ref="D151">IFERROR(INDEX(Lists2!$B:$B,MATCH(D152,Lists2!$A:$A,0)),"")</f>
        <v/>
      </c>
      <c r="E151" s="42" t="str">
        <f t="array" ref="E151">IFERROR(INDEX(Lists2!$B:$B,MATCH(E152,Lists2!$A:$A,0)),"")</f>
        <v/>
      </c>
      <c r="F151" s="42" t="str">
        <f t="array" ref="F151">IFERROR(INDEX(Lists2!$B:$B,MATCH(F152,Lists2!$A:$A,0)),"")</f>
        <v/>
      </c>
      <c r="G151" s="42" t="str">
        <f t="array" ref="G151">IFERROR(INDEX(Lists2!$B:$B,MATCH(G152,Lists2!$A:$A,0)),"")</f>
        <v/>
      </c>
      <c r="H151" s="2"/>
      <c r="I151" s="71" t="str">
        <f>"Week of "&amp;TEXT(A150-7,"MM/DD")</f>
        <v>Week of 08/21</v>
      </c>
      <c r="J151" s="71" t="str">
        <f>"Week of "&amp;TEXT(A150,"MM/DD")</f>
        <v>Week of 08/28</v>
      </c>
      <c r="K151" s="2"/>
      <c r="L151" s="2"/>
      <c r="M151" s="2"/>
      <c r="N151" s="2"/>
      <c r="O151" s="2"/>
      <c r="P151" s="2"/>
      <c r="Q151" s="2"/>
      <c r="R151" s="2"/>
      <c r="S151" s="2"/>
      <c r="T151" s="2"/>
      <c r="U151" s="2"/>
      <c r="V151" s="2"/>
      <c r="W151" s="2"/>
      <c r="X151" s="2"/>
      <c r="Y151" s="2"/>
      <c r="Z151" s="2"/>
    </row>
    <row r="152" ht="22.5" customHeight="1">
      <c r="A152" s="42" t="str">
        <f t="array" ref="A152">IFERROR(INDEX(FinishedData!$B:$B,MATCH(A150,FinishedData!$A:$A,0)),"")</f>
        <v>Practice</v>
      </c>
      <c r="B152" s="42" t="str">
        <f t="array" ref="B152">IFERROR(INDEX(FinishedData!$B:$B,MATCH(B150,FinishedData!$A:$A,0)),"")</f>
        <v>Practice</v>
      </c>
      <c r="C152" s="42" t="str">
        <f t="array" ref="C152">IFERROR(INDEX(FinishedData!$B:$B,MATCH(C150,FinishedData!$A:$A,0)),"")</f>
        <v>Game</v>
      </c>
      <c r="D152" s="42" t="str">
        <f t="array" ref="D152">IFERROR(INDEX(FinishedData!$B:$B,MATCH(D150,FinishedData!$A:$A,0)),"")</f>
        <v>Game</v>
      </c>
      <c r="E152" s="42" t="str">
        <f t="array" ref="E152">IFERROR(INDEX(FinishedData!$B:$B,MATCH(E150,FinishedData!$A:$A,0)),"")</f>
        <v>Off</v>
      </c>
      <c r="F152" s="42" t="str">
        <f t="array" ref="F152">IFERROR(INDEX(FinishedData!$B:$B,MATCH(F150,FinishedData!$A:$A,0)),"")</f>
        <v>Practice</v>
      </c>
      <c r="G152" s="42" t="str">
        <f t="array" ref="G152">IFERROR(INDEX(FinishedData!$B:$B,MATCH(G150,FinishedData!$A:$A,0)),"")</f>
        <v>Practice</v>
      </c>
      <c r="H152" s="2"/>
      <c r="I152" s="72">
        <f>IFERROR(__xludf.DUMMYFUNCTION("IF(A150="""","""",IF(WEEKNUM($A$6)=1,SUM(FILTER(FinishedData!$C:$C,YEAR(FinishedData!$A:$A)=YEAR($A$6)-1,WEEKNUM(FinishedData!$A:$A)=WEEKNUM($A$6)+52)),
SUM(FILTER(FinishedData!$C:$C,YEAR(FinishedData!$A:$A)=YEAR($A$6),WEEKNUM(FinishedData!$A:$A)=WEEKNUM("&amp;"$A$6)-1))))"),4410.0)</f>
        <v>4410</v>
      </c>
      <c r="J152" s="72">
        <f>IFERROR(__xludf.DUMMYFUNCTION("IF(A150="""","""", SUM(FILTER(FinishedData!$C:$C,YEAR(FinishedData!$A:$A)=YEAR($A150),WEEKNUM(FinishedData!$A:$A)=WEEKNUM($A150))))"),4105.0)</f>
        <v>4105</v>
      </c>
      <c r="K152" s="2"/>
      <c r="L152" s="2"/>
      <c r="M152" s="2"/>
      <c r="N152" s="2"/>
      <c r="O152" s="2"/>
      <c r="P152" s="2"/>
      <c r="Q152" s="2"/>
      <c r="R152" s="2"/>
      <c r="S152" s="2"/>
      <c r="T152" s="2"/>
      <c r="U152" s="2"/>
      <c r="V152" s="2"/>
      <c r="W152" s="2"/>
      <c r="X152" s="2"/>
      <c r="Y152" s="2"/>
      <c r="Z152" s="2"/>
    </row>
    <row r="153" ht="22.5" customHeight="1">
      <c r="A153" s="73">
        <f t="array" ref="A153">IFERROR(INDEX(FinishedData!$C:$C,MATCH(A150,FinishedData!$A:$A,0)),"")</f>
        <v>605</v>
      </c>
      <c r="B153" s="73">
        <f t="array" ref="B153">IFERROR(INDEX(FinishedData!$C:$C,MATCH(B150,FinishedData!$A:$A,0)),"")</f>
        <v>840</v>
      </c>
      <c r="C153" s="73">
        <f t="array" ref="C153">IFERROR(INDEX(FinishedData!$C:$C,MATCH(C150,FinishedData!$A:$A,0)),"")</f>
        <v>705</v>
      </c>
      <c r="D153" s="73">
        <f t="array" ref="D153">IFERROR(INDEX(FinishedData!$C:$C,MATCH(D150,FinishedData!$A:$A,0)),"")</f>
        <v>625</v>
      </c>
      <c r="E153" s="73" t="str">
        <f t="array" ref="E153">IFERROR(INDEX(FinishedData!$C:$C,MATCH(E150,FinishedData!$A:$A,0)),"")</f>
        <v/>
      </c>
      <c r="F153" s="73">
        <f t="array" ref="F153">IFERROR(INDEX(FinishedData!$C:$C,MATCH(F150,FinishedData!$A:$A,0)),"")</f>
        <v>745</v>
      </c>
      <c r="G153" s="73">
        <f t="array" ref="G153">IFERROR(INDEX(FinishedData!$C:$C,MATCH(G150,FinishedData!$A:$A,0)),"")</f>
        <v>585</v>
      </c>
      <c r="H153" s="2"/>
      <c r="I153" s="74" t="s">
        <v>47</v>
      </c>
      <c r="J153" s="75">
        <f>IFERROR(__xludf.DUMMYFUNCTION("IFERROR(IF(WEEKNUM($A$6)=1,($J152-SUM(FILTER(FinishedData!$C:$C,YEAR(FinishedData!$A:$A)=YEAR($A$6)-1,WEEKNUM(FinishedData!$A:$A)=WEEKNUM($A$6)+52)))/$I152,
($J152-SUM(FILTER(FinishedData!$C:$C,YEAR(FinishedData!$A:$A)=YEAR($A$6),WEEKNUM(FinishedData!$A:$"&amp;"A)=WEEKNUM($A$6)-1)))/$I152),"""")"),-0.0691609977324263)</f>
        <v>-0.06916099773</v>
      </c>
      <c r="K153" s="2"/>
      <c r="L153" s="2"/>
      <c r="M153" s="2"/>
      <c r="N153" s="2"/>
      <c r="O153" s="2"/>
      <c r="P153" s="2"/>
      <c r="Q153" s="2"/>
      <c r="R153" s="2"/>
      <c r="S153" s="2"/>
      <c r="T153" s="2"/>
      <c r="U153" s="2"/>
      <c r="V153" s="2"/>
      <c r="W153" s="2"/>
      <c r="X153" s="2"/>
      <c r="Y153" s="2"/>
      <c r="Z153" s="2"/>
    </row>
    <row r="154" ht="22.5" customHeight="1">
      <c r="A154" s="76">
        <f>IF(G150&gt;=$D$3,"",G150+1)</f>
        <v>44808</v>
      </c>
      <c r="B154" s="76">
        <f t="shared" ref="B154:G154" si="38">IF(A154&gt;=$D$3,"",A154+1)</f>
        <v>44809</v>
      </c>
      <c r="C154" s="76">
        <f t="shared" si="38"/>
        <v>44810</v>
      </c>
      <c r="D154" s="76">
        <f t="shared" si="38"/>
        <v>44811</v>
      </c>
      <c r="E154" s="76">
        <f t="shared" si="38"/>
        <v>44812</v>
      </c>
      <c r="F154" s="76">
        <f t="shared" si="38"/>
        <v>44813</v>
      </c>
      <c r="G154" s="76">
        <f t="shared" si="38"/>
        <v>44814</v>
      </c>
      <c r="H154" s="2"/>
      <c r="K154" s="2"/>
      <c r="L154" s="2"/>
      <c r="M154" s="2"/>
      <c r="N154" s="2"/>
      <c r="O154" s="2"/>
      <c r="P154" s="2"/>
      <c r="Q154" s="2"/>
      <c r="R154" s="2"/>
      <c r="S154" s="2"/>
      <c r="T154" s="2"/>
      <c r="U154" s="2"/>
      <c r="V154" s="2"/>
      <c r="W154" s="2"/>
      <c r="X154" s="2"/>
      <c r="Y154" s="2"/>
      <c r="Z154" s="2"/>
    </row>
    <row r="155" ht="22.5" customHeight="1">
      <c r="A155" s="42" t="str">
        <f t="array" ref="A155">IFERROR(INDEX(Lists2!$B:$B,MATCH(A156,Lists2!$A:$A,0)),"")</f>
        <v/>
      </c>
      <c r="B155" s="42" t="str">
        <f t="array" ref="B155">IFERROR(INDEX(Lists2!$B:$B,MATCH(B156,Lists2!$A:$A,0)),"")</f>
        <v/>
      </c>
      <c r="C155" s="42" t="str">
        <f t="array" ref="C155">IFERROR(INDEX(Lists2!$B:$B,MATCH(C156,Lists2!$A:$A,0)),"")</f>
        <v/>
      </c>
      <c r="D155" s="42" t="str">
        <f t="array" ref="D155">IFERROR(INDEX(Lists2!$B:$B,MATCH(D156,Lists2!$A:$A,0)),"")</f>
        <v/>
      </c>
      <c r="E155" s="42" t="str">
        <f t="array" ref="E155">IFERROR(INDEX(Lists2!$B:$B,MATCH(E156,Lists2!$A:$A,0)),"")</f>
        <v/>
      </c>
      <c r="F155" s="42" t="str">
        <f t="array" ref="F155">IFERROR(INDEX(Lists2!$B:$B,MATCH(F156,Lists2!$A:$A,0)),"")</f>
        <v/>
      </c>
      <c r="G155" s="42" t="str">
        <f t="array" ref="G155">IFERROR(INDEX(Lists2!$B:$B,MATCH(G156,Lists2!$A:$A,0)),"")</f>
        <v/>
      </c>
      <c r="H155" s="2"/>
      <c r="I155" s="71" t="str">
        <f>"Week of "&amp;TEXT(A154-7,"MM/DD")</f>
        <v>Week of 08/28</v>
      </c>
      <c r="J155" s="71" t="str">
        <f>"Week of "&amp;TEXT(A154,"MM/DD")</f>
        <v>Week of 09/04</v>
      </c>
      <c r="K155" s="2"/>
      <c r="L155" s="2"/>
      <c r="M155" s="2"/>
      <c r="N155" s="2"/>
      <c r="O155" s="2"/>
      <c r="P155" s="2"/>
      <c r="Q155" s="2"/>
      <c r="R155" s="2"/>
      <c r="S155" s="2"/>
      <c r="T155" s="2"/>
      <c r="U155" s="2"/>
      <c r="V155" s="2"/>
      <c r="W155" s="2"/>
      <c r="X155" s="2"/>
      <c r="Y155" s="2"/>
      <c r="Z155" s="2"/>
    </row>
    <row r="156" ht="22.5" customHeight="1">
      <c r="A156" s="42" t="str">
        <f t="array" ref="A156">IFERROR(INDEX(FinishedData!$B:$B,MATCH(A154,FinishedData!$A:$A,0)),"")</f>
        <v>Gym</v>
      </c>
      <c r="B156" s="42" t="str">
        <f t="array" ref="B156">IFERROR(INDEX(FinishedData!$B:$B,MATCH(B154,FinishedData!$A:$A,0)),"")</f>
        <v>Practice</v>
      </c>
      <c r="C156" s="42" t="str">
        <f t="array" ref="C156">IFERROR(INDEX(FinishedData!$B:$B,MATCH(C154,FinishedData!$A:$A,0)),"")</f>
        <v>Practice</v>
      </c>
      <c r="D156" s="42" t="str">
        <f t="array" ref="D156">IFERROR(INDEX(FinishedData!$B:$B,MATCH(D154,FinishedData!$A:$A,0)),"")</f>
        <v>Game</v>
      </c>
      <c r="E156" s="42" t="str">
        <f t="array" ref="E156">IFERROR(INDEX(FinishedData!$B:$B,MATCH(E154,FinishedData!$A:$A,0)),"")</f>
        <v>Practice</v>
      </c>
      <c r="F156" s="42" t="str">
        <f t="array" ref="F156">IFERROR(INDEX(FinishedData!$B:$B,MATCH(F154,FinishedData!$A:$A,0)),"")</f>
        <v>Game</v>
      </c>
      <c r="G156" s="42" t="str">
        <f t="array" ref="G156">IFERROR(INDEX(FinishedData!$B:$B,MATCH(G154,FinishedData!$A:$A,0)),"")</f>
        <v>Off</v>
      </c>
      <c r="H156" s="2"/>
      <c r="I156" s="72">
        <f>IFERROR(__xludf.DUMMYFUNCTION("IF(A154="""","""",IF(WEEKNUM($A$6)=1,SUM(FILTER(FinishedData!$C:$C,YEAR(FinishedData!$A:$A)=YEAR($A$6)-1,WEEKNUM(FinishedData!$A:$A)=WEEKNUM($A$6)+52)),
SUM(FILTER(FinishedData!$C:$C,YEAR(FinishedData!$A:$A)=YEAR($A$6),WEEKNUM(FinishedData!$A:$A)=WEEKNUM("&amp;"$A$6)-1))))"),4410.0)</f>
        <v>4410</v>
      </c>
      <c r="J156" s="72">
        <f>IFERROR(__xludf.DUMMYFUNCTION("IF(A154="""","""", SUM(FILTER(FinishedData!$C:$C,YEAR(FinishedData!$A:$A)=YEAR($A154),WEEKNUM(FinishedData!$A:$A)=WEEKNUM($A154))))"),4795.0)</f>
        <v>4795</v>
      </c>
      <c r="K156" s="2"/>
      <c r="L156" s="2"/>
      <c r="M156" s="2"/>
      <c r="N156" s="2"/>
      <c r="O156" s="2"/>
      <c r="P156" s="2"/>
      <c r="Q156" s="2"/>
      <c r="R156" s="2"/>
      <c r="S156" s="2"/>
      <c r="T156" s="2"/>
      <c r="U156" s="2"/>
      <c r="V156" s="2"/>
      <c r="W156" s="2"/>
      <c r="X156" s="2"/>
      <c r="Y156" s="2"/>
      <c r="Z156" s="2"/>
    </row>
    <row r="157" ht="22.5" customHeight="1">
      <c r="A157" s="73">
        <f t="array" ref="A157">IFERROR(INDEX(FinishedData!$C:$C,MATCH(A154,FinishedData!$A:$A,0)),"")</f>
        <v>620</v>
      </c>
      <c r="B157" s="73">
        <f t="array" ref="B157">IFERROR(INDEX(FinishedData!$C:$C,MATCH(B154,FinishedData!$A:$A,0)),"")</f>
        <v>865</v>
      </c>
      <c r="C157" s="73">
        <f t="array" ref="C157">IFERROR(INDEX(FinishedData!$C:$C,MATCH(C154,FinishedData!$A:$A,0)),"")</f>
        <v>630</v>
      </c>
      <c r="D157" s="73">
        <f t="array" ref="D157">IFERROR(INDEX(FinishedData!$C:$C,MATCH(D154,FinishedData!$A:$A,0)),"")</f>
        <v>940</v>
      </c>
      <c r="E157" s="73">
        <f t="array" ref="E157">IFERROR(INDEX(FinishedData!$C:$C,MATCH(E154,FinishedData!$A:$A,0)),"")</f>
        <v>990</v>
      </c>
      <c r="F157" s="73">
        <f t="array" ref="F157">IFERROR(INDEX(FinishedData!$C:$C,MATCH(F154,FinishedData!$A:$A,0)),"")</f>
        <v>750</v>
      </c>
      <c r="G157" s="73" t="str">
        <f t="array" ref="G157">IFERROR(INDEX(FinishedData!$C:$C,MATCH(G154,FinishedData!$A:$A,0)),"")</f>
        <v/>
      </c>
      <c r="H157" s="2"/>
      <c r="I157" s="74" t="s">
        <v>49</v>
      </c>
      <c r="J157" s="75">
        <f>IFERROR(__xludf.DUMMYFUNCTION("IFERROR(IF(WEEKNUM($A$6)=1,($J156-SUM(FILTER(FinishedData!$C:$C,YEAR(FinishedData!$A:$A)=YEAR($A$6)-1,WEEKNUM(FinishedData!$A:$A)=WEEKNUM($A$6)+52)))/$I156,
($J156-SUM(FILTER(FinishedData!$C:$C,YEAR(FinishedData!$A:$A)=YEAR($A$6),WEEKNUM(FinishedData!$A:$"&amp;"A)=WEEKNUM($A$6)-1)))/$I156),"""")"),0.0873015873015873)</f>
        <v>0.0873015873</v>
      </c>
      <c r="K157" s="2"/>
      <c r="L157" s="2"/>
      <c r="M157" s="2"/>
      <c r="N157" s="2"/>
      <c r="O157" s="2"/>
      <c r="P157" s="2"/>
      <c r="Q157" s="2"/>
      <c r="R157" s="2"/>
      <c r="S157" s="2"/>
      <c r="T157" s="2"/>
      <c r="U157" s="2"/>
      <c r="V157" s="2"/>
      <c r="W157" s="2"/>
      <c r="X157" s="2"/>
      <c r="Y157" s="2"/>
      <c r="Z157" s="2"/>
    </row>
    <row r="158" ht="22.5" customHeight="1">
      <c r="A158" s="76">
        <f>IF(G154&gt;=$D$3,"",G154+1)</f>
        <v>44815</v>
      </c>
      <c r="B158" s="76">
        <f t="shared" ref="B158:G158" si="39">IF(A158&gt;=$D$3,"",A158+1)</f>
        <v>44816</v>
      </c>
      <c r="C158" s="76">
        <f t="shared" si="39"/>
        <v>44817</v>
      </c>
      <c r="D158" s="76">
        <f t="shared" si="39"/>
        <v>44818</v>
      </c>
      <c r="E158" s="76">
        <f t="shared" si="39"/>
        <v>44819</v>
      </c>
      <c r="F158" s="76">
        <f t="shared" si="39"/>
        <v>44820</v>
      </c>
      <c r="G158" s="76">
        <f t="shared" si="39"/>
        <v>44821</v>
      </c>
      <c r="H158" s="2"/>
      <c r="K158" s="2"/>
      <c r="L158" s="2"/>
      <c r="M158" s="2"/>
      <c r="N158" s="2"/>
      <c r="O158" s="2"/>
      <c r="P158" s="2"/>
      <c r="Q158" s="2"/>
      <c r="R158" s="2"/>
      <c r="S158" s="2"/>
      <c r="T158" s="2"/>
      <c r="U158" s="2"/>
      <c r="V158" s="2"/>
      <c r="W158" s="2"/>
      <c r="X158" s="2"/>
      <c r="Y158" s="2"/>
      <c r="Z158" s="2"/>
    </row>
    <row r="159" ht="22.5" customHeight="1">
      <c r="A159" s="42" t="str">
        <f t="array" ref="A159">IFERROR(INDEX(Lists2!$B:$B,MATCH(A160,Lists2!$A:$A,0)),"")</f>
        <v/>
      </c>
      <c r="B159" s="42" t="str">
        <f t="array" ref="B159">IFERROR(INDEX(Lists2!$B:$B,MATCH(B160,Lists2!$A:$A,0)),"")</f>
        <v/>
      </c>
      <c r="C159" s="42" t="str">
        <f t="array" ref="C159">IFERROR(INDEX(Lists2!$B:$B,MATCH(C160,Lists2!$A:$A,0)),"")</f>
        <v/>
      </c>
      <c r="D159" s="42" t="str">
        <f t="array" ref="D159">IFERROR(INDEX(Lists2!$B:$B,MATCH(D160,Lists2!$A:$A,0)),"")</f>
        <v/>
      </c>
      <c r="E159" s="42" t="str">
        <f t="array" ref="E159">IFERROR(INDEX(Lists2!$B:$B,MATCH(E160,Lists2!$A:$A,0)),"")</f>
        <v/>
      </c>
      <c r="F159" s="42" t="str">
        <f t="array" ref="F159">IFERROR(INDEX(Lists2!$B:$B,MATCH(F160,Lists2!$A:$A,0)),"")</f>
        <v/>
      </c>
      <c r="G159" s="42" t="str">
        <f t="array" ref="G159">IFERROR(INDEX(Lists2!$B:$B,MATCH(G160,Lists2!$A:$A,0)),"")</f>
        <v/>
      </c>
      <c r="H159" s="2"/>
      <c r="I159" s="71" t="str">
        <f>"Week of "&amp;TEXT(A158-7,"MM/DD")</f>
        <v>Week of 09/04</v>
      </c>
      <c r="J159" s="71" t="str">
        <f>"Week of "&amp;TEXT(A158,"MM/DD")</f>
        <v>Week of 09/11</v>
      </c>
      <c r="K159" s="2"/>
      <c r="L159" s="2"/>
      <c r="M159" s="2"/>
      <c r="N159" s="2"/>
      <c r="O159" s="2"/>
      <c r="P159" s="2"/>
      <c r="Q159" s="2"/>
      <c r="R159" s="2"/>
      <c r="S159" s="2"/>
      <c r="T159" s="2"/>
      <c r="U159" s="2"/>
      <c r="V159" s="2"/>
      <c r="W159" s="2"/>
      <c r="X159" s="2"/>
      <c r="Y159" s="2"/>
      <c r="Z159" s="2"/>
    </row>
    <row r="160" ht="22.5" customHeight="1">
      <c r="A160" s="42" t="str">
        <f t="array" ref="A160">IFERROR(INDEX(FinishedData!$B:$B,MATCH(A158,FinishedData!$A:$A,0)),"")</f>
        <v>Practice</v>
      </c>
      <c r="B160" s="42" t="str">
        <f t="array" ref="B160">IFERROR(INDEX(FinishedData!$B:$B,MATCH(B158,FinishedData!$A:$A,0)),"")</f>
        <v>Gym</v>
      </c>
      <c r="C160" s="42" t="str">
        <f t="array" ref="C160">IFERROR(INDEX(FinishedData!$B:$B,MATCH(C158,FinishedData!$A:$A,0)),"")</f>
        <v>Practice</v>
      </c>
      <c r="D160" s="42" t="str">
        <f t="array" ref="D160">IFERROR(INDEX(FinishedData!$B:$B,MATCH(D158,FinishedData!$A:$A,0)),"")</f>
        <v>Practice</v>
      </c>
      <c r="E160" s="42" t="str">
        <f t="array" ref="E160">IFERROR(INDEX(FinishedData!$B:$B,MATCH(E158,FinishedData!$A:$A,0)),"")</f>
        <v>Practice</v>
      </c>
      <c r="F160" s="42" t="str">
        <f t="array" ref="F160">IFERROR(INDEX(FinishedData!$B:$B,MATCH(F158,FinishedData!$A:$A,0)),"")</f>
        <v>Game</v>
      </c>
      <c r="G160" s="42" t="str">
        <f t="array" ref="G160">IFERROR(INDEX(FinishedData!$B:$B,MATCH(G158,FinishedData!$A:$A,0)),"")</f>
        <v>Off</v>
      </c>
      <c r="H160" s="2"/>
      <c r="I160" s="72">
        <f>IFERROR(__xludf.DUMMYFUNCTION("IF(A158="""","""",IF(WEEKNUM($A$6)=1,SUM(FILTER(FinishedData!$C:$C,YEAR(FinishedData!$A:$A)=YEAR($A$6)-1,WEEKNUM(FinishedData!$A:$A)=WEEKNUM($A$6)+52)),
SUM(FILTER(FinishedData!$C:$C,YEAR(FinishedData!$A:$A)=YEAR($A$6),WEEKNUM(FinishedData!$A:$A)=WEEKNUM("&amp;"$A$6)-1))))"),4410.0)</f>
        <v>4410</v>
      </c>
      <c r="J160" s="72">
        <f>IFERROR(__xludf.DUMMYFUNCTION("IF(A158="""","""", SUM(FILTER(FinishedData!$C:$C,YEAR(FinishedData!$A:$A)=YEAR($A158),WEEKNUM(FinishedData!$A:$A)=WEEKNUM($A158))))"),4615.0)</f>
        <v>4615</v>
      </c>
      <c r="K160" s="2"/>
      <c r="L160" s="2"/>
      <c r="M160" s="2"/>
      <c r="N160" s="2"/>
      <c r="O160" s="2"/>
      <c r="P160" s="2"/>
      <c r="Q160" s="2"/>
      <c r="R160" s="2"/>
      <c r="S160" s="2"/>
      <c r="T160" s="2"/>
      <c r="U160" s="2"/>
      <c r="V160" s="2"/>
      <c r="W160" s="2"/>
      <c r="X160" s="2"/>
      <c r="Y160" s="2"/>
      <c r="Z160" s="2"/>
    </row>
    <row r="161" ht="22.5" customHeight="1">
      <c r="A161" s="73">
        <f t="array" ref="A161">IFERROR(INDEX(FinishedData!$C:$C,MATCH(A158,FinishedData!$A:$A,0)),"")</f>
        <v>895</v>
      </c>
      <c r="B161" s="73">
        <f t="array" ref="B161">IFERROR(INDEX(FinishedData!$C:$C,MATCH(B158,FinishedData!$A:$A,0)),"")</f>
        <v>680</v>
      </c>
      <c r="C161" s="73">
        <f t="array" ref="C161">IFERROR(INDEX(FinishedData!$C:$C,MATCH(C158,FinishedData!$A:$A,0)),"")</f>
        <v>950</v>
      </c>
      <c r="D161" s="73">
        <f t="array" ref="D161">IFERROR(INDEX(FinishedData!$C:$C,MATCH(D158,FinishedData!$A:$A,0)),"")</f>
        <v>575</v>
      </c>
      <c r="E161" s="73">
        <f t="array" ref="E161">IFERROR(INDEX(FinishedData!$C:$C,MATCH(E158,FinishedData!$A:$A,0)),"")</f>
        <v>585</v>
      </c>
      <c r="F161" s="73">
        <f t="array" ref="F161">IFERROR(INDEX(FinishedData!$C:$C,MATCH(F158,FinishedData!$A:$A,0)),"")</f>
        <v>930</v>
      </c>
      <c r="G161" s="73" t="str">
        <f t="array" ref="G161">IFERROR(INDEX(FinishedData!$C:$C,MATCH(G158,FinishedData!$A:$A,0)),"")</f>
        <v/>
      </c>
      <c r="H161" s="2"/>
      <c r="I161" s="74" t="s">
        <v>47</v>
      </c>
      <c r="J161" s="75">
        <f>IFERROR(__xludf.DUMMYFUNCTION("IFERROR(IF(WEEKNUM($A$6)=1,($J160-SUM(FILTER(FinishedData!$C:$C,YEAR(FinishedData!$A:$A)=YEAR($A$6)-1,WEEKNUM(FinishedData!$A:$A)=WEEKNUM($A$6)+52)))/$I160,
($J160-SUM(FILTER(FinishedData!$C:$C,YEAR(FinishedData!$A:$A)=YEAR($A$6),WEEKNUM(FinishedData!$A:$"&amp;"A)=WEEKNUM($A$6)-1)))/$I160),"""")"),0.046485260770975055)</f>
        <v>0.04648526077</v>
      </c>
      <c r="K161" s="2"/>
      <c r="L161" s="2"/>
      <c r="M161" s="2"/>
      <c r="N161" s="2"/>
      <c r="O161" s="2"/>
      <c r="P161" s="2"/>
      <c r="Q161" s="2"/>
      <c r="R161" s="2"/>
      <c r="S161" s="2"/>
      <c r="T161" s="2"/>
      <c r="U161" s="2"/>
      <c r="V161" s="2"/>
      <c r="W161" s="2"/>
      <c r="X161" s="2"/>
      <c r="Y161" s="2"/>
      <c r="Z161" s="2"/>
    </row>
    <row r="162" ht="22.5" customHeight="1">
      <c r="A162" s="76">
        <f>IF(G158&gt;=$D$3,"",G158+1)</f>
        <v>44822</v>
      </c>
      <c r="B162" s="76">
        <f t="shared" ref="B162:G162" si="40">IF(A162&gt;=$D$3,"",A162+1)</f>
        <v>44823</v>
      </c>
      <c r="C162" s="76">
        <f t="shared" si="40"/>
        <v>44824</v>
      </c>
      <c r="D162" s="76">
        <f t="shared" si="40"/>
        <v>44825</v>
      </c>
      <c r="E162" s="76">
        <f t="shared" si="40"/>
        <v>44826</v>
      </c>
      <c r="F162" s="76">
        <f t="shared" si="40"/>
        <v>44827</v>
      </c>
      <c r="G162" s="76">
        <f t="shared" si="40"/>
        <v>44828</v>
      </c>
      <c r="H162" s="2"/>
      <c r="K162" s="2"/>
      <c r="L162" s="2"/>
      <c r="M162" s="2"/>
      <c r="N162" s="2"/>
      <c r="O162" s="2"/>
      <c r="P162" s="2"/>
      <c r="Q162" s="2"/>
      <c r="R162" s="2"/>
      <c r="S162" s="2"/>
      <c r="T162" s="2"/>
      <c r="U162" s="2"/>
      <c r="V162" s="2"/>
      <c r="W162" s="2"/>
      <c r="X162" s="2"/>
      <c r="Y162" s="2"/>
      <c r="Z162" s="2"/>
    </row>
    <row r="163" ht="22.5" customHeight="1">
      <c r="A163" s="42" t="str">
        <f t="array" ref="A163">IFERROR(INDEX(Lists2!$B:$B,MATCH(A164,Lists2!$A:$A,0)),"")</f>
        <v/>
      </c>
      <c r="B163" s="42" t="str">
        <f t="array" ref="B163">IFERROR(INDEX(Lists2!$B:$B,MATCH(B164,Lists2!$A:$A,0)),"")</f>
        <v/>
      </c>
      <c r="C163" s="42" t="str">
        <f t="array" ref="C163">IFERROR(INDEX(Lists2!$B:$B,MATCH(C164,Lists2!$A:$A,0)),"")</f>
        <v/>
      </c>
      <c r="D163" s="42" t="str">
        <f t="array" ref="D163">IFERROR(INDEX(Lists2!$B:$B,MATCH(D164,Lists2!$A:$A,0)),"")</f>
        <v/>
      </c>
      <c r="E163" s="42" t="str">
        <f t="array" ref="E163">IFERROR(INDEX(Lists2!$B:$B,MATCH(E164,Lists2!$A:$A,0)),"")</f>
        <v/>
      </c>
      <c r="F163" s="42" t="str">
        <f t="array" ref="F163">IFERROR(INDEX(Lists2!$B:$B,MATCH(F164,Lists2!$A:$A,0)),"")</f>
        <v/>
      </c>
      <c r="G163" s="42" t="str">
        <f t="array" ref="G163">IFERROR(INDEX(Lists2!$B:$B,MATCH(G164,Lists2!$A:$A,0)),"")</f>
        <v/>
      </c>
      <c r="H163" s="2"/>
      <c r="I163" s="71" t="str">
        <f>"Week of "&amp;TEXT(A162-7,"MM/DD")</f>
        <v>Week of 09/11</v>
      </c>
      <c r="J163" s="71" t="str">
        <f>"Week of "&amp;TEXT(A162,"MM/DD")</f>
        <v>Week of 09/18</v>
      </c>
      <c r="K163" s="2"/>
      <c r="L163" s="2"/>
      <c r="M163" s="2"/>
      <c r="N163" s="2"/>
      <c r="O163" s="2"/>
      <c r="P163" s="2"/>
      <c r="Q163" s="2"/>
      <c r="R163" s="2"/>
      <c r="S163" s="2"/>
      <c r="T163" s="2"/>
      <c r="U163" s="2"/>
      <c r="V163" s="2"/>
      <c r="W163" s="2"/>
      <c r="X163" s="2"/>
      <c r="Y163" s="2"/>
      <c r="Z163" s="2"/>
    </row>
    <row r="164" ht="22.5" customHeight="1">
      <c r="A164" s="42" t="str">
        <f t="array" ref="A164">IFERROR(INDEX(FinishedData!$B:$B,MATCH(A162,FinishedData!$A:$A,0)),"")</f>
        <v>Practice</v>
      </c>
      <c r="B164" s="42" t="str">
        <f t="array" ref="B164">IFERROR(INDEX(FinishedData!$B:$B,MATCH(B162,FinishedData!$A:$A,0)),"")</f>
        <v>Game</v>
      </c>
      <c r="C164" s="42" t="str">
        <f t="array" ref="C164">IFERROR(INDEX(FinishedData!$B:$B,MATCH(C162,FinishedData!$A:$A,0)),"")</f>
        <v>Practice</v>
      </c>
      <c r="D164" s="42" t="str">
        <f t="array" ref="D164">IFERROR(INDEX(FinishedData!$B:$B,MATCH(D162,FinishedData!$A:$A,0)),"")</f>
        <v>Practice</v>
      </c>
      <c r="E164" s="42" t="str">
        <f t="array" ref="E164">IFERROR(INDEX(FinishedData!$B:$B,MATCH(E162,FinishedData!$A:$A,0)),"")</f>
        <v>Game</v>
      </c>
      <c r="F164" s="42" t="str">
        <f t="array" ref="F164">IFERROR(INDEX(FinishedData!$B:$B,MATCH(F162,FinishedData!$A:$A,0)),"")</f>
        <v>Practice</v>
      </c>
      <c r="G164" s="42" t="str">
        <f t="array" ref="G164">IFERROR(INDEX(FinishedData!$B:$B,MATCH(G162,FinishedData!$A:$A,0)),"")</f>
        <v>Gym</v>
      </c>
      <c r="H164" s="2"/>
      <c r="I164" s="72">
        <f>IFERROR(__xludf.DUMMYFUNCTION("IF(A162="""","""",IF(WEEKNUM($A$6)=1,SUM(FILTER(FinishedData!$C:$C,YEAR(FinishedData!$A:$A)=YEAR($A$6)-1,WEEKNUM(FinishedData!$A:$A)=WEEKNUM($A$6)+52)),
SUM(FILTER(FinishedData!$C:$C,YEAR(FinishedData!$A:$A)=YEAR($A$6),WEEKNUM(FinishedData!$A:$A)=WEEKNUM("&amp;"$A$6)-1))))"),4410.0)</f>
        <v>4410</v>
      </c>
      <c r="J164" s="72">
        <f>IFERROR(__xludf.DUMMYFUNCTION("IF(A162="""","""", SUM(FILTER(FinishedData!$C:$C,YEAR(FinishedData!$A:$A)=YEAR($A162),WEEKNUM(FinishedData!$A:$A)=WEEKNUM($A162))))"),5600.0)</f>
        <v>5600</v>
      </c>
      <c r="K164" s="2"/>
      <c r="L164" s="2"/>
      <c r="M164" s="2"/>
      <c r="N164" s="2"/>
      <c r="O164" s="2"/>
      <c r="P164" s="2"/>
      <c r="Q164" s="2"/>
      <c r="R164" s="2"/>
      <c r="S164" s="2"/>
      <c r="T164" s="2"/>
      <c r="U164" s="2"/>
      <c r="V164" s="2"/>
      <c r="W164" s="2"/>
      <c r="X164" s="2"/>
      <c r="Y164" s="2"/>
      <c r="Z164" s="2"/>
    </row>
    <row r="165" ht="22.5" customHeight="1">
      <c r="A165" s="73">
        <f t="array" ref="A165">IFERROR(INDEX(FinishedData!$C:$C,MATCH(A162,FinishedData!$A:$A,0)),"")</f>
        <v>880</v>
      </c>
      <c r="B165" s="73">
        <f t="array" ref="B165">IFERROR(INDEX(FinishedData!$C:$C,MATCH(B162,FinishedData!$A:$A,0)),"")</f>
        <v>900</v>
      </c>
      <c r="C165" s="73">
        <f t="array" ref="C165">IFERROR(INDEX(FinishedData!$C:$C,MATCH(C162,FinishedData!$A:$A,0)),"")</f>
        <v>690</v>
      </c>
      <c r="D165" s="73">
        <f t="array" ref="D165">IFERROR(INDEX(FinishedData!$C:$C,MATCH(D162,FinishedData!$A:$A,0)),"")</f>
        <v>780</v>
      </c>
      <c r="E165" s="73">
        <f t="array" ref="E165">IFERROR(INDEX(FinishedData!$C:$C,MATCH(E162,FinishedData!$A:$A,0)),"")</f>
        <v>570</v>
      </c>
      <c r="F165" s="73">
        <f t="array" ref="F165">IFERROR(INDEX(FinishedData!$C:$C,MATCH(F162,FinishedData!$A:$A,0)),"")</f>
        <v>795</v>
      </c>
      <c r="G165" s="73">
        <f t="array" ref="G165">IFERROR(INDEX(FinishedData!$C:$C,MATCH(G162,FinishedData!$A:$A,0)),"")</f>
        <v>985</v>
      </c>
      <c r="H165" s="2"/>
      <c r="I165" s="74" t="s">
        <v>49</v>
      </c>
      <c r="J165" s="75">
        <f>IFERROR(__xludf.DUMMYFUNCTION("IFERROR(IF(WEEKNUM($A$6)=1,($J164-SUM(FILTER(FinishedData!$C:$C,YEAR(FinishedData!$A:$A)=YEAR($A$6)-1,WEEKNUM(FinishedData!$A:$A)=WEEKNUM($A$6)+52)))/$I164,
($J164-SUM(FILTER(FinishedData!$C:$C,YEAR(FinishedData!$A:$A)=YEAR($A$6),WEEKNUM(FinishedData!$A:$"&amp;"A)=WEEKNUM($A$6)-1)))/$I164),"""")"),0.2698412698412698)</f>
        <v>0.2698412698</v>
      </c>
      <c r="K165" s="2"/>
      <c r="L165" s="2"/>
      <c r="M165" s="2"/>
      <c r="N165" s="2"/>
      <c r="O165" s="2"/>
      <c r="P165" s="2"/>
      <c r="Q165" s="2"/>
      <c r="R165" s="2"/>
      <c r="S165" s="2"/>
      <c r="T165" s="2"/>
      <c r="U165" s="2"/>
      <c r="V165" s="2"/>
      <c r="W165" s="2"/>
      <c r="X165" s="2"/>
      <c r="Y165" s="2"/>
      <c r="Z165" s="2"/>
    </row>
    <row r="166" ht="22.5" customHeight="1">
      <c r="A166" s="76">
        <f>IF(G162&gt;=$D$3,"",G162+1)</f>
        <v>44829</v>
      </c>
      <c r="B166" s="76">
        <f t="shared" ref="B166:G166" si="41">IF(A166&gt;=$D$3,"",A166+1)</f>
        <v>44830</v>
      </c>
      <c r="C166" s="76">
        <f t="shared" si="41"/>
        <v>44831</v>
      </c>
      <c r="D166" s="76">
        <f t="shared" si="41"/>
        <v>44832</v>
      </c>
      <c r="E166" s="76">
        <f t="shared" si="41"/>
        <v>44833</v>
      </c>
      <c r="F166" s="76">
        <f t="shared" si="41"/>
        <v>44834</v>
      </c>
      <c r="G166" s="76">
        <f t="shared" si="41"/>
        <v>44835</v>
      </c>
      <c r="H166" s="2"/>
      <c r="I166" s="2"/>
      <c r="J166" s="2"/>
      <c r="K166" s="2"/>
      <c r="L166" s="2"/>
      <c r="M166" s="2"/>
      <c r="N166" s="2"/>
      <c r="O166" s="2"/>
      <c r="P166" s="2"/>
      <c r="Q166" s="2"/>
      <c r="R166" s="2"/>
      <c r="S166" s="2"/>
      <c r="T166" s="2"/>
      <c r="U166" s="2"/>
      <c r="V166" s="2"/>
      <c r="W166" s="2"/>
      <c r="X166" s="2"/>
      <c r="Y166" s="2"/>
      <c r="Z166" s="2"/>
    </row>
    <row r="167" ht="22.5" customHeight="1">
      <c r="A167" s="42" t="str">
        <f t="array" ref="A167">IFERROR(INDEX(Lists2!$B:$B,MATCH(A168,Lists2!$A:$A,0)),"")</f>
        <v/>
      </c>
      <c r="B167" s="42" t="str">
        <f t="array" ref="B167">IFERROR(INDEX(Lists2!$B:$B,MATCH(B168,Lists2!$A:$A,0)),"")</f>
        <v/>
      </c>
      <c r="C167" s="42" t="str">
        <f t="array" ref="C167">IFERROR(INDEX(Lists2!$B:$B,MATCH(C168,Lists2!$A:$A,0)),"")</f>
        <v/>
      </c>
      <c r="D167" s="42" t="str">
        <f t="array" ref="D167">IFERROR(INDEX(Lists2!$B:$B,MATCH(D168,Lists2!$A:$A,0)),"")</f>
        <v/>
      </c>
      <c r="E167" s="42" t="str">
        <f t="array" ref="E167">IFERROR(INDEX(Lists2!$B:$B,MATCH(E168,Lists2!$A:$A,0)),"")</f>
        <v/>
      </c>
      <c r="F167" s="42" t="str">
        <f t="array" ref="F167">IFERROR(INDEX(Lists2!$B:$B,MATCH(F168,Lists2!$A:$A,0)),"")</f>
        <v/>
      </c>
      <c r="G167" s="42" t="str">
        <f t="array" ref="G167">IFERROR(INDEX(Lists2!$B:$B,MATCH(G168,Lists2!$A:$A,0)),"")</f>
        <v/>
      </c>
      <c r="H167" s="2"/>
      <c r="I167" s="71" t="str">
        <f>"Week of "&amp;TEXT(A166-7,"MM/DD")</f>
        <v>Week of 09/18</v>
      </c>
      <c r="J167" s="71" t="str">
        <f>"Week of "&amp;TEXT(A166,"MM/DD")</f>
        <v>Week of 09/25</v>
      </c>
      <c r="K167" s="2"/>
      <c r="L167" s="2"/>
      <c r="M167" s="2"/>
      <c r="N167" s="2"/>
      <c r="O167" s="2"/>
      <c r="P167" s="2"/>
      <c r="Q167" s="2"/>
      <c r="R167" s="2"/>
      <c r="S167" s="2"/>
      <c r="T167" s="2"/>
      <c r="U167" s="2"/>
      <c r="V167" s="2"/>
      <c r="W167" s="2"/>
      <c r="X167" s="2"/>
      <c r="Y167" s="2"/>
      <c r="Z167" s="2"/>
    </row>
    <row r="168" ht="22.5" customHeight="1">
      <c r="A168" s="42" t="str">
        <f t="array" ref="A168">IFERROR(INDEX(FinishedData!$B:$B,MATCH(A166,FinishedData!$A:$A,0)),"")</f>
        <v>Off</v>
      </c>
      <c r="B168" s="42" t="str">
        <f t="array" ref="B168">IFERROR(INDEX(FinishedData!$B:$B,MATCH(B166,FinishedData!$A:$A,0)),"")</f>
        <v>Practice</v>
      </c>
      <c r="C168" s="42" t="str">
        <f t="array" ref="C168">IFERROR(INDEX(FinishedData!$B:$B,MATCH(C166,FinishedData!$A:$A,0)),"")</f>
        <v>Practice</v>
      </c>
      <c r="D168" s="42" t="str">
        <f t="array" ref="D168">IFERROR(INDEX(FinishedData!$B:$B,MATCH(D166,FinishedData!$A:$A,0)),"")</f>
        <v>Game</v>
      </c>
      <c r="E168" s="42" t="str">
        <f t="array" ref="E168">IFERROR(INDEX(FinishedData!$B:$B,MATCH(E166,FinishedData!$A:$A,0)),"")</f>
        <v>Game</v>
      </c>
      <c r="F168" s="42" t="str">
        <f t="array" ref="F168">IFERROR(INDEX(FinishedData!$B:$B,MATCH(F166,FinishedData!$A:$A,0)),"")</f>
        <v>Off</v>
      </c>
      <c r="G168" s="42" t="str">
        <f t="array" ref="G168">IFERROR(INDEX(FinishedData!$B:$B,MATCH(G166,FinishedData!$A:$A,0)),"")</f>
        <v>Practice</v>
      </c>
      <c r="H168" s="2"/>
      <c r="I168" s="72">
        <f>IFERROR(__xludf.DUMMYFUNCTION("IF(A166="""","""",IF(WEEKNUM($A$6)=1,SUM(FILTER(FinishedData!$C:$C,YEAR(FinishedData!$A:$A)=YEAR($A$6)-1,WEEKNUM(FinishedData!$A:$A)=WEEKNUM($A$6)+52)),
SUM(FILTER(FinishedData!$C:$C,YEAR(FinishedData!$A:$A)=YEAR($A$6),WEEKNUM(FinishedData!$A:$A)=WEEKNUM("&amp;"$A$6)-1))))"),4410.0)</f>
        <v>4410</v>
      </c>
      <c r="J168" s="72">
        <f>IFERROR(__xludf.DUMMYFUNCTION("IF(A166="""","""", SUM(FILTER(FinishedData!$C:$C,YEAR(FinishedData!$A:$A)=YEAR($A166),WEEKNUM(FinishedData!$A:$A)=WEEKNUM($A166))))"),3740.0)</f>
        <v>3740</v>
      </c>
      <c r="K168" s="2"/>
      <c r="L168" s="2"/>
      <c r="M168" s="2"/>
      <c r="N168" s="2"/>
      <c r="O168" s="2"/>
      <c r="P168" s="2"/>
      <c r="Q168" s="2"/>
      <c r="R168" s="2"/>
      <c r="S168" s="2"/>
      <c r="T168" s="2"/>
      <c r="U168" s="2"/>
      <c r="V168" s="2"/>
      <c r="W168" s="2"/>
      <c r="X168" s="2"/>
      <c r="Y168" s="2"/>
      <c r="Z168" s="2"/>
    </row>
    <row r="169" ht="22.5" customHeight="1">
      <c r="A169" s="73" t="str">
        <f t="array" ref="A169">IFERROR(INDEX(FinishedData!$C:$C,MATCH(A166,FinishedData!$A:$A,0)),"")</f>
        <v/>
      </c>
      <c r="B169" s="73">
        <f t="array" ref="B169">IFERROR(INDEX(FinishedData!$C:$C,MATCH(B166,FinishedData!$A:$A,0)),"")</f>
        <v>515</v>
      </c>
      <c r="C169" s="73">
        <f t="array" ref="C169">IFERROR(INDEX(FinishedData!$C:$C,MATCH(C166,FinishedData!$A:$A,0)),"")</f>
        <v>845</v>
      </c>
      <c r="D169" s="73">
        <f t="array" ref="D169">IFERROR(INDEX(FinishedData!$C:$C,MATCH(D166,FinishedData!$A:$A,0)),"")</f>
        <v>620</v>
      </c>
      <c r="E169" s="73">
        <f t="array" ref="E169">IFERROR(INDEX(FinishedData!$C:$C,MATCH(E166,FinishedData!$A:$A,0)),"")</f>
        <v>900</v>
      </c>
      <c r="F169" s="73" t="str">
        <f t="array" ref="F169">IFERROR(INDEX(FinishedData!$C:$C,MATCH(F166,FinishedData!$A:$A,0)),"")</f>
        <v/>
      </c>
      <c r="G169" s="73">
        <f t="array" ref="G169">IFERROR(INDEX(FinishedData!$C:$C,MATCH(G166,FinishedData!$A:$A,0)),"")</f>
        <v>860</v>
      </c>
      <c r="H169" s="2"/>
      <c r="I169" s="74" t="s">
        <v>47</v>
      </c>
      <c r="J169" s="75">
        <f>IFERROR(__xludf.DUMMYFUNCTION("IFERROR(IF(WEEKNUM($A$6)=1,($J168-SUM(FILTER(FinishedData!$C:$C,YEAR(FinishedData!$A:$A)=YEAR($A$6)-1,WEEKNUM(FinishedData!$A:$A)=WEEKNUM($A$6)+52)))/$I168,
($J168-SUM(FILTER(FinishedData!$C:$C,YEAR(FinishedData!$A:$A)=YEAR($A$6),WEEKNUM(FinishedData!$A:$"&amp;"A)=WEEKNUM($A$6)-1)))/$I168),"""")"),-0.15192743764172337)</f>
        <v>-0.1519274376</v>
      </c>
      <c r="K169" s="2"/>
      <c r="L169" s="2"/>
      <c r="M169" s="2"/>
      <c r="N169" s="2"/>
      <c r="O169" s="2"/>
      <c r="P169" s="2"/>
      <c r="Q169" s="2"/>
      <c r="R169" s="2"/>
      <c r="S169" s="2"/>
      <c r="T169" s="2"/>
      <c r="U169" s="2"/>
      <c r="V169" s="2"/>
      <c r="W169" s="2"/>
      <c r="X169" s="2"/>
      <c r="Y169" s="2"/>
      <c r="Z169" s="2"/>
    </row>
    <row r="170" ht="22.5" customHeight="1">
      <c r="A170" s="76">
        <f>IF(G166&gt;=$D$3,"",G166+1)</f>
        <v>44836</v>
      </c>
      <c r="B170" s="76">
        <f t="shared" ref="B170:G170" si="42">IF(A170&gt;=$D$3,"",A170+1)</f>
        <v>44837</v>
      </c>
      <c r="C170" s="76">
        <f t="shared" si="42"/>
        <v>44838</v>
      </c>
      <c r="D170" s="76">
        <f t="shared" si="42"/>
        <v>44839</v>
      </c>
      <c r="E170" s="76">
        <f t="shared" si="42"/>
        <v>44840</v>
      </c>
      <c r="F170" s="76">
        <f t="shared" si="42"/>
        <v>44841</v>
      </c>
      <c r="G170" s="76">
        <f t="shared" si="42"/>
        <v>44842</v>
      </c>
      <c r="H170" s="2"/>
      <c r="K170" s="2"/>
      <c r="L170" s="2"/>
      <c r="M170" s="2"/>
      <c r="N170" s="2"/>
      <c r="O170" s="2"/>
      <c r="P170" s="2"/>
      <c r="Q170" s="2"/>
      <c r="R170" s="2"/>
      <c r="S170" s="2"/>
      <c r="T170" s="2"/>
      <c r="U170" s="2"/>
      <c r="V170" s="2"/>
      <c r="W170" s="2"/>
      <c r="X170" s="2"/>
      <c r="Y170" s="2"/>
      <c r="Z170" s="2"/>
    </row>
    <row r="171" ht="22.5" customHeight="1">
      <c r="A171" s="42" t="str">
        <f t="array" ref="A171">IFERROR(INDEX(Lists2!$B:$B,MATCH(A172,Lists2!$A:$A,0)),"")</f>
        <v/>
      </c>
      <c r="B171" s="42" t="str">
        <f t="array" ref="B171">IFERROR(INDEX(Lists2!$B:$B,MATCH(B172,Lists2!$A:$A,0)),"")</f>
        <v/>
      </c>
      <c r="C171" s="42" t="str">
        <f t="array" ref="C171">IFERROR(INDEX(Lists2!$B:$B,MATCH(C172,Lists2!$A:$A,0)),"")</f>
        <v/>
      </c>
      <c r="D171" s="42" t="str">
        <f t="array" ref="D171">IFERROR(INDEX(Lists2!$B:$B,MATCH(D172,Lists2!$A:$A,0)),"")</f>
        <v/>
      </c>
      <c r="E171" s="42" t="str">
        <f t="array" ref="E171">IFERROR(INDEX(Lists2!$B:$B,MATCH(E172,Lists2!$A:$A,0)),"")</f>
        <v/>
      </c>
      <c r="F171" s="42" t="str">
        <f t="array" ref="F171">IFERROR(INDEX(Lists2!$B:$B,MATCH(F172,Lists2!$A:$A,0)),"")</f>
        <v/>
      </c>
      <c r="G171" s="42" t="str">
        <f t="array" ref="G171">IFERROR(INDEX(Lists2!$B:$B,MATCH(G172,Lists2!$A:$A,0)),"")</f>
        <v/>
      </c>
      <c r="H171" s="2"/>
      <c r="I171" s="71" t="str">
        <f>"Week of "&amp;TEXT(A170-7,"MM/DD")</f>
        <v>Week of 09/25</v>
      </c>
      <c r="J171" s="71" t="str">
        <f>"Week of "&amp;TEXT(A170,"MM/DD")</f>
        <v>Week of 10/02</v>
      </c>
      <c r="K171" s="2"/>
      <c r="L171" s="2"/>
      <c r="M171" s="2"/>
      <c r="N171" s="2"/>
      <c r="O171" s="2"/>
      <c r="P171" s="2"/>
      <c r="Q171" s="2"/>
      <c r="R171" s="2"/>
      <c r="S171" s="2"/>
      <c r="T171" s="2"/>
      <c r="U171" s="2"/>
      <c r="V171" s="2"/>
      <c r="W171" s="2"/>
      <c r="X171" s="2"/>
      <c r="Y171" s="2"/>
      <c r="Z171" s="2"/>
    </row>
    <row r="172" ht="22.5" customHeight="1">
      <c r="A172" s="42" t="str">
        <f t="array" ref="A172">IFERROR(INDEX(FinishedData!$B:$B,MATCH(A170,FinishedData!$A:$A,0)),"")</f>
        <v>Gym</v>
      </c>
      <c r="B172" s="42" t="str">
        <f t="array" ref="B172">IFERROR(INDEX(FinishedData!$B:$B,MATCH(B170,FinishedData!$A:$A,0)),"")</f>
        <v>Practice</v>
      </c>
      <c r="C172" s="42" t="str">
        <f t="array" ref="C172">IFERROR(INDEX(FinishedData!$B:$B,MATCH(C170,FinishedData!$A:$A,0)),"")</f>
        <v>Practice</v>
      </c>
      <c r="D172" s="42" t="str">
        <f t="array" ref="D172">IFERROR(INDEX(FinishedData!$B:$B,MATCH(D170,FinishedData!$A:$A,0)),"")</f>
        <v>Game</v>
      </c>
      <c r="E172" s="42" t="str">
        <f t="array" ref="E172">IFERROR(INDEX(FinishedData!$B:$B,MATCH(E170,FinishedData!$A:$A,0)),"")</f>
        <v>Practice</v>
      </c>
      <c r="F172" s="42" t="str">
        <f t="array" ref="F172">IFERROR(INDEX(FinishedData!$B:$B,MATCH(F170,FinishedData!$A:$A,0)),"")</f>
        <v>Game</v>
      </c>
      <c r="G172" s="42" t="str">
        <f t="array" ref="G172">IFERROR(INDEX(FinishedData!$B:$B,MATCH(G170,FinishedData!$A:$A,0)),"")</f>
        <v>Off</v>
      </c>
      <c r="H172" s="2"/>
      <c r="I172" s="72">
        <f>IFERROR(__xludf.DUMMYFUNCTION("IF(A170="""","""",IF(WEEKNUM($A$6)=1,SUM(FILTER(FinishedData!$C:$C,YEAR(FinishedData!$A:$A)=YEAR($A$6)-1,WEEKNUM(FinishedData!$A:$A)=WEEKNUM($A$6)+52)),
SUM(FILTER(FinishedData!$C:$C,YEAR(FinishedData!$A:$A)=YEAR($A$6),WEEKNUM(FinishedData!$A:$A)=WEEKNUM("&amp;"$A$6)-1))))"),4410.0)</f>
        <v>4410</v>
      </c>
      <c r="J172" s="72">
        <f>IFERROR(__xludf.DUMMYFUNCTION("IF(A170="""","""", SUM(FILTER(FinishedData!$C:$C,YEAR(FinishedData!$A:$A)=YEAR($A170),WEEKNUM(FinishedData!$A:$A)=WEEKNUM($A170))))"),5350.0)</f>
        <v>5350</v>
      </c>
      <c r="K172" s="2"/>
      <c r="L172" s="2"/>
      <c r="M172" s="2"/>
      <c r="N172" s="2"/>
      <c r="O172" s="2"/>
      <c r="P172" s="2"/>
      <c r="Q172" s="2"/>
      <c r="R172" s="2"/>
      <c r="S172" s="2"/>
      <c r="T172" s="2"/>
      <c r="U172" s="2"/>
      <c r="V172" s="2"/>
      <c r="W172" s="2"/>
      <c r="X172" s="2"/>
      <c r="Y172" s="2"/>
      <c r="Z172" s="2"/>
    </row>
    <row r="173" ht="22.5" customHeight="1">
      <c r="A173" s="73">
        <f t="array" ref="A173">IFERROR(INDEX(FinishedData!$C:$C,MATCH(A170,FinishedData!$A:$A,0)),"")</f>
        <v>960</v>
      </c>
      <c r="B173" s="73">
        <f t="array" ref="B173">IFERROR(INDEX(FinishedData!$C:$C,MATCH(B170,FinishedData!$A:$A,0)),"")</f>
        <v>930</v>
      </c>
      <c r="C173" s="73">
        <f t="array" ref="C173">IFERROR(INDEX(FinishedData!$C:$C,MATCH(C170,FinishedData!$A:$A,0)),"")</f>
        <v>970</v>
      </c>
      <c r="D173" s="73">
        <f t="array" ref="D173">IFERROR(INDEX(FinishedData!$C:$C,MATCH(D170,FinishedData!$A:$A,0)),"")</f>
        <v>835</v>
      </c>
      <c r="E173" s="73">
        <f t="array" ref="E173">IFERROR(INDEX(FinishedData!$C:$C,MATCH(E170,FinishedData!$A:$A,0)),"")</f>
        <v>915</v>
      </c>
      <c r="F173" s="73">
        <f t="array" ref="F173">IFERROR(INDEX(FinishedData!$C:$C,MATCH(F170,FinishedData!$A:$A,0)),"")</f>
        <v>740</v>
      </c>
      <c r="G173" s="73" t="str">
        <f t="array" ref="G173">IFERROR(INDEX(FinishedData!$C:$C,MATCH(G170,FinishedData!$A:$A,0)),"")</f>
        <v/>
      </c>
      <c r="H173" s="2"/>
      <c r="I173" s="74" t="s">
        <v>49</v>
      </c>
      <c r="J173" s="75">
        <f>IFERROR(__xludf.DUMMYFUNCTION("IFERROR(IF(WEEKNUM($A$6)=1,($J172-SUM(FILTER(FinishedData!$C:$C,YEAR(FinishedData!$A:$A)=YEAR($A$6)-1,WEEKNUM(FinishedData!$A:$A)=WEEKNUM($A$6)+52)))/$I172,
($J172-SUM(FILTER(FinishedData!$C:$C,YEAR(FinishedData!$A:$A)=YEAR($A$6),WEEKNUM(FinishedData!$A:$"&amp;"A)=WEEKNUM($A$6)-1)))/$I172),"""")"),0.21315192743764172)</f>
        <v>0.2131519274</v>
      </c>
      <c r="K173" s="2"/>
      <c r="L173" s="2"/>
      <c r="M173" s="2"/>
      <c r="N173" s="2"/>
      <c r="O173" s="2"/>
      <c r="P173" s="2"/>
      <c r="Q173" s="2"/>
      <c r="R173" s="2"/>
      <c r="S173" s="2"/>
      <c r="T173" s="2"/>
      <c r="U173" s="2"/>
      <c r="V173" s="2"/>
      <c r="W173" s="2"/>
      <c r="X173" s="2"/>
      <c r="Y173" s="2"/>
      <c r="Z173" s="2"/>
    </row>
    <row r="174" ht="22.5" customHeight="1">
      <c r="A174" s="76">
        <f>IF(G170&gt;=$D$3,"",G170+1)</f>
        <v>44843</v>
      </c>
      <c r="B174" s="76">
        <f t="shared" ref="B174:G174" si="43">IF(A174&gt;=$D$3,"",A174+1)</f>
        <v>44844</v>
      </c>
      <c r="C174" s="76">
        <f t="shared" si="43"/>
        <v>44845</v>
      </c>
      <c r="D174" s="76">
        <f t="shared" si="43"/>
        <v>44846</v>
      </c>
      <c r="E174" s="76">
        <f t="shared" si="43"/>
        <v>44847</v>
      </c>
      <c r="F174" s="76">
        <f t="shared" si="43"/>
        <v>44848</v>
      </c>
      <c r="G174" s="76">
        <f t="shared" si="43"/>
        <v>44849</v>
      </c>
      <c r="H174" s="2"/>
      <c r="I174" s="62"/>
      <c r="J174" s="7"/>
      <c r="K174" s="2"/>
      <c r="L174" s="2"/>
      <c r="M174" s="2"/>
      <c r="N174" s="2"/>
      <c r="O174" s="2"/>
      <c r="P174" s="2"/>
      <c r="Q174" s="2"/>
      <c r="R174" s="2"/>
      <c r="S174" s="2"/>
      <c r="T174" s="2"/>
      <c r="U174" s="2"/>
      <c r="V174" s="2"/>
      <c r="W174" s="2"/>
      <c r="X174" s="2"/>
      <c r="Y174" s="2"/>
      <c r="Z174" s="2"/>
    </row>
    <row r="175" ht="22.5" customHeight="1">
      <c r="A175" s="42" t="str">
        <f t="array" ref="A175">IFERROR(INDEX(Lists2!$B:$B,MATCH(A176,Lists2!$A:$A,0)),"")</f>
        <v/>
      </c>
      <c r="B175" s="42" t="str">
        <f t="array" ref="B175">IFERROR(INDEX(Lists2!$B:$B,MATCH(B176,Lists2!$A:$A,0)),"")</f>
        <v/>
      </c>
      <c r="C175" s="42" t="str">
        <f t="array" ref="C175">IFERROR(INDEX(Lists2!$B:$B,MATCH(C176,Lists2!$A:$A,0)),"")</f>
        <v/>
      </c>
      <c r="D175" s="42" t="str">
        <f t="array" ref="D175">IFERROR(INDEX(Lists2!$B:$B,MATCH(D176,Lists2!$A:$A,0)),"")</f>
        <v/>
      </c>
      <c r="E175" s="42" t="str">
        <f t="array" ref="E175">IFERROR(INDEX(Lists2!$B:$B,MATCH(E176,Lists2!$A:$A,0)),"")</f>
        <v/>
      </c>
      <c r="F175" s="42" t="str">
        <f t="array" ref="F175">IFERROR(INDEX(Lists2!$B:$B,MATCH(F176,Lists2!$A:$A,0)),"")</f>
        <v/>
      </c>
      <c r="G175" s="42" t="str">
        <f t="array" ref="G175">IFERROR(INDEX(Lists2!$B:$B,MATCH(G176,Lists2!$A:$A,0)),"")</f>
        <v/>
      </c>
      <c r="H175" s="2"/>
      <c r="I175" s="71" t="str">
        <f>"Week of "&amp;TEXT(A174-7,"MM/DD")</f>
        <v>Week of 10/02</v>
      </c>
      <c r="J175" s="71" t="str">
        <f>"Week of "&amp;TEXT(A174,"MM/DD")</f>
        <v>Week of 10/09</v>
      </c>
      <c r="K175" s="2"/>
      <c r="L175" s="2"/>
      <c r="M175" s="2"/>
      <c r="N175" s="2"/>
      <c r="O175" s="2"/>
      <c r="P175" s="2"/>
      <c r="Q175" s="2"/>
      <c r="R175" s="2"/>
      <c r="S175" s="2"/>
      <c r="T175" s="2"/>
      <c r="U175" s="2"/>
      <c r="V175" s="2"/>
      <c r="W175" s="2"/>
      <c r="X175" s="2"/>
      <c r="Y175" s="2"/>
      <c r="Z175" s="2"/>
    </row>
    <row r="176" ht="22.5" customHeight="1">
      <c r="A176" s="42" t="str">
        <f t="array" ref="A176">IFERROR(INDEX(FinishedData!$B:$B,MATCH(A174,FinishedData!$A:$A,0)),"")</f>
        <v>Gym</v>
      </c>
      <c r="B176" s="42" t="str">
        <f t="array" ref="B176">IFERROR(INDEX(FinishedData!$B:$B,MATCH(B174,FinishedData!$A:$A,0)),"")</f>
        <v>Practice</v>
      </c>
      <c r="C176" s="42" t="str">
        <f t="array" ref="C176">IFERROR(INDEX(FinishedData!$B:$B,MATCH(C174,FinishedData!$A:$A,0)),"")</f>
        <v>Practice</v>
      </c>
      <c r="D176" s="42" t="str">
        <f t="array" ref="D176">IFERROR(INDEX(FinishedData!$B:$B,MATCH(D174,FinishedData!$A:$A,0)),"")</f>
        <v>Practice</v>
      </c>
      <c r="E176" s="42" t="str">
        <f t="array" ref="E176">IFERROR(INDEX(FinishedData!$B:$B,MATCH(E174,FinishedData!$A:$A,0)),"")</f>
        <v>Game</v>
      </c>
      <c r="F176" s="42" t="str">
        <f t="array" ref="F176">IFERROR(INDEX(FinishedData!$B:$B,MATCH(F174,FinishedData!$A:$A,0)),"")</f>
        <v>Game</v>
      </c>
      <c r="G176" s="42" t="str">
        <f t="array" ref="G176">IFERROR(INDEX(FinishedData!$B:$B,MATCH(G174,FinishedData!$A:$A,0)),"")</f>
        <v>Off</v>
      </c>
      <c r="H176" s="2"/>
      <c r="I176" s="72">
        <f>IFERROR(__xludf.DUMMYFUNCTION("IF(A174="""","""",IF(WEEKNUM($A$6)=1,SUM(FILTER(FinishedData!$C:$C,YEAR(FinishedData!$A:$A)=YEAR($A$6)-1,WEEKNUM(FinishedData!$A:$A)=WEEKNUM($A$6)+52)),
SUM(FILTER(FinishedData!$C:$C,YEAR(FinishedData!$A:$A)=YEAR($A$6),WEEKNUM(FinishedData!$A:$A)=WEEKNUM("&amp;"$A$6)-1))))"),4410.0)</f>
        <v>4410</v>
      </c>
      <c r="J176" s="72">
        <f>IFERROR(__xludf.DUMMYFUNCTION("IF(A174="""","""", SUM(FILTER(FinishedData!$C:$C,YEAR(FinishedData!$A:$A)=YEAR($A174),WEEKNUM(FinishedData!$A:$A)=WEEKNUM($A174))))"),4675.0)</f>
        <v>4675</v>
      </c>
      <c r="K176" s="2"/>
      <c r="L176" s="2"/>
      <c r="M176" s="2"/>
      <c r="N176" s="2"/>
      <c r="O176" s="2"/>
      <c r="P176" s="2"/>
      <c r="Q176" s="2"/>
      <c r="R176" s="2"/>
      <c r="S176" s="2"/>
      <c r="T176" s="2"/>
      <c r="U176" s="2"/>
      <c r="V176" s="2"/>
      <c r="W176" s="2"/>
      <c r="X176" s="2"/>
      <c r="Y176" s="2"/>
      <c r="Z176" s="2"/>
    </row>
    <row r="177" ht="22.5" customHeight="1">
      <c r="A177" s="73">
        <f t="array" ref="A177">IFERROR(INDEX(FinishedData!$C:$C,MATCH(A174,FinishedData!$A:$A,0)),"")</f>
        <v>1000</v>
      </c>
      <c r="B177" s="73">
        <f t="array" ref="B177">IFERROR(INDEX(FinishedData!$C:$C,MATCH(B174,FinishedData!$A:$A,0)),"")</f>
        <v>820</v>
      </c>
      <c r="C177" s="73">
        <f t="array" ref="C177">IFERROR(INDEX(FinishedData!$C:$C,MATCH(C174,FinishedData!$A:$A,0)),"")</f>
        <v>640</v>
      </c>
      <c r="D177" s="73">
        <f t="array" ref="D177">IFERROR(INDEX(FinishedData!$C:$C,MATCH(D174,FinishedData!$A:$A,0)),"")</f>
        <v>995</v>
      </c>
      <c r="E177" s="73">
        <f t="array" ref="E177">IFERROR(INDEX(FinishedData!$C:$C,MATCH(E174,FinishedData!$A:$A,0)),"")</f>
        <v>570</v>
      </c>
      <c r="F177" s="73">
        <f t="array" ref="F177">IFERROR(INDEX(FinishedData!$C:$C,MATCH(F174,FinishedData!$A:$A,0)),"")</f>
        <v>650</v>
      </c>
      <c r="G177" s="73" t="str">
        <f t="array" ref="G177">IFERROR(INDEX(FinishedData!$C:$C,MATCH(G174,FinishedData!$A:$A,0)),"")</f>
        <v/>
      </c>
      <c r="H177" s="2"/>
      <c r="I177" s="74" t="s">
        <v>47</v>
      </c>
      <c r="J177" s="75">
        <f>IFERROR(__xludf.DUMMYFUNCTION("IFERROR(IF(WEEKNUM($A$6)=1,($J176-SUM(FILTER(FinishedData!$C:$C,YEAR(FinishedData!$A:$A)=YEAR($A$6)-1,WEEKNUM(FinishedData!$A:$A)=WEEKNUM($A$6)+52)))/$I176,
($J176-SUM(FILTER(FinishedData!$C:$C,YEAR(FinishedData!$A:$A)=YEAR($A$6),WEEKNUM(FinishedData!$A:$"&amp;"A)=WEEKNUM($A$6)-1)))/$I176),"""")"),0.060090702947845805)</f>
        <v>0.06009070295</v>
      </c>
      <c r="K177" s="2"/>
      <c r="L177" s="2"/>
      <c r="M177" s="2"/>
      <c r="N177" s="2"/>
      <c r="O177" s="2"/>
      <c r="P177" s="2"/>
      <c r="Q177" s="2"/>
      <c r="R177" s="2"/>
      <c r="S177" s="2"/>
      <c r="T177" s="2"/>
      <c r="U177" s="2"/>
      <c r="V177" s="2"/>
      <c r="W177" s="2"/>
      <c r="X177" s="2"/>
      <c r="Y177" s="2"/>
      <c r="Z177" s="2"/>
    </row>
    <row r="178" ht="22.5" customHeight="1">
      <c r="A178" s="76">
        <f>IF(G174&gt;=$D$3,"",G174+1)</f>
        <v>44850</v>
      </c>
      <c r="B178" s="76">
        <f t="shared" ref="B178:G178" si="44">IF(A178&gt;=$D$3,"",A178+1)</f>
        <v>44851</v>
      </c>
      <c r="C178" s="76">
        <f t="shared" si="44"/>
        <v>44852</v>
      </c>
      <c r="D178" s="76">
        <f t="shared" si="44"/>
        <v>44853</v>
      </c>
      <c r="E178" s="76">
        <f t="shared" si="44"/>
        <v>44854</v>
      </c>
      <c r="F178" s="76">
        <f t="shared" si="44"/>
        <v>44855</v>
      </c>
      <c r="G178" s="76">
        <f t="shared" si="44"/>
        <v>44856</v>
      </c>
      <c r="H178" s="2"/>
      <c r="K178" s="2"/>
      <c r="L178" s="2"/>
      <c r="M178" s="2"/>
      <c r="N178" s="2"/>
      <c r="O178" s="2"/>
      <c r="P178" s="2"/>
      <c r="Q178" s="2"/>
      <c r="R178" s="2"/>
      <c r="S178" s="2"/>
      <c r="T178" s="2"/>
      <c r="U178" s="2"/>
      <c r="V178" s="2"/>
      <c r="W178" s="2"/>
      <c r="X178" s="2"/>
      <c r="Y178" s="2"/>
      <c r="Z178" s="2"/>
    </row>
    <row r="179" ht="22.5" customHeight="1">
      <c r="A179" s="42" t="str">
        <f t="array" ref="A179">IFERROR(INDEX(Lists2!$B:$B,MATCH(A180,Lists2!$A:$A,0)),"")</f>
        <v/>
      </c>
      <c r="B179" s="42" t="str">
        <f t="array" ref="B179">IFERROR(INDEX(Lists2!$B:$B,MATCH(B180,Lists2!$A:$A,0)),"")</f>
        <v/>
      </c>
      <c r="C179" s="42" t="str">
        <f t="array" ref="C179">IFERROR(INDEX(Lists2!$B:$B,MATCH(C180,Lists2!$A:$A,0)),"")</f>
        <v/>
      </c>
      <c r="D179" s="42" t="str">
        <f t="array" ref="D179">IFERROR(INDEX(Lists2!$B:$B,MATCH(D180,Lists2!$A:$A,0)),"")</f>
        <v/>
      </c>
      <c r="E179" s="42" t="str">
        <f t="array" ref="E179">IFERROR(INDEX(Lists2!$B:$B,MATCH(E180,Lists2!$A:$A,0)),"")</f>
        <v/>
      </c>
      <c r="F179" s="42" t="str">
        <f t="array" ref="F179">IFERROR(INDEX(Lists2!$B:$B,MATCH(F180,Lists2!$A:$A,0)),"")</f>
        <v/>
      </c>
      <c r="G179" s="42" t="str">
        <f t="array" ref="G179">IFERROR(INDEX(Lists2!$B:$B,MATCH(G180,Lists2!$A:$A,0)),"")</f>
        <v/>
      </c>
      <c r="H179" s="2"/>
      <c r="I179" s="71" t="str">
        <f>"Week of "&amp;TEXT(A178-7,"MM/DD")</f>
        <v>Week of 10/09</v>
      </c>
      <c r="J179" s="71" t="str">
        <f>"Week of "&amp;TEXT(A178,"MM/DD")</f>
        <v>Week of 10/16</v>
      </c>
      <c r="K179" s="2"/>
      <c r="L179" s="2"/>
      <c r="M179" s="2"/>
      <c r="N179" s="2"/>
      <c r="O179" s="2"/>
      <c r="P179" s="2"/>
      <c r="Q179" s="2"/>
      <c r="R179" s="2"/>
      <c r="S179" s="2"/>
      <c r="T179" s="2"/>
      <c r="U179" s="2"/>
      <c r="V179" s="2"/>
      <c r="W179" s="2"/>
      <c r="X179" s="2"/>
      <c r="Y179" s="2"/>
      <c r="Z179" s="2"/>
    </row>
    <row r="180" ht="22.5" customHeight="1">
      <c r="A180" s="42" t="str">
        <f t="array" ref="A180">IFERROR(INDEX(FinishedData!$B:$B,MATCH(A178,FinishedData!$A:$A,0)),"")</f>
        <v>Practice</v>
      </c>
      <c r="B180" s="42" t="str">
        <f t="array" ref="B180">IFERROR(INDEX(FinishedData!$B:$B,MATCH(B178,FinishedData!$A:$A,0)),"")</f>
        <v>Game</v>
      </c>
      <c r="C180" s="42" t="str">
        <f t="array" ref="C180">IFERROR(INDEX(FinishedData!$B:$B,MATCH(C178,FinishedData!$A:$A,0)),"")</f>
        <v>Practice</v>
      </c>
      <c r="D180" s="42" t="str">
        <f t="array" ref="D180">IFERROR(INDEX(FinishedData!$B:$B,MATCH(D178,FinishedData!$A:$A,0)),"")</f>
        <v>Practice</v>
      </c>
      <c r="E180" s="42" t="str">
        <f t="array" ref="E180">IFERROR(INDEX(FinishedData!$B:$B,MATCH(E178,FinishedData!$A:$A,0)),"")</f>
        <v>Practice</v>
      </c>
      <c r="F180" s="42" t="str">
        <f t="array" ref="F180">IFERROR(INDEX(FinishedData!$B:$B,MATCH(F178,FinishedData!$A:$A,0)),"")</f>
        <v>Game</v>
      </c>
      <c r="G180" s="42" t="str">
        <f t="array" ref="G180">IFERROR(INDEX(FinishedData!$B:$B,MATCH(G178,FinishedData!$A:$A,0)),"")</f>
        <v>Practice</v>
      </c>
      <c r="H180" s="2"/>
      <c r="I180" s="72">
        <f>IFERROR(__xludf.DUMMYFUNCTION("IF(A178="""","""",IF(WEEKNUM($A$6)=1,SUM(FILTER(FinishedData!$C:$C,YEAR(FinishedData!$A:$A)=YEAR($A$6)-1,WEEKNUM(FinishedData!$A:$A)=WEEKNUM($A$6)+52)),
SUM(FILTER(FinishedData!$C:$C,YEAR(FinishedData!$A:$A)=YEAR($A$6),WEEKNUM(FinishedData!$A:$A)=WEEKNUM("&amp;"$A$6)-1))))"),4410.0)</f>
        <v>4410</v>
      </c>
      <c r="J180" s="72">
        <f>IFERROR(__xludf.DUMMYFUNCTION("IF(A178="""","""", SUM(FILTER(FinishedData!$C:$C,YEAR(FinishedData!$A:$A)=YEAR($A178),WEEKNUM(FinishedData!$A:$A)=WEEKNUM($A178))))"),5350.0)</f>
        <v>5350</v>
      </c>
      <c r="K180" s="2"/>
      <c r="L180" s="2"/>
      <c r="M180" s="2"/>
      <c r="N180" s="2"/>
      <c r="O180" s="2"/>
      <c r="P180" s="2"/>
      <c r="Q180" s="2"/>
      <c r="R180" s="2"/>
      <c r="S180" s="2"/>
      <c r="T180" s="2"/>
      <c r="U180" s="2"/>
      <c r="V180" s="2"/>
      <c r="W180" s="2"/>
      <c r="X180" s="2"/>
      <c r="Y180" s="2"/>
      <c r="Z180" s="2"/>
    </row>
    <row r="181" ht="22.5" customHeight="1">
      <c r="A181" s="73">
        <f t="array" ref="A181">IFERROR(INDEX(FinishedData!$C:$C,MATCH(A178,FinishedData!$A:$A,0)),"")</f>
        <v>850</v>
      </c>
      <c r="B181" s="73">
        <f t="array" ref="B181">IFERROR(INDEX(FinishedData!$C:$C,MATCH(B178,FinishedData!$A:$A,0)),"")</f>
        <v>680</v>
      </c>
      <c r="C181" s="73">
        <f t="array" ref="C181">IFERROR(INDEX(FinishedData!$C:$C,MATCH(C178,FinishedData!$A:$A,0)),"")</f>
        <v>745</v>
      </c>
      <c r="D181" s="73">
        <f t="array" ref="D181">IFERROR(INDEX(FinishedData!$C:$C,MATCH(D178,FinishedData!$A:$A,0)),"")</f>
        <v>880</v>
      </c>
      <c r="E181" s="73">
        <f t="array" ref="E181">IFERROR(INDEX(FinishedData!$C:$C,MATCH(E178,FinishedData!$A:$A,0)),"")</f>
        <v>730</v>
      </c>
      <c r="F181" s="73">
        <f t="array" ref="F181">IFERROR(INDEX(FinishedData!$C:$C,MATCH(F178,FinishedData!$A:$A,0)),"")</f>
        <v>850</v>
      </c>
      <c r="G181" s="73">
        <f t="array" ref="G181">IFERROR(INDEX(FinishedData!$C:$C,MATCH(G178,FinishedData!$A:$A,0)),"")</f>
        <v>615</v>
      </c>
      <c r="H181" s="2"/>
      <c r="I181" s="74" t="s">
        <v>49</v>
      </c>
      <c r="J181" s="75">
        <f>IFERROR(__xludf.DUMMYFUNCTION("IFERROR(IF(WEEKNUM($A$6)=1,($J180-SUM(FILTER(FinishedData!$C:$C,YEAR(FinishedData!$A:$A)=YEAR($A$6)-1,WEEKNUM(FinishedData!$A:$A)=WEEKNUM($A$6)+52)))/$I180,
($J180-SUM(FILTER(FinishedData!$C:$C,YEAR(FinishedData!$A:$A)=YEAR($A$6),WEEKNUM(FinishedData!$A:$"&amp;"A)=WEEKNUM($A$6)-1)))/$I180),"""")"),0.21315192743764172)</f>
        <v>0.2131519274</v>
      </c>
      <c r="K181" s="2"/>
      <c r="L181" s="2"/>
      <c r="M181" s="2"/>
      <c r="N181" s="2"/>
      <c r="O181" s="2"/>
      <c r="P181" s="2"/>
      <c r="Q181" s="2"/>
      <c r="R181" s="2"/>
      <c r="S181" s="2"/>
      <c r="T181" s="2"/>
      <c r="U181" s="2"/>
      <c r="V181" s="2"/>
      <c r="W181" s="2"/>
      <c r="X181" s="2"/>
      <c r="Y181" s="2"/>
      <c r="Z181" s="2"/>
    </row>
    <row r="182" ht="22.5" customHeight="1">
      <c r="A182" s="76">
        <f>IF(G178&gt;=$D$3,"",G178+1)</f>
        <v>44857</v>
      </c>
      <c r="B182" s="76">
        <f t="shared" ref="B182:G182" si="45">IF(A182&gt;=$D$3,"",A182+1)</f>
        <v>44858</v>
      </c>
      <c r="C182" s="76">
        <f t="shared" si="45"/>
        <v>44859</v>
      </c>
      <c r="D182" s="76">
        <f t="shared" si="45"/>
        <v>44860</v>
      </c>
      <c r="E182" s="76">
        <f t="shared" si="45"/>
        <v>44861</v>
      </c>
      <c r="F182" s="76">
        <f t="shared" si="45"/>
        <v>44862</v>
      </c>
      <c r="G182" s="76">
        <f t="shared" si="45"/>
        <v>44863</v>
      </c>
      <c r="H182" s="2"/>
      <c r="K182" s="2"/>
      <c r="L182" s="2"/>
      <c r="M182" s="2"/>
      <c r="N182" s="2"/>
      <c r="O182" s="2"/>
      <c r="P182" s="2"/>
      <c r="Q182" s="2"/>
      <c r="R182" s="2"/>
      <c r="S182" s="2"/>
      <c r="T182" s="2"/>
      <c r="U182" s="2"/>
      <c r="V182" s="2"/>
      <c r="W182" s="2"/>
      <c r="X182" s="2"/>
      <c r="Y182" s="2"/>
      <c r="Z182" s="2"/>
    </row>
    <row r="183" ht="22.5" customHeight="1">
      <c r="A183" s="42" t="str">
        <f t="array" ref="A183">IFERROR(INDEX(Lists2!$B:$B,MATCH(A184,Lists2!$A:$A,0)),"")</f>
        <v/>
      </c>
      <c r="B183" s="42" t="str">
        <f t="array" ref="B183">IFERROR(INDEX(Lists2!$B:$B,MATCH(B184,Lists2!$A:$A,0)),"")</f>
        <v/>
      </c>
      <c r="C183" s="42" t="str">
        <f t="array" ref="C183">IFERROR(INDEX(Lists2!$B:$B,MATCH(C184,Lists2!$A:$A,0)),"")</f>
        <v/>
      </c>
      <c r="D183" s="42" t="str">
        <f t="array" ref="D183">IFERROR(INDEX(Lists2!$B:$B,MATCH(D184,Lists2!$A:$A,0)),"")</f>
        <v/>
      </c>
      <c r="E183" s="42" t="str">
        <f t="array" ref="E183">IFERROR(INDEX(Lists2!$B:$B,MATCH(E184,Lists2!$A:$A,0)),"")</f>
        <v/>
      </c>
      <c r="F183" s="42" t="str">
        <f t="array" ref="F183">IFERROR(INDEX(Lists2!$B:$B,MATCH(F184,Lists2!$A:$A,0)),"")</f>
        <v/>
      </c>
      <c r="G183" s="42" t="str">
        <f t="array" ref="G183">IFERROR(INDEX(Lists2!$B:$B,MATCH(G184,Lists2!$A:$A,0)),"")</f>
        <v/>
      </c>
      <c r="H183" s="2"/>
      <c r="I183" s="71" t="str">
        <f>"Week of "&amp;TEXT(A182-7,"MM/DD")</f>
        <v>Week of 10/16</v>
      </c>
      <c r="J183" s="71" t="str">
        <f>"Week of "&amp;TEXT(A182,"MM/DD")</f>
        <v>Week of 10/23</v>
      </c>
      <c r="K183" s="2"/>
      <c r="L183" s="2"/>
      <c r="M183" s="2"/>
      <c r="N183" s="2"/>
      <c r="O183" s="2"/>
      <c r="P183" s="2"/>
      <c r="Q183" s="2"/>
      <c r="R183" s="2"/>
      <c r="S183" s="2"/>
      <c r="T183" s="2"/>
      <c r="U183" s="2"/>
      <c r="V183" s="2"/>
      <c r="W183" s="2"/>
      <c r="X183" s="2"/>
      <c r="Y183" s="2"/>
      <c r="Z183" s="2"/>
    </row>
    <row r="184" ht="22.5" customHeight="1">
      <c r="A184" s="42" t="str">
        <f t="array" ref="A184">IFERROR(INDEX(FinishedData!$B:$B,MATCH(A182,FinishedData!$A:$A,0)),"")</f>
        <v>Practice</v>
      </c>
      <c r="B184" s="42" t="str">
        <f t="array" ref="B184">IFERROR(INDEX(FinishedData!$B:$B,MATCH(B182,FinishedData!$A:$A,0)),"")</f>
        <v>Game</v>
      </c>
      <c r="C184" s="42" t="str">
        <f t="array" ref="C184">IFERROR(INDEX(FinishedData!$B:$B,MATCH(C182,FinishedData!$A:$A,0)),"")</f>
        <v>Off</v>
      </c>
      <c r="D184" s="42" t="str">
        <f t="array" ref="D184">IFERROR(INDEX(FinishedData!$B:$B,MATCH(D182,FinishedData!$A:$A,0)),"")</f>
        <v>Practice</v>
      </c>
      <c r="E184" s="42" t="str">
        <f t="array" ref="E184">IFERROR(INDEX(FinishedData!$B:$B,MATCH(E182,FinishedData!$A:$A,0)),"")</f>
        <v>Gym</v>
      </c>
      <c r="F184" s="42" t="str">
        <f t="array" ref="F184">IFERROR(INDEX(FinishedData!$B:$B,MATCH(F182,FinishedData!$A:$A,0)),"")</f>
        <v>Practice</v>
      </c>
      <c r="G184" s="42" t="str">
        <f t="array" ref="G184">IFERROR(INDEX(FinishedData!$B:$B,MATCH(G182,FinishedData!$A:$A,0)),"")</f>
        <v>Practice</v>
      </c>
      <c r="H184" s="2"/>
      <c r="I184" s="72">
        <f>IFERROR(__xludf.DUMMYFUNCTION("IF(A182="""","""",IF(WEEKNUM($A$6)=1,SUM(FILTER(FinishedData!$C:$C,YEAR(FinishedData!$A:$A)=YEAR($A$6)-1,WEEKNUM(FinishedData!$A:$A)=WEEKNUM($A$6)+52)),
SUM(FILTER(FinishedData!$C:$C,YEAR(FinishedData!$A:$A)=YEAR($A$6),WEEKNUM(FinishedData!$A:$A)=WEEKNUM("&amp;"$A$6)-1))))"),4410.0)</f>
        <v>4410</v>
      </c>
      <c r="J184" s="72">
        <f>IFERROR(__xludf.DUMMYFUNCTION("IF(A182="""","""", SUM(FILTER(FinishedData!$C:$C,YEAR(FinishedData!$A:$A)=YEAR($A182),WEEKNUM(FinishedData!$A:$A)=WEEKNUM($A182))))"),4665.0)</f>
        <v>4665</v>
      </c>
      <c r="K184" s="2"/>
      <c r="L184" s="2"/>
      <c r="M184" s="2"/>
      <c r="N184" s="2"/>
      <c r="O184" s="2"/>
      <c r="P184" s="2"/>
      <c r="Q184" s="2"/>
      <c r="R184" s="2"/>
      <c r="S184" s="2"/>
      <c r="T184" s="2"/>
      <c r="U184" s="2"/>
      <c r="V184" s="2"/>
      <c r="W184" s="2"/>
      <c r="X184" s="2"/>
      <c r="Y184" s="2"/>
      <c r="Z184" s="2"/>
    </row>
    <row r="185" ht="22.5" customHeight="1">
      <c r="A185" s="73">
        <f t="array" ref="A185">IFERROR(INDEX(FinishedData!$C:$C,MATCH(A182,FinishedData!$A:$A,0)),"")</f>
        <v>800</v>
      </c>
      <c r="B185" s="73">
        <f t="array" ref="B185">IFERROR(INDEX(FinishedData!$C:$C,MATCH(B182,FinishedData!$A:$A,0)),"")</f>
        <v>750</v>
      </c>
      <c r="C185" s="73" t="str">
        <f t="array" ref="C185">IFERROR(INDEX(FinishedData!$C:$C,MATCH(C182,FinishedData!$A:$A,0)),"")</f>
        <v/>
      </c>
      <c r="D185" s="73">
        <f t="array" ref="D185">IFERROR(INDEX(FinishedData!$C:$C,MATCH(D182,FinishedData!$A:$A,0)),"")</f>
        <v>590</v>
      </c>
      <c r="E185" s="73">
        <f t="array" ref="E185">IFERROR(INDEX(FinishedData!$C:$C,MATCH(E182,FinishedData!$A:$A,0)),"")</f>
        <v>635</v>
      </c>
      <c r="F185" s="73">
        <f t="array" ref="F185">IFERROR(INDEX(FinishedData!$C:$C,MATCH(F182,FinishedData!$A:$A,0)),"")</f>
        <v>890</v>
      </c>
      <c r="G185" s="73">
        <f t="array" ref="G185">IFERROR(INDEX(FinishedData!$C:$C,MATCH(G182,FinishedData!$A:$A,0)),"")</f>
        <v>1000</v>
      </c>
      <c r="H185" s="2"/>
      <c r="I185" s="74" t="s">
        <v>47</v>
      </c>
      <c r="J185" s="75">
        <f>IFERROR(__xludf.DUMMYFUNCTION("IFERROR(IF(WEEKNUM($A$6)=1,($J184-SUM(FILTER(FinishedData!$C:$C,YEAR(FinishedData!$A:$A)=YEAR($A$6)-1,WEEKNUM(FinishedData!$A:$A)=WEEKNUM($A$6)+52)))/$I184,
($J184-SUM(FILTER(FinishedData!$C:$C,YEAR(FinishedData!$A:$A)=YEAR($A$6),WEEKNUM(FinishedData!$A:$"&amp;"A)=WEEKNUM($A$6)-1)))/$I184),"""")"),0.05782312925170068)</f>
        <v>0.05782312925</v>
      </c>
      <c r="K185" s="2"/>
      <c r="L185" s="2"/>
      <c r="M185" s="2"/>
      <c r="N185" s="2"/>
      <c r="O185" s="2"/>
      <c r="P185" s="2"/>
      <c r="Q185" s="2"/>
      <c r="R185" s="2"/>
      <c r="S185" s="2"/>
      <c r="T185" s="2"/>
      <c r="U185" s="2"/>
      <c r="V185" s="2"/>
      <c r="W185" s="2"/>
      <c r="X185" s="2"/>
      <c r="Y185" s="2"/>
      <c r="Z185" s="2"/>
    </row>
    <row r="186" ht="22.5" customHeight="1">
      <c r="A186" s="76">
        <f>IF(G182&gt;=$D$3,"",G182+1)</f>
        <v>44864</v>
      </c>
      <c r="B186" s="76">
        <f t="shared" ref="B186:G186" si="46">IF(A186&gt;=$D$3,"",A186+1)</f>
        <v>44865</v>
      </c>
      <c r="C186" s="76">
        <f t="shared" si="46"/>
        <v>44866</v>
      </c>
      <c r="D186" s="76">
        <f t="shared" si="46"/>
        <v>44867</v>
      </c>
      <c r="E186" s="76">
        <f t="shared" si="46"/>
        <v>44868</v>
      </c>
      <c r="F186" s="76">
        <f t="shared" si="46"/>
        <v>44869</v>
      </c>
      <c r="G186" s="76">
        <f t="shared" si="46"/>
        <v>44870</v>
      </c>
      <c r="H186" s="2"/>
      <c r="K186" s="2"/>
      <c r="L186" s="2"/>
      <c r="M186" s="2"/>
      <c r="N186" s="2"/>
      <c r="O186" s="2"/>
      <c r="P186" s="2"/>
      <c r="Q186" s="2"/>
      <c r="R186" s="2"/>
      <c r="S186" s="2"/>
      <c r="T186" s="2"/>
      <c r="U186" s="2"/>
      <c r="V186" s="2"/>
      <c r="W186" s="2"/>
      <c r="X186" s="2"/>
      <c r="Y186" s="2"/>
      <c r="Z186" s="2"/>
    </row>
    <row r="187" ht="22.5" customHeight="1">
      <c r="A187" s="42" t="str">
        <f t="array" ref="A187">IFERROR(INDEX(Lists2!$B:$B,MATCH(A188,Lists2!$A:$A,0)),"")</f>
        <v/>
      </c>
      <c r="B187" s="42" t="str">
        <f t="array" ref="B187">IFERROR(INDEX(Lists2!$B:$B,MATCH(B188,Lists2!$A:$A,0)),"")</f>
        <v/>
      </c>
      <c r="C187" s="42" t="str">
        <f t="array" ref="C187">IFERROR(INDEX(Lists2!$B:$B,MATCH(C188,Lists2!$A:$A,0)),"")</f>
        <v/>
      </c>
      <c r="D187" s="42" t="str">
        <f t="array" ref="D187">IFERROR(INDEX(Lists2!$B:$B,MATCH(D188,Lists2!$A:$A,0)),"")</f>
        <v/>
      </c>
      <c r="E187" s="42" t="str">
        <f t="array" ref="E187">IFERROR(INDEX(Lists2!$B:$B,MATCH(E188,Lists2!$A:$A,0)),"")</f>
        <v/>
      </c>
      <c r="F187" s="42" t="str">
        <f t="array" ref="F187">IFERROR(INDEX(Lists2!$B:$B,MATCH(F188,Lists2!$A:$A,0)),"")</f>
        <v/>
      </c>
      <c r="G187" s="42" t="str">
        <f t="array" ref="G187">IFERROR(INDEX(Lists2!$B:$B,MATCH(G188,Lists2!$A:$A,0)),"")</f>
        <v/>
      </c>
      <c r="H187" s="2"/>
      <c r="I187" s="71" t="str">
        <f>"Week of "&amp;TEXT(A186-7,"MM/DD")</f>
        <v>Week of 10/23</v>
      </c>
      <c r="J187" s="71" t="str">
        <f>"Week of "&amp;TEXT(A186,"MM/DD")</f>
        <v>Week of 10/30</v>
      </c>
      <c r="K187" s="2"/>
      <c r="L187" s="2"/>
      <c r="M187" s="2"/>
      <c r="N187" s="2"/>
      <c r="O187" s="2"/>
      <c r="P187" s="2"/>
      <c r="Q187" s="2"/>
      <c r="R187" s="2"/>
      <c r="S187" s="2"/>
      <c r="T187" s="2"/>
      <c r="U187" s="2"/>
      <c r="V187" s="2"/>
      <c r="W187" s="2"/>
      <c r="X187" s="2"/>
      <c r="Y187" s="2"/>
      <c r="Z187" s="2"/>
    </row>
    <row r="188" ht="22.5" customHeight="1">
      <c r="A188" s="42" t="str">
        <f t="array" ref="A188">IFERROR(INDEX(FinishedData!$B:$B,MATCH(A186,FinishedData!$A:$A,0)),"")</f>
        <v>Practice</v>
      </c>
      <c r="B188" s="42" t="str">
        <f t="array" ref="B188">IFERROR(INDEX(FinishedData!$B:$B,MATCH(B186,FinishedData!$A:$A,0)),"")</f>
        <v>Game</v>
      </c>
      <c r="C188" s="42" t="str">
        <f t="array" ref="C188">IFERROR(INDEX(FinishedData!$B:$B,MATCH(C186,FinishedData!$A:$A,0)),"")</f>
        <v>Off</v>
      </c>
      <c r="D188" s="42" t="str">
        <f t="array" ref="D188">IFERROR(INDEX(FinishedData!$B:$B,MATCH(D186,FinishedData!$A:$A,0)),"")</f>
        <v>Gym</v>
      </c>
      <c r="E188" s="42" t="str">
        <f t="array" ref="E188">IFERROR(INDEX(FinishedData!$B:$B,MATCH(E186,FinishedData!$A:$A,0)),"")</f>
        <v>Practice</v>
      </c>
      <c r="F188" s="42" t="str">
        <f t="array" ref="F188">IFERROR(INDEX(FinishedData!$B:$B,MATCH(F186,FinishedData!$A:$A,0)),"")</f>
        <v>Practice</v>
      </c>
      <c r="G188" s="42" t="str">
        <f t="array" ref="G188">IFERROR(INDEX(FinishedData!$B:$B,MATCH(G186,FinishedData!$A:$A,0)),"")</f>
        <v>Game</v>
      </c>
      <c r="H188" s="2"/>
      <c r="I188" s="72">
        <f>IFERROR(__xludf.DUMMYFUNCTION("IF(A186="""","""",IF(WEEKNUM($A$6)=1,SUM(FILTER(FinishedData!$C:$C,YEAR(FinishedData!$A:$A)=YEAR($A$6)-1,WEEKNUM(FinishedData!$A:$A)=WEEKNUM($A$6)+52)),
SUM(FILTER(FinishedData!$C:$C,YEAR(FinishedData!$A:$A)=YEAR($A$6),WEEKNUM(FinishedData!$A:$A)=WEEKNUM("&amp;"$A$6)-1))))"),4410.0)</f>
        <v>4410</v>
      </c>
      <c r="J188" s="72">
        <f>IFERROR(__xludf.DUMMYFUNCTION("IF(A186="""","""", SUM(FILTER(FinishedData!$C:$C,YEAR(FinishedData!$A:$A)=YEAR($A186),WEEKNUM(FinishedData!$A:$A)=WEEKNUM($A186))))"),4430.0)</f>
        <v>4430</v>
      </c>
      <c r="K188" s="2"/>
      <c r="L188" s="2"/>
      <c r="M188" s="2"/>
      <c r="N188" s="2"/>
      <c r="O188" s="2"/>
      <c r="P188" s="2"/>
      <c r="Q188" s="2"/>
      <c r="R188" s="2"/>
      <c r="S188" s="2"/>
      <c r="T188" s="2"/>
      <c r="U188" s="2"/>
      <c r="V188" s="2"/>
      <c r="W188" s="2"/>
      <c r="X188" s="2"/>
      <c r="Y188" s="2"/>
      <c r="Z188" s="2"/>
    </row>
    <row r="189" ht="22.5" customHeight="1">
      <c r="A189" s="73">
        <f t="array" ref="A189">IFERROR(INDEX(FinishedData!$C:$C,MATCH(A186,FinishedData!$A:$A,0)),"")</f>
        <v>545</v>
      </c>
      <c r="B189" s="73">
        <f t="array" ref="B189">IFERROR(INDEX(FinishedData!$C:$C,MATCH(B186,FinishedData!$A:$A,0)),"")</f>
        <v>580</v>
      </c>
      <c r="C189" s="73" t="str">
        <f t="array" ref="C189">IFERROR(INDEX(FinishedData!$C:$C,MATCH(C186,FinishedData!$A:$A,0)),"")</f>
        <v/>
      </c>
      <c r="D189" s="73">
        <f t="array" ref="D189">IFERROR(INDEX(FinishedData!$C:$C,MATCH(D186,FinishedData!$A:$A,0)),"")</f>
        <v>960</v>
      </c>
      <c r="E189" s="73">
        <f t="array" ref="E189">IFERROR(INDEX(FinishedData!$C:$C,MATCH(E186,FinishedData!$A:$A,0)),"")</f>
        <v>785</v>
      </c>
      <c r="F189" s="73">
        <f t="array" ref="F189">IFERROR(INDEX(FinishedData!$C:$C,MATCH(F186,FinishedData!$A:$A,0)),"")</f>
        <v>850</v>
      </c>
      <c r="G189" s="73">
        <f t="array" ref="G189">IFERROR(INDEX(FinishedData!$C:$C,MATCH(G186,FinishedData!$A:$A,0)),"")</f>
        <v>710</v>
      </c>
      <c r="H189" s="2"/>
      <c r="I189" s="74" t="s">
        <v>49</v>
      </c>
      <c r="J189" s="75">
        <f>IFERROR(__xludf.DUMMYFUNCTION("IFERROR(IF(WEEKNUM($A$6)=1,($J188-SUM(FILTER(FinishedData!$C:$C,YEAR(FinishedData!$A:$A)=YEAR($A$6)-1,WEEKNUM(FinishedData!$A:$A)=WEEKNUM($A$6)+52)))/$I188,
($J188-SUM(FILTER(FinishedData!$C:$C,YEAR(FinishedData!$A:$A)=YEAR($A$6),WEEKNUM(FinishedData!$A:$"&amp;"A)=WEEKNUM($A$6)-1)))/$I188),"""")"),0.0045351473922902496)</f>
        <v>0.004535147392</v>
      </c>
      <c r="K189" s="2"/>
      <c r="L189" s="2"/>
      <c r="M189" s="2"/>
      <c r="N189" s="2"/>
      <c r="O189" s="2"/>
      <c r="P189" s="2"/>
      <c r="Q189" s="2"/>
      <c r="R189" s="2"/>
      <c r="S189" s="2"/>
      <c r="T189" s="2"/>
      <c r="U189" s="2"/>
      <c r="V189" s="2"/>
      <c r="W189" s="2"/>
      <c r="X189" s="2"/>
      <c r="Y189" s="2"/>
      <c r="Z189" s="2"/>
    </row>
    <row r="190" ht="22.5" customHeight="1">
      <c r="A190" s="76">
        <f>IF(G186&gt;=$D$3,"",G186+1)</f>
        <v>44871</v>
      </c>
      <c r="B190" s="76">
        <f t="shared" ref="B190:G190" si="47">IF(A190&gt;=$D$3,"",A190+1)</f>
        <v>44872</v>
      </c>
      <c r="C190" s="76">
        <f t="shared" si="47"/>
        <v>44873</v>
      </c>
      <c r="D190" s="76">
        <f t="shared" si="47"/>
        <v>44874</v>
      </c>
      <c r="E190" s="76">
        <f t="shared" si="47"/>
        <v>44875</v>
      </c>
      <c r="F190" s="76">
        <f t="shared" si="47"/>
        <v>44876</v>
      </c>
      <c r="G190" s="76">
        <f t="shared" si="47"/>
        <v>44877</v>
      </c>
      <c r="H190" s="2"/>
      <c r="I190" s="2"/>
      <c r="J190" s="2"/>
      <c r="K190" s="2"/>
      <c r="L190" s="2"/>
      <c r="M190" s="2"/>
      <c r="N190" s="2"/>
      <c r="O190" s="2"/>
      <c r="P190" s="2"/>
      <c r="Q190" s="2"/>
      <c r="R190" s="2"/>
      <c r="S190" s="2"/>
      <c r="T190" s="2"/>
      <c r="U190" s="2"/>
      <c r="V190" s="2"/>
      <c r="W190" s="2"/>
      <c r="X190" s="2"/>
      <c r="Y190" s="2"/>
      <c r="Z190" s="2"/>
    </row>
    <row r="191" ht="22.5" customHeight="1">
      <c r="A191" s="42" t="str">
        <f t="array" ref="A191">IFERROR(INDEX(Lists2!$B:$B,MATCH(A192,Lists2!$A:$A,0)),"")</f>
        <v/>
      </c>
      <c r="B191" s="42" t="str">
        <f t="array" ref="B191">IFERROR(INDEX(Lists2!$B:$B,MATCH(B192,Lists2!$A:$A,0)),"")</f>
        <v/>
      </c>
      <c r="C191" s="42" t="str">
        <f t="array" ref="C191">IFERROR(INDEX(Lists2!$B:$B,MATCH(C192,Lists2!$A:$A,0)),"")</f>
        <v/>
      </c>
      <c r="D191" s="42" t="str">
        <f t="array" ref="D191">IFERROR(INDEX(Lists2!$B:$B,MATCH(D192,Lists2!$A:$A,0)),"")</f>
        <v/>
      </c>
      <c r="E191" s="42" t="str">
        <f t="array" ref="E191">IFERROR(INDEX(Lists2!$B:$B,MATCH(E192,Lists2!$A:$A,0)),"")</f>
        <v/>
      </c>
      <c r="F191" s="42" t="str">
        <f t="array" ref="F191">IFERROR(INDEX(Lists2!$B:$B,MATCH(F192,Lists2!$A:$A,0)),"")</f>
        <v/>
      </c>
      <c r="G191" s="42" t="str">
        <f t="array" ref="G191">IFERROR(INDEX(Lists2!$B:$B,MATCH(G192,Lists2!$A:$A,0)),"")</f>
        <v/>
      </c>
      <c r="H191" s="2"/>
      <c r="I191" s="71" t="str">
        <f>"Week of "&amp;TEXT(A190-7,"MM/DD")</f>
        <v>Week of 10/30</v>
      </c>
      <c r="J191" s="71" t="str">
        <f>"Week of "&amp;TEXT(A190,"MM/DD")</f>
        <v>Week of 11/06</v>
      </c>
      <c r="K191" s="2"/>
      <c r="L191" s="2"/>
      <c r="M191" s="2"/>
      <c r="N191" s="2"/>
      <c r="O191" s="2"/>
      <c r="P191" s="2"/>
      <c r="Q191" s="2"/>
      <c r="R191" s="2"/>
      <c r="S191" s="2"/>
      <c r="T191" s="2"/>
      <c r="U191" s="2"/>
      <c r="V191" s="2"/>
      <c r="W191" s="2"/>
      <c r="X191" s="2"/>
      <c r="Y191" s="2"/>
      <c r="Z191" s="2"/>
    </row>
    <row r="192" ht="22.5" customHeight="1">
      <c r="A192" s="42" t="str">
        <f t="array" ref="A192">IFERROR(INDEX(FinishedData!$B:$B,MATCH(A190,FinishedData!$A:$A,0)),"")</f>
        <v>Game</v>
      </c>
      <c r="B192" s="42" t="str">
        <f t="array" ref="B192">IFERROR(INDEX(FinishedData!$B:$B,MATCH(B190,FinishedData!$A:$A,0)),"")</f>
        <v>Off</v>
      </c>
      <c r="C192" s="42" t="str">
        <f t="array" ref="C192">IFERROR(INDEX(FinishedData!$B:$B,MATCH(C190,FinishedData!$A:$A,0)),"")</f>
        <v>Practice</v>
      </c>
      <c r="D192" s="42" t="str">
        <f t="array" ref="D192">IFERROR(INDEX(FinishedData!$B:$B,MATCH(D190,FinishedData!$A:$A,0)),"")</f>
        <v>Practice</v>
      </c>
      <c r="E192" s="42" t="str">
        <f t="array" ref="E192">IFERROR(INDEX(FinishedData!$B:$B,MATCH(E190,FinishedData!$A:$A,0)),"")</f>
        <v>Gym</v>
      </c>
      <c r="F192" s="42" t="str">
        <f t="array" ref="F192">IFERROR(INDEX(FinishedData!$B:$B,MATCH(F190,FinishedData!$A:$A,0)),"")</f>
        <v>Practice</v>
      </c>
      <c r="G192" s="42" t="str">
        <f t="array" ref="G192">IFERROR(INDEX(FinishedData!$B:$B,MATCH(G190,FinishedData!$A:$A,0)),"")</f>
        <v>Practice</v>
      </c>
      <c r="H192" s="2"/>
      <c r="I192" s="72">
        <f>IFERROR(__xludf.DUMMYFUNCTION("IF(A190="""","""",IF(WEEKNUM($A$6)=1,SUM(FILTER(FinishedData!$C:$C,YEAR(FinishedData!$A:$A)=YEAR($A$6)-1,WEEKNUM(FinishedData!$A:$A)=WEEKNUM($A$6)+52)),
SUM(FILTER(FinishedData!$C:$C,YEAR(FinishedData!$A:$A)=YEAR($A$6),WEEKNUM(FinishedData!$A:$A)=WEEKNUM("&amp;"$A$6)-1))))"),4410.0)</f>
        <v>4410</v>
      </c>
      <c r="J192" s="72">
        <f>IFERROR(__xludf.DUMMYFUNCTION("IF(A190="""","""", SUM(FILTER(FinishedData!$C:$C,YEAR(FinishedData!$A:$A)=YEAR($A190),WEEKNUM(FinishedData!$A:$A)=WEEKNUM($A190))))"),4855.0)</f>
        <v>4855</v>
      </c>
      <c r="K192" s="2"/>
      <c r="L192" s="2"/>
      <c r="M192" s="2"/>
      <c r="N192" s="2"/>
      <c r="O192" s="2"/>
      <c r="P192" s="2"/>
      <c r="Q192" s="2"/>
      <c r="R192" s="2"/>
      <c r="S192" s="2"/>
      <c r="T192" s="2"/>
      <c r="U192" s="2"/>
      <c r="V192" s="2"/>
      <c r="W192" s="2"/>
      <c r="X192" s="2"/>
      <c r="Y192" s="2"/>
      <c r="Z192" s="2"/>
    </row>
    <row r="193" ht="22.5" customHeight="1">
      <c r="A193" s="73">
        <f t="array" ref="A193">IFERROR(INDEX(FinishedData!$C:$C,MATCH(A190,FinishedData!$A:$A,0)),"")</f>
        <v>935</v>
      </c>
      <c r="B193" s="73" t="str">
        <f t="array" ref="B193">IFERROR(INDEX(FinishedData!$C:$C,MATCH(B190,FinishedData!$A:$A,0)),"")</f>
        <v/>
      </c>
      <c r="C193" s="73">
        <f t="array" ref="C193">IFERROR(INDEX(FinishedData!$C:$C,MATCH(C190,FinishedData!$A:$A,0)),"")</f>
        <v>775</v>
      </c>
      <c r="D193" s="73">
        <f t="array" ref="D193">IFERROR(INDEX(FinishedData!$C:$C,MATCH(D190,FinishedData!$A:$A,0)),"")</f>
        <v>710</v>
      </c>
      <c r="E193" s="73">
        <f t="array" ref="E193">IFERROR(INDEX(FinishedData!$C:$C,MATCH(E190,FinishedData!$A:$A,0)),"")</f>
        <v>945</v>
      </c>
      <c r="F193" s="73">
        <f t="array" ref="F193">IFERROR(INDEX(FinishedData!$C:$C,MATCH(F190,FinishedData!$A:$A,0)),"")</f>
        <v>715</v>
      </c>
      <c r="G193" s="73">
        <f t="array" ref="G193">IFERROR(INDEX(FinishedData!$C:$C,MATCH(G190,FinishedData!$A:$A,0)),"")</f>
        <v>775</v>
      </c>
      <c r="H193" s="2"/>
      <c r="I193" s="74" t="s">
        <v>47</v>
      </c>
      <c r="J193" s="75">
        <f>IFERROR(__xludf.DUMMYFUNCTION("IFERROR(IF(WEEKNUM($A$6)=1,($J192-SUM(FILTER(FinishedData!$C:$C,YEAR(FinishedData!$A:$A)=YEAR($A$6)-1,WEEKNUM(FinishedData!$A:$A)=WEEKNUM($A$6)+52)))/$I192,
($J192-SUM(FILTER(FinishedData!$C:$C,YEAR(FinishedData!$A:$A)=YEAR($A$6),WEEKNUM(FinishedData!$A:$"&amp;"A)=WEEKNUM($A$6)-1)))/$I192),"""")"),0.10090702947845805)</f>
        <v>0.1009070295</v>
      </c>
      <c r="K193" s="2"/>
      <c r="L193" s="2"/>
      <c r="M193" s="2"/>
      <c r="N193" s="2"/>
      <c r="O193" s="2"/>
      <c r="P193" s="2"/>
      <c r="Q193" s="2"/>
      <c r="R193" s="2"/>
      <c r="S193" s="2"/>
      <c r="T193" s="2"/>
      <c r="U193" s="2"/>
      <c r="V193" s="2"/>
      <c r="W193" s="2"/>
      <c r="X193" s="2"/>
      <c r="Y193" s="2"/>
      <c r="Z193" s="2"/>
    </row>
    <row r="194" ht="22.5" customHeight="1">
      <c r="A194" s="76">
        <f>IF(G190&gt;=$D$3,"",G190+1)</f>
        <v>44878</v>
      </c>
      <c r="B194" s="76">
        <f t="shared" ref="B194:G194" si="48">IF(A194&gt;=$D$3,"",A194+1)</f>
        <v>44879</v>
      </c>
      <c r="C194" s="76">
        <f t="shared" si="48"/>
        <v>44880</v>
      </c>
      <c r="D194" s="76">
        <f t="shared" si="48"/>
        <v>44881</v>
      </c>
      <c r="E194" s="76">
        <f t="shared" si="48"/>
        <v>44882</v>
      </c>
      <c r="F194" s="76">
        <f t="shared" si="48"/>
        <v>44883</v>
      </c>
      <c r="G194" s="76">
        <f t="shared" si="48"/>
        <v>44884</v>
      </c>
      <c r="H194" s="2"/>
      <c r="K194" s="2"/>
      <c r="L194" s="2"/>
      <c r="M194" s="2"/>
      <c r="N194" s="2"/>
      <c r="O194" s="2"/>
      <c r="P194" s="2"/>
      <c r="Q194" s="2"/>
      <c r="R194" s="2"/>
      <c r="S194" s="2"/>
      <c r="T194" s="2"/>
      <c r="U194" s="2"/>
      <c r="V194" s="2"/>
      <c r="W194" s="2"/>
      <c r="X194" s="2"/>
      <c r="Y194" s="2"/>
      <c r="Z194" s="2"/>
    </row>
    <row r="195" ht="22.5" customHeight="1">
      <c r="A195" s="42" t="str">
        <f t="array" ref="A195">IFERROR(INDEX(Lists2!$B:$B,MATCH(A196,Lists2!$A:$A,0)),"")</f>
        <v/>
      </c>
      <c r="B195" s="42" t="str">
        <f t="array" ref="B195">IFERROR(INDEX(Lists2!$B:$B,MATCH(B196,Lists2!$A:$A,0)),"")</f>
        <v/>
      </c>
      <c r="C195" s="42" t="str">
        <f t="array" ref="C195">IFERROR(INDEX(Lists2!$B:$B,MATCH(C196,Lists2!$A:$A,0)),"")</f>
        <v/>
      </c>
      <c r="D195" s="42" t="str">
        <f t="array" ref="D195">IFERROR(INDEX(Lists2!$B:$B,MATCH(D196,Lists2!$A:$A,0)),"")</f>
        <v/>
      </c>
      <c r="E195" s="42" t="str">
        <f t="array" ref="E195">IFERROR(INDEX(Lists2!$B:$B,MATCH(E196,Lists2!$A:$A,0)),"")</f>
        <v/>
      </c>
      <c r="F195" s="42" t="str">
        <f t="array" ref="F195">IFERROR(INDEX(Lists2!$B:$B,MATCH(F196,Lists2!$A:$A,0)),"")</f>
        <v/>
      </c>
      <c r="G195" s="42" t="str">
        <f t="array" ref="G195">IFERROR(INDEX(Lists2!$B:$B,MATCH(G196,Lists2!$A:$A,0)),"")</f>
        <v/>
      </c>
      <c r="H195" s="2"/>
      <c r="I195" s="71" t="str">
        <f>"Week of "&amp;TEXT(A194-7,"MM/DD")</f>
        <v>Week of 11/06</v>
      </c>
      <c r="J195" s="71" t="str">
        <f>"Week of "&amp;TEXT(A194,"MM/DD")</f>
        <v>Week of 11/13</v>
      </c>
      <c r="K195" s="2"/>
      <c r="L195" s="2"/>
      <c r="M195" s="2"/>
      <c r="N195" s="2"/>
      <c r="O195" s="2"/>
      <c r="P195" s="2"/>
      <c r="Q195" s="2"/>
      <c r="R195" s="2"/>
      <c r="S195" s="2"/>
      <c r="T195" s="2"/>
      <c r="U195" s="2"/>
      <c r="V195" s="2"/>
      <c r="W195" s="2"/>
      <c r="X195" s="2"/>
      <c r="Y195" s="2"/>
      <c r="Z195" s="2"/>
    </row>
    <row r="196" ht="22.5" customHeight="1">
      <c r="A196" s="42" t="str">
        <f t="array" ref="A196">IFERROR(INDEX(FinishedData!$B:$B,MATCH(A194,FinishedData!$A:$A,0)),"")</f>
        <v>Game</v>
      </c>
      <c r="B196" s="42" t="str">
        <f t="array" ref="B196">IFERROR(INDEX(FinishedData!$B:$B,MATCH(B194,FinishedData!$A:$A,0)),"")</f>
        <v>Practice</v>
      </c>
      <c r="C196" s="42" t="str">
        <f t="array" ref="C196">IFERROR(INDEX(FinishedData!$B:$B,MATCH(C194,FinishedData!$A:$A,0)),"")</f>
        <v>Game</v>
      </c>
      <c r="D196" s="42" t="str">
        <f t="array" ref="D196">IFERROR(INDEX(FinishedData!$B:$B,MATCH(D194,FinishedData!$A:$A,0)),"")</f>
        <v>Off</v>
      </c>
      <c r="E196" s="42" t="str">
        <f t="array" ref="E196">IFERROR(INDEX(FinishedData!$B:$B,MATCH(E194,FinishedData!$A:$A,0)),"")</f>
        <v>Practice</v>
      </c>
      <c r="F196" s="42" t="str">
        <f t="array" ref="F196">IFERROR(INDEX(FinishedData!$B:$B,MATCH(F194,FinishedData!$A:$A,0)),"")</f>
        <v>Gym</v>
      </c>
      <c r="G196" s="42" t="str">
        <f t="array" ref="G196">IFERROR(INDEX(FinishedData!$B:$B,MATCH(G194,FinishedData!$A:$A,0)),"")</f>
        <v>Practice</v>
      </c>
      <c r="H196" s="2"/>
      <c r="I196" s="72">
        <f>IFERROR(__xludf.DUMMYFUNCTION("IF(A194="""","""",IF(WEEKNUM($A$6)=1,SUM(FILTER(FinishedData!$C:$C,YEAR(FinishedData!$A:$A)=YEAR($A$6)-1,WEEKNUM(FinishedData!$A:$A)=WEEKNUM($A$6)+52)),
SUM(FILTER(FinishedData!$C:$C,YEAR(FinishedData!$A:$A)=YEAR($A$6),WEEKNUM(FinishedData!$A:$A)=WEEKNUM("&amp;"$A$6)-1))))"),4410.0)</f>
        <v>4410</v>
      </c>
      <c r="J196" s="72">
        <f>IFERROR(__xludf.DUMMYFUNCTION("IF(A194="""","""", SUM(FILTER(FinishedData!$C:$C,YEAR(FinishedData!$A:$A)=YEAR($A194),WEEKNUM(FinishedData!$A:$A)=WEEKNUM($A194))))"),4500.0)</f>
        <v>4500</v>
      </c>
      <c r="K196" s="2"/>
      <c r="L196" s="2"/>
      <c r="M196" s="2"/>
      <c r="N196" s="2"/>
      <c r="O196" s="2"/>
      <c r="P196" s="2"/>
      <c r="Q196" s="2"/>
      <c r="R196" s="2"/>
      <c r="S196" s="2"/>
      <c r="T196" s="2"/>
      <c r="U196" s="2"/>
      <c r="V196" s="2"/>
      <c r="W196" s="2"/>
      <c r="X196" s="2"/>
      <c r="Y196" s="2"/>
      <c r="Z196" s="2"/>
    </row>
    <row r="197" ht="22.5" customHeight="1">
      <c r="A197" s="73">
        <f t="array" ref="A197">IFERROR(INDEX(FinishedData!$C:$C,MATCH(A194,FinishedData!$A:$A,0)),"")</f>
        <v>665</v>
      </c>
      <c r="B197" s="73">
        <f t="array" ref="B197">IFERROR(INDEX(FinishedData!$C:$C,MATCH(B194,FinishedData!$A:$A,0)),"")</f>
        <v>790</v>
      </c>
      <c r="C197" s="73">
        <f t="array" ref="C197">IFERROR(INDEX(FinishedData!$C:$C,MATCH(C194,FinishedData!$A:$A,0)),"")</f>
        <v>820</v>
      </c>
      <c r="D197" s="73" t="str">
        <f t="array" ref="D197">IFERROR(INDEX(FinishedData!$C:$C,MATCH(D194,FinishedData!$A:$A,0)),"")</f>
        <v/>
      </c>
      <c r="E197" s="73">
        <f t="array" ref="E197">IFERROR(INDEX(FinishedData!$C:$C,MATCH(E194,FinishedData!$A:$A,0)),"")</f>
        <v>630</v>
      </c>
      <c r="F197" s="73">
        <f t="array" ref="F197">IFERROR(INDEX(FinishedData!$C:$C,MATCH(F194,FinishedData!$A:$A,0)),"")</f>
        <v>745</v>
      </c>
      <c r="G197" s="73">
        <f t="array" ref="G197">IFERROR(INDEX(FinishedData!$C:$C,MATCH(G194,FinishedData!$A:$A,0)),"")</f>
        <v>850</v>
      </c>
      <c r="H197" s="2"/>
      <c r="I197" s="74" t="s">
        <v>49</v>
      </c>
      <c r="J197" s="75">
        <f>IFERROR(__xludf.DUMMYFUNCTION("IFERROR(IF(WEEKNUM($A$6)=1,($J196-SUM(FILTER(FinishedData!$C:$C,YEAR(FinishedData!$A:$A)=YEAR($A$6)-1,WEEKNUM(FinishedData!$A:$A)=WEEKNUM($A$6)+52)))/$I196,
($J196-SUM(FILTER(FinishedData!$C:$C,YEAR(FinishedData!$A:$A)=YEAR($A$6),WEEKNUM(FinishedData!$A:$"&amp;"A)=WEEKNUM($A$6)-1)))/$I196),"""")"),0.02040816326530612)</f>
        <v>0.02040816327</v>
      </c>
      <c r="K197" s="2"/>
      <c r="L197" s="2"/>
      <c r="M197" s="2"/>
      <c r="N197" s="2"/>
      <c r="O197" s="2"/>
      <c r="P197" s="2"/>
      <c r="Q197" s="2"/>
      <c r="R197" s="2"/>
      <c r="S197" s="2"/>
      <c r="T197" s="2"/>
      <c r="U197" s="2"/>
      <c r="V197" s="2"/>
      <c r="W197" s="2"/>
      <c r="X197" s="2"/>
      <c r="Y197" s="2"/>
      <c r="Z197" s="2"/>
    </row>
    <row r="198" ht="22.5" customHeight="1">
      <c r="A198" s="76">
        <f>IF(G194&gt;=$D$3,"",G194+1)</f>
        <v>44885</v>
      </c>
      <c r="B198" s="76">
        <f t="shared" ref="B198:G198" si="49">IF(A198&gt;=$D$3,"",A198+1)</f>
        <v>44886</v>
      </c>
      <c r="C198" s="76">
        <f t="shared" si="49"/>
        <v>44887</v>
      </c>
      <c r="D198" s="76">
        <f t="shared" si="49"/>
        <v>44888</v>
      </c>
      <c r="E198" s="76">
        <f t="shared" si="49"/>
        <v>44889</v>
      </c>
      <c r="F198" s="76">
        <f t="shared" si="49"/>
        <v>44890</v>
      </c>
      <c r="G198" s="76">
        <f t="shared" si="49"/>
        <v>44891</v>
      </c>
      <c r="H198" s="2"/>
      <c r="I198" s="62"/>
      <c r="J198" s="7"/>
      <c r="K198" s="2"/>
      <c r="L198" s="2"/>
      <c r="M198" s="2"/>
      <c r="N198" s="2"/>
      <c r="O198" s="2"/>
      <c r="P198" s="2"/>
      <c r="Q198" s="2"/>
      <c r="R198" s="2"/>
      <c r="S198" s="2"/>
      <c r="T198" s="2"/>
      <c r="U198" s="2"/>
      <c r="V198" s="2"/>
      <c r="W198" s="2"/>
      <c r="X198" s="2"/>
      <c r="Y198" s="2"/>
      <c r="Z198" s="2"/>
    </row>
    <row r="199" ht="22.5" customHeight="1">
      <c r="A199" s="42" t="str">
        <f t="array" ref="A199">IFERROR(INDEX(Lists2!$B:$B,MATCH(A200,Lists2!$A:$A,0)),"")</f>
        <v/>
      </c>
      <c r="B199" s="42" t="str">
        <f t="array" ref="B199">IFERROR(INDEX(Lists2!$B:$B,MATCH(B200,Lists2!$A:$A,0)),"")</f>
        <v/>
      </c>
      <c r="C199" s="42" t="str">
        <f t="array" ref="C199">IFERROR(INDEX(Lists2!$B:$B,MATCH(C200,Lists2!$A:$A,0)),"")</f>
        <v/>
      </c>
      <c r="D199" s="42" t="str">
        <f t="array" ref="D199">IFERROR(INDEX(Lists2!$B:$B,MATCH(D200,Lists2!$A:$A,0)),"")</f>
        <v/>
      </c>
      <c r="E199" s="42" t="str">
        <f t="array" ref="E199">IFERROR(INDEX(Lists2!$B:$B,MATCH(E200,Lists2!$A:$A,0)),"")</f>
        <v/>
      </c>
      <c r="F199" s="42" t="str">
        <f t="array" ref="F199">IFERROR(INDEX(Lists2!$B:$B,MATCH(F200,Lists2!$A:$A,0)),"")</f>
        <v/>
      </c>
      <c r="G199" s="42" t="str">
        <f t="array" ref="G199">IFERROR(INDEX(Lists2!$B:$B,MATCH(G200,Lists2!$A:$A,0)),"")</f>
        <v/>
      </c>
      <c r="H199" s="2"/>
      <c r="I199" s="62"/>
      <c r="J199" s="7"/>
      <c r="K199" s="2"/>
      <c r="L199" s="2"/>
      <c r="M199" s="2"/>
      <c r="N199" s="2"/>
      <c r="O199" s="2"/>
      <c r="P199" s="2"/>
      <c r="Q199" s="2"/>
      <c r="R199" s="2"/>
      <c r="S199" s="2"/>
      <c r="T199" s="2"/>
      <c r="U199" s="2"/>
      <c r="V199" s="2"/>
      <c r="W199" s="2"/>
      <c r="X199" s="2"/>
      <c r="Y199" s="2"/>
      <c r="Z199" s="2"/>
    </row>
    <row r="200" ht="22.5" customHeight="1">
      <c r="A200" s="42" t="str">
        <f t="array" ref="A200">IFERROR(INDEX(FinishedData!$B:$B,MATCH(A198,FinishedData!$A:$A,0)),"")</f>
        <v>Practice</v>
      </c>
      <c r="B200" s="42" t="str">
        <f t="array" ref="B200">IFERROR(INDEX(FinishedData!$B:$B,MATCH(B198,FinishedData!$A:$A,0)),"")</f>
        <v>Practice</v>
      </c>
      <c r="C200" s="42" t="str">
        <f t="array" ref="C200">IFERROR(INDEX(FinishedData!$B:$B,MATCH(C198,FinishedData!$A:$A,0)),"")</f>
        <v>Game</v>
      </c>
      <c r="D200" s="42" t="str">
        <f t="array" ref="D200">IFERROR(INDEX(FinishedData!$B:$B,MATCH(D198,FinishedData!$A:$A,0)),"")</f>
        <v>Off</v>
      </c>
      <c r="E200" s="42" t="str">
        <f t="array" ref="E200">IFERROR(INDEX(FinishedData!$B:$B,MATCH(E198,FinishedData!$A:$A,0)),"")</f>
        <v>Practice</v>
      </c>
      <c r="F200" s="42" t="str">
        <f t="array" ref="F200">IFERROR(INDEX(FinishedData!$B:$B,MATCH(F198,FinishedData!$A:$A,0)),"")</f>
        <v>Game</v>
      </c>
      <c r="G200" s="42" t="str">
        <f t="array" ref="G200">IFERROR(INDEX(FinishedData!$B:$B,MATCH(G198,FinishedData!$A:$A,0)),"")</f>
        <v>Practice</v>
      </c>
      <c r="H200" s="2"/>
      <c r="I200" s="62"/>
      <c r="J200" s="7"/>
      <c r="K200" s="2"/>
      <c r="L200" s="2"/>
      <c r="M200" s="2"/>
      <c r="N200" s="2"/>
      <c r="O200" s="2"/>
      <c r="P200" s="2"/>
      <c r="Q200" s="2"/>
      <c r="R200" s="2"/>
      <c r="S200" s="2"/>
      <c r="T200" s="2"/>
      <c r="U200" s="2"/>
      <c r="V200" s="2"/>
      <c r="W200" s="2"/>
      <c r="X200" s="2"/>
      <c r="Y200" s="2"/>
      <c r="Z200" s="2"/>
    </row>
    <row r="201" ht="22.5" customHeight="1">
      <c r="A201" s="73">
        <f t="array" ref="A201">IFERROR(INDEX(FinishedData!$C:$C,MATCH(A198,FinishedData!$A:$A,0)),"")</f>
        <v>815</v>
      </c>
      <c r="B201" s="73">
        <f t="array" ref="B201">IFERROR(INDEX(FinishedData!$C:$C,MATCH(B198,FinishedData!$A:$A,0)),"")</f>
        <v>505</v>
      </c>
      <c r="C201" s="73">
        <f t="array" ref="C201">IFERROR(INDEX(FinishedData!$C:$C,MATCH(C198,FinishedData!$A:$A,0)),"")</f>
        <v>590</v>
      </c>
      <c r="D201" s="73" t="str">
        <f t="array" ref="D201">IFERROR(INDEX(FinishedData!$C:$C,MATCH(D198,FinishedData!$A:$A,0)),"")</f>
        <v/>
      </c>
      <c r="E201" s="73">
        <f t="array" ref="E201">IFERROR(INDEX(FinishedData!$C:$C,MATCH(E198,FinishedData!$A:$A,0)),"")</f>
        <v>630</v>
      </c>
      <c r="F201" s="73">
        <f t="array" ref="F201">IFERROR(INDEX(FinishedData!$C:$C,MATCH(F198,FinishedData!$A:$A,0)),"")</f>
        <v>885</v>
      </c>
      <c r="G201" s="73">
        <f t="array" ref="G201">IFERROR(INDEX(FinishedData!$C:$C,MATCH(G198,FinishedData!$A:$A,0)),"")</f>
        <v>780</v>
      </c>
      <c r="H201" s="2"/>
      <c r="I201" s="62"/>
      <c r="J201" s="7"/>
      <c r="K201" s="2"/>
      <c r="L201" s="2"/>
      <c r="M201" s="2"/>
      <c r="N201" s="2"/>
      <c r="O201" s="2"/>
      <c r="P201" s="2"/>
      <c r="Q201" s="2"/>
      <c r="R201" s="2"/>
      <c r="S201" s="2"/>
      <c r="T201" s="2"/>
      <c r="U201" s="2"/>
      <c r="V201" s="2"/>
      <c r="W201" s="2"/>
      <c r="X201" s="2"/>
      <c r="Y201" s="2"/>
      <c r="Z201" s="2"/>
    </row>
    <row r="202" ht="22.5" customHeight="1">
      <c r="A202" s="76">
        <f>IF(G198&gt;=$D$3,"",G198+1)</f>
        <v>44892</v>
      </c>
      <c r="B202" s="76">
        <f t="shared" ref="B202:G202" si="50">IF(A202&gt;=$D$3,"",A202+1)</f>
        <v>44893</v>
      </c>
      <c r="C202" s="76">
        <f t="shared" si="50"/>
        <v>44894</v>
      </c>
      <c r="D202" s="76">
        <f t="shared" si="50"/>
        <v>44895</v>
      </c>
      <c r="E202" s="76">
        <f t="shared" si="50"/>
        <v>44896</v>
      </c>
      <c r="F202" s="76">
        <f t="shared" si="50"/>
        <v>44897</v>
      </c>
      <c r="G202" s="76">
        <f t="shared" si="50"/>
        <v>44898</v>
      </c>
      <c r="H202" s="2"/>
      <c r="I202" s="62"/>
      <c r="J202" s="7"/>
      <c r="K202" s="2"/>
      <c r="L202" s="2"/>
      <c r="M202" s="2"/>
      <c r="N202" s="2"/>
      <c r="O202" s="2"/>
      <c r="P202" s="2"/>
      <c r="Q202" s="2"/>
      <c r="R202" s="2"/>
      <c r="S202" s="2"/>
      <c r="T202" s="2"/>
      <c r="U202" s="2"/>
      <c r="V202" s="2"/>
      <c r="W202" s="2"/>
      <c r="X202" s="2"/>
      <c r="Y202" s="2"/>
      <c r="Z202" s="2"/>
    </row>
    <row r="203" ht="22.5" customHeight="1">
      <c r="A203" s="42" t="str">
        <f t="array" ref="A203">IFERROR(INDEX(Lists2!$B:$B,MATCH(A204,Lists2!$A:$A,0)),"")</f>
        <v/>
      </c>
      <c r="B203" s="42" t="str">
        <f t="array" ref="B203">IFERROR(INDEX(Lists2!$B:$B,MATCH(B204,Lists2!$A:$A,0)),"")</f>
        <v/>
      </c>
      <c r="C203" s="42" t="str">
        <f t="array" ref="C203">IFERROR(INDEX(Lists2!$B:$B,MATCH(C204,Lists2!$A:$A,0)),"")</f>
        <v/>
      </c>
      <c r="D203" s="42" t="str">
        <f t="array" ref="D203">IFERROR(INDEX(Lists2!$B:$B,MATCH(D204,Lists2!$A:$A,0)),"")</f>
        <v/>
      </c>
      <c r="E203" s="42" t="str">
        <f t="array" ref="E203">IFERROR(INDEX(Lists2!$B:$B,MATCH(E204,Lists2!$A:$A,0)),"")</f>
        <v/>
      </c>
      <c r="F203" s="42" t="str">
        <f t="array" ref="F203">IFERROR(INDEX(Lists2!$B:$B,MATCH(F204,Lists2!$A:$A,0)),"")</f>
        <v/>
      </c>
      <c r="G203" s="42" t="str">
        <f t="array" ref="G203">IFERROR(INDEX(Lists2!$B:$B,MATCH(G204,Lists2!$A:$A,0)),"")</f>
        <v/>
      </c>
      <c r="H203" s="2"/>
      <c r="I203" s="62"/>
      <c r="J203" s="7"/>
      <c r="K203" s="2"/>
      <c r="L203" s="2"/>
      <c r="M203" s="2"/>
      <c r="N203" s="2"/>
      <c r="O203" s="2"/>
      <c r="P203" s="2"/>
      <c r="Q203" s="2"/>
      <c r="R203" s="2"/>
      <c r="S203" s="2"/>
      <c r="T203" s="2"/>
      <c r="U203" s="2"/>
      <c r="V203" s="2"/>
      <c r="W203" s="2"/>
      <c r="X203" s="2"/>
      <c r="Y203" s="2"/>
      <c r="Z203" s="2"/>
    </row>
    <row r="204" ht="22.5" customHeight="1">
      <c r="A204" s="42" t="str">
        <f t="array" ref="A204">IFERROR(INDEX(FinishedData!$B:$B,MATCH(A202,FinishedData!$A:$A,0)),"")</f>
        <v>Practice</v>
      </c>
      <c r="B204" s="42" t="str">
        <f t="array" ref="B204">IFERROR(INDEX(FinishedData!$B:$B,MATCH(B202,FinishedData!$A:$A,0)),"")</f>
        <v>Game</v>
      </c>
      <c r="C204" s="42" t="str">
        <f t="array" ref="C204">IFERROR(INDEX(FinishedData!$B:$B,MATCH(C202,FinishedData!$A:$A,0)),"")</f>
        <v>Practice</v>
      </c>
      <c r="D204" s="42" t="str">
        <f t="array" ref="D204">IFERROR(INDEX(FinishedData!$B:$B,MATCH(D202,FinishedData!$A:$A,0)),"")</f>
        <v>Gym</v>
      </c>
      <c r="E204" s="42" t="str">
        <f t="array" ref="E204">IFERROR(INDEX(FinishedData!$B:$B,MATCH(E202,FinishedData!$A:$A,0)),"")</f>
        <v>Off</v>
      </c>
      <c r="F204" s="42" t="str">
        <f t="array" ref="F204">IFERROR(INDEX(FinishedData!$B:$B,MATCH(F202,FinishedData!$A:$A,0)),"")</f>
        <v>Practice</v>
      </c>
      <c r="G204" s="42" t="str">
        <f t="array" ref="G204">IFERROR(INDEX(FinishedData!$B:$B,MATCH(G202,FinishedData!$A:$A,0)),"")</f>
        <v>Practice</v>
      </c>
      <c r="H204" s="2"/>
      <c r="I204" s="62"/>
      <c r="J204" s="7"/>
      <c r="K204" s="2"/>
      <c r="L204" s="2"/>
      <c r="M204" s="2"/>
      <c r="N204" s="2"/>
      <c r="O204" s="2"/>
      <c r="P204" s="2"/>
      <c r="Q204" s="2"/>
      <c r="R204" s="2"/>
      <c r="S204" s="2"/>
      <c r="T204" s="2"/>
      <c r="U204" s="2"/>
      <c r="V204" s="2"/>
      <c r="W204" s="2"/>
      <c r="X204" s="2"/>
      <c r="Y204" s="2"/>
      <c r="Z204" s="2"/>
    </row>
    <row r="205" ht="22.5" customHeight="1">
      <c r="A205" s="73">
        <f t="array" ref="A205">IFERROR(INDEX(FinishedData!$C:$C,MATCH(A202,FinishedData!$A:$A,0)),"")</f>
        <v>875</v>
      </c>
      <c r="B205" s="73">
        <f t="array" ref="B205">IFERROR(INDEX(FinishedData!$C:$C,MATCH(B202,FinishedData!$A:$A,0)),"")</f>
        <v>810</v>
      </c>
      <c r="C205" s="73">
        <f t="array" ref="C205">IFERROR(INDEX(FinishedData!$C:$C,MATCH(C202,FinishedData!$A:$A,0)),"")</f>
        <v>935</v>
      </c>
      <c r="D205" s="73">
        <f t="array" ref="D205">IFERROR(INDEX(FinishedData!$C:$C,MATCH(D202,FinishedData!$A:$A,0)),"")</f>
        <v>620</v>
      </c>
      <c r="E205" s="73" t="str">
        <f t="array" ref="E205">IFERROR(INDEX(FinishedData!$C:$C,MATCH(E202,FinishedData!$A:$A,0)),"")</f>
        <v/>
      </c>
      <c r="F205" s="73">
        <f t="array" ref="F205">IFERROR(INDEX(FinishedData!$C:$C,MATCH(F202,FinishedData!$A:$A,0)),"")</f>
        <v>830</v>
      </c>
      <c r="G205" s="73">
        <f t="array" ref="G205">IFERROR(INDEX(FinishedData!$C:$C,MATCH(G202,FinishedData!$A:$A,0)),"")</f>
        <v>820</v>
      </c>
      <c r="H205" s="2"/>
      <c r="I205" s="62"/>
      <c r="J205" s="7"/>
      <c r="K205" s="2"/>
      <c r="L205" s="2"/>
      <c r="M205" s="2"/>
      <c r="N205" s="2"/>
      <c r="O205" s="2"/>
      <c r="P205" s="2"/>
      <c r="Q205" s="2"/>
      <c r="R205" s="2"/>
      <c r="S205" s="2"/>
      <c r="T205" s="2"/>
      <c r="U205" s="2"/>
      <c r="V205" s="2"/>
      <c r="W205" s="2"/>
      <c r="X205" s="2"/>
      <c r="Y205" s="2"/>
      <c r="Z205" s="2"/>
    </row>
    <row r="206" ht="22.5" customHeight="1">
      <c r="A206" s="76">
        <f>IF(G202&gt;=$D$3,"",G202+1)</f>
        <v>44899</v>
      </c>
      <c r="B206" s="76">
        <f t="shared" ref="B206:G206" si="51">IF(A206&gt;=$D$3,"",A206+1)</f>
        <v>44900</v>
      </c>
      <c r="C206" s="76">
        <f t="shared" si="51"/>
        <v>44901</v>
      </c>
      <c r="D206" s="76">
        <f t="shared" si="51"/>
        <v>44902</v>
      </c>
      <c r="E206" s="76">
        <f t="shared" si="51"/>
        <v>44903</v>
      </c>
      <c r="F206" s="76">
        <f t="shared" si="51"/>
        <v>44904</v>
      </c>
      <c r="G206" s="76">
        <f t="shared" si="51"/>
        <v>44905</v>
      </c>
      <c r="H206" s="2"/>
      <c r="I206" s="62"/>
      <c r="J206" s="7"/>
      <c r="K206" s="2"/>
      <c r="L206" s="2"/>
      <c r="M206" s="2"/>
      <c r="N206" s="2"/>
      <c r="O206" s="2"/>
      <c r="P206" s="2"/>
      <c r="Q206" s="2"/>
      <c r="R206" s="2"/>
      <c r="S206" s="2"/>
      <c r="T206" s="2"/>
      <c r="U206" s="2"/>
      <c r="V206" s="2"/>
      <c r="W206" s="2"/>
      <c r="X206" s="2"/>
      <c r="Y206" s="2"/>
      <c r="Z206" s="2"/>
    </row>
    <row r="207" ht="22.5" customHeight="1">
      <c r="A207" s="42" t="str">
        <f t="array" ref="A207">IFERROR(INDEX(Lists2!$B:$B,MATCH(A208,Lists2!$A:$A,0)),"")</f>
        <v/>
      </c>
      <c r="B207" s="42" t="str">
        <f t="array" ref="B207">IFERROR(INDEX(Lists2!$B:$B,MATCH(B208,Lists2!$A:$A,0)),"")</f>
        <v/>
      </c>
      <c r="C207" s="42" t="str">
        <f t="array" ref="C207">IFERROR(INDEX(Lists2!$B:$B,MATCH(C208,Lists2!$A:$A,0)),"")</f>
        <v/>
      </c>
      <c r="D207" s="42" t="str">
        <f t="array" ref="D207">IFERROR(INDEX(Lists2!$B:$B,MATCH(D208,Lists2!$A:$A,0)),"")</f>
        <v/>
      </c>
      <c r="E207" s="42" t="str">
        <f t="array" ref="E207">IFERROR(INDEX(Lists2!$B:$B,MATCH(E208,Lists2!$A:$A,0)),"")</f>
        <v/>
      </c>
      <c r="F207" s="42" t="str">
        <f t="array" ref="F207">IFERROR(INDEX(Lists2!$B:$B,MATCH(F208,Lists2!$A:$A,0)),"")</f>
        <v/>
      </c>
      <c r="G207" s="42" t="str">
        <f t="array" ref="G207">IFERROR(INDEX(Lists2!$B:$B,MATCH(G208,Lists2!$A:$A,0)),"")</f>
        <v/>
      </c>
      <c r="H207" s="2"/>
      <c r="I207" s="62"/>
      <c r="J207" s="7"/>
      <c r="K207" s="2"/>
      <c r="L207" s="2"/>
      <c r="M207" s="2"/>
      <c r="N207" s="2"/>
      <c r="O207" s="2"/>
      <c r="P207" s="2"/>
      <c r="Q207" s="2"/>
      <c r="R207" s="2"/>
      <c r="S207" s="2"/>
      <c r="T207" s="2"/>
      <c r="U207" s="2"/>
      <c r="V207" s="2"/>
      <c r="W207" s="2"/>
      <c r="X207" s="2"/>
      <c r="Y207" s="2"/>
      <c r="Z207" s="2"/>
    </row>
    <row r="208" ht="22.5" customHeight="1">
      <c r="A208" s="42" t="str">
        <f t="array" ref="A208">IFERROR(INDEX(FinishedData!$B:$B,MATCH(A206,FinishedData!$A:$A,0)),"")</f>
        <v>Game</v>
      </c>
      <c r="B208" s="42" t="str">
        <f t="array" ref="B208">IFERROR(INDEX(FinishedData!$B:$B,MATCH(B206,FinishedData!$A:$A,0)),"")</f>
        <v>Game</v>
      </c>
      <c r="C208" s="42" t="str">
        <f t="array" ref="C208">IFERROR(INDEX(FinishedData!$B:$B,MATCH(C206,FinishedData!$A:$A,0)),"")</f>
        <v>Off</v>
      </c>
      <c r="D208" s="42" t="str">
        <f t="array" ref="D208">IFERROR(INDEX(FinishedData!$B:$B,MATCH(D206,FinishedData!$A:$A,0)),"")</f>
        <v>Practice</v>
      </c>
      <c r="E208" s="42" t="str">
        <f t="array" ref="E208">IFERROR(INDEX(FinishedData!$B:$B,MATCH(E206,FinishedData!$A:$A,0)),"")</f>
        <v>Gym</v>
      </c>
      <c r="F208" s="42" t="str">
        <f t="array" ref="F208">IFERROR(INDEX(FinishedData!$B:$B,MATCH(F206,FinishedData!$A:$A,0)),"")</f>
        <v>Practice</v>
      </c>
      <c r="G208" s="42" t="str">
        <f t="array" ref="G208">IFERROR(INDEX(FinishedData!$B:$B,MATCH(G206,FinishedData!$A:$A,0)),"")</f>
        <v>Practice</v>
      </c>
      <c r="H208" s="2"/>
      <c r="I208" s="62"/>
      <c r="J208" s="7"/>
      <c r="K208" s="2"/>
      <c r="L208" s="2"/>
      <c r="M208" s="2"/>
      <c r="N208" s="2"/>
      <c r="O208" s="2"/>
      <c r="P208" s="2"/>
      <c r="Q208" s="2"/>
      <c r="R208" s="2"/>
      <c r="S208" s="2"/>
      <c r="T208" s="2"/>
      <c r="U208" s="2"/>
      <c r="V208" s="2"/>
      <c r="W208" s="2"/>
      <c r="X208" s="2"/>
      <c r="Y208" s="2"/>
      <c r="Z208" s="2"/>
    </row>
    <row r="209" ht="22.5" customHeight="1">
      <c r="A209" s="73">
        <f t="array" ref="A209">IFERROR(INDEX(FinishedData!$C:$C,MATCH(A206,FinishedData!$A:$A,0)),"")</f>
        <v>800</v>
      </c>
      <c r="B209" s="73">
        <f t="array" ref="B209">IFERROR(INDEX(FinishedData!$C:$C,MATCH(B206,FinishedData!$A:$A,0)),"")</f>
        <v>905</v>
      </c>
      <c r="C209" s="73" t="str">
        <f t="array" ref="C209">IFERROR(INDEX(FinishedData!$C:$C,MATCH(C206,FinishedData!$A:$A,0)),"")</f>
        <v/>
      </c>
      <c r="D209" s="73">
        <f t="array" ref="D209">IFERROR(INDEX(FinishedData!$C:$C,MATCH(D206,FinishedData!$A:$A,0)),"")</f>
        <v>775</v>
      </c>
      <c r="E209" s="73">
        <f t="array" ref="E209">IFERROR(INDEX(FinishedData!$C:$C,MATCH(E206,FinishedData!$A:$A,0)),"")</f>
        <v>770</v>
      </c>
      <c r="F209" s="73">
        <f t="array" ref="F209">IFERROR(INDEX(FinishedData!$C:$C,MATCH(F206,FinishedData!$A:$A,0)),"")</f>
        <v>720</v>
      </c>
      <c r="G209" s="73">
        <f t="array" ref="G209">IFERROR(INDEX(FinishedData!$C:$C,MATCH(G206,FinishedData!$A:$A,0)),"")</f>
        <v>860</v>
      </c>
      <c r="H209" s="2"/>
      <c r="I209" s="62"/>
      <c r="J209" s="7"/>
      <c r="K209" s="2"/>
      <c r="L209" s="2"/>
      <c r="M209" s="2"/>
      <c r="N209" s="2"/>
      <c r="O209" s="2"/>
      <c r="P209" s="2"/>
      <c r="Q209" s="2"/>
      <c r="R209" s="2"/>
      <c r="S209" s="2"/>
      <c r="T209" s="2"/>
      <c r="U209" s="2"/>
      <c r="V209" s="2"/>
      <c r="W209" s="2"/>
      <c r="X209" s="2"/>
      <c r="Y209" s="2"/>
      <c r="Z209" s="2"/>
    </row>
    <row r="210" ht="22.5" customHeight="1">
      <c r="A210" s="76">
        <f>IF(G206&gt;=$D$3,"",G206+1)</f>
        <v>44906</v>
      </c>
      <c r="B210" s="76">
        <f t="shared" ref="B210:G210" si="52">IF(A210&gt;=$D$3,"",A210+1)</f>
        <v>44907</v>
      </c>
      <c r="C210" s="76">
        <f t="shared" si="52"/>
        <v>44908</v>
      </c>
      <c r="D210" s="76">
        <f t="shared" si="52"/>
        <v>44909</v>
      </c>
      <c r="E210" s="76">
        <f t="shared" si="52"/>
        <v>44910</v>
      </c>
      <c r="F210" s="76">
        <f t="shared" si="52"/>
        <v>44911</v>
      </c>
      <c r="G210" s="76">
        <f t="shared" si="52"/>
        <v>44912</v>
      </c>
      <c r="H210" s="2"/>
      <c r="I210" s="62"/>
      <c r="J210" s="7"/>
      <c r="K210" s="2"/>
      <c r="L210" s="2"/>
      <c r="M210" s="2"/>
      <c r="N210" s="2"/>
      <c r="O210" s="2"/>
      <c r="P210" s="2"/>
      <c r="Q210" s="2"/>
      <c r="R210" s="2"/>
      <c r="S210" s="2"/>
      <c r="T210" s="2"/>
      <c r="U210" s="2"/>
      <c r="V210" s="2"/>
      <c r="W210" s="2"/>
      <c r="X210" s="2"/>
      <c r="Y210" s="2"/>
      <c r="Z210" s="2"/>
    </row>
    <row r="211" ht="22.5" customHeight="1">
      <c r="A211" s="42" t="str">
        <f t="array" ref="A211">IFERROR(INDEX(Lists2!$B:$B,MATCH(A212,Lists2!$A:$A,0)),"")</f>
        <v/>
      </c>
      <c r="B211" s="42" t="str">
        <f t="array" ref="B211">IFERROR(INDEX(Lists2!$B:$B,MATCH(B212,Lists2!$A:$A,0)),"")</f>
        <v/>
      </c>
      <c r="C211" s="42" t="str">
        <f t="array" ref="C211">IFERROR(INDEX(Lists2!$B:$B,MATCH(C212,Lists2!$A:$A,0)),"")</f>
        <v/>
      </c>
      <c r="D211" s="42" t="str">
        <f t="array" ref="D211">IFERROR(INDEX(Lists2!$B:$B,MATCH(D212,Lists2!$A:$A,0)),"")</f>
        <v/>
      </c>
      <c r="E211" s="42" t="str">
        <f t="array" ref="E211">IFERROR(INDEX(Lists2!$B:$B,MATCH(E212,Lists2!$A:$A,0)),"")</f>
        <v/>
      </c>
      <c r="F211" s="42" t="str">
        <f t="array" ref="F211">IFERROR(INDEX(Lists2!$B:$B,MATCH(F212,Lists2!$A:$A,0)),"")</f>
        <v/>
      </c>
      <c r="G211" s="42" t="str">
        <f t="array" ref="G211">IFERROR(INDEX(Lists2!$B:$B,MATCH(G212,Lists2!$A:$A,0)),"")</f>
        <v/>
      </c>
      <c r="H211" s="2"/>
      <c r="I211" s="62"/>
      <c r="J211" s="7"/>
      <c r="K211" s="2"/>
      <c r="L211" s="2"/>
      <c r="M211" s="2"/>
      <c r="N211" s="2"/>
      <c r="O211" s="2"/>
      <c r="P211" s="2"/>
      <c r="Q211" s="2"/>
      <c r="R211" s="2"/>
      <c r="S211" s="2"/>
      <c r="T211" s="2"/>
      <c r="U211" s="2"/>
      <c r="V211" s="2"/>
      <c r="W211" s="2"/>
      <c r="X211" s="2"/>
      <c r="Y211" s="2"/>
      <c r="Z211" s="2"/>
    </row>
    <row r="212" ht="22.5" customHeight="1">
      <c r="A212" s="42" t="str">
        <f t="array" ref="A212">IFERROR(INDEX(FinishedData!$B:$B,MATCH(A210,FinishedData!$A:$A,0)),"")</f>
        <v>Game</v>
      </c>
      <c r="B212" s="42" t="str">
        <f t="array" ref="B212">IFERROR(INDEX(FinishedData!$B:$B,MATCH(B210,FinishedData!$A:$A,0)),"")</f>
        <v>Practice</v>
      </c>
      <c r="C212" s="42" t="str">
        <f t="array" ref="C212">IFERROR(INDEX(FinishedData!$B:$B,MATCH(C210,FinishedData!$A:$A,0)),"")</f>
        <v>Game</v>
      </c>
      <c r="D212" s="42" t="str">
        <f t="array" ref="D212">IFERROR(INDEX(FinishedData!$B:$B,MATCH(D210,FinishedData!$A:$A,0)),"")</f>
        <v>Off</v>
      </c>
      <c r="E212" s="42" t="str">
        <f t="array" ref="E212">IFERROR(INDEX(FinishedData!$B:$B,MATCH(E210,FinishedData!$A:$A,0)),"")</f>
        <v>Gym</v>
      </c>
      <c r="F212" s="42" t="str">
        <f t="array" ref="F212">IFERROR(INDEX(FinishedData!$B:$B,MATCH(F210,FinishedData!$A:$A,0)),"")</f>
        <v>Practice</v>
      </c>
      <c r="G212" s="42" t="str">
        <f t="array" ref="G212">IFERROR(INDEX(FinishedData!$B:$B,MATCH(G210,FinishedData!$A:$A,0)),"")</f>
        <v>Practice</v>
      </c>
      <c r="H212" s="2"/>
      <c r="I212" s="62"/>
      <c r="J212" s="7"/>
      <c r="K212" s="2"/>
      <c r="L212" s="2"/>
      <c r="M212" s="2"/>
      <c r="N212" s="2"/>
      <c r="O212" s="2"/>
      <c r="P212" s="2"/>
      <c r="Q212" s="2"/>
      <c r="R212" s="2"/>
      <c r="S212" s="2"/>
      <c r="T212" s="2"/>
      <c r="U212" s="2"/>
      <c r="V212" s="2"/>
      <c r="W212" s="2"/>
      <c r="X212" s="2"/>
      <c r="Y212" s="2"/>
      <c r="Z212" s="2"/>
    </row>
    <row r="213" ht="22.5" customHeight="1">
      <c r="A213" s="73">
        <f t="array" ref="A213">IFERROR(INDEX(FinishedData!$C:$C,MATCH(A210,FinishedData!$A:$A,0)),"")</f>
        <v>825</v>
      </c>
      <c r="B213" s="73">
        <f t="array" ref="B213">IFERROR(INDEX(FinishedData!$C:$C,MATCH(B210,FinishedData!$A:$A,0)),"")</f>
        <v>660</v>
      </c>
      <c r="C213" s="73">
        <f t="array" ref="C213">IFERROR(INDEX(FinishedData!$C:$C,MATCH(C210,FinishedData!$A:$A,0)),"")</f>
        <v>730</v>
      </c>
      <c r="D213" s="73" t="str">
        <f t="array" ref="D213">IFERROR(INDEX(FinishedData!$C:$C,MATCH(D210,FinishedData!$A:$A,0)),"")</f>
        <v/>
      </c>
      <c r="E213" s="73">
        <f t="array" ref="E213">IFERROR(INDEX(FinishedData!$C:$C,MATCH(E210,FinishedData!$A:$A,0)),"")</f>
        <v>575</v>
      </c>
      <c r="F213" s="73">
        <f t="array" ref="F213">IFERROR(INDEX(FinishedData!$C:$C,MATCH(F210,FinishedData!$A:$A,0)),"")</f>
        <v>670</v>
      </c>
      <c r="G213" s="73">
        <f t="array" ref="G213">IFERROR(INDEX(FinishedData!$C:$C,MATCH(G210,FinishedData!$A:$A,0)),"")</f>
        <v>790</v>
      </c>
      <c r="H213" s="2"/>
      <c r="I213" s="62"/>
      <c r="J213" s="7"/>
      <c r="K213" s="2"/>
      <c r="L213" s="2"/>
      <c r="M213" s="2"/>
      <c r="N213" s="2"/>
      <c r="O213" s="2"/>
      <c r="P213" s="2"/>
      <c r="Q213" s="2"/>
      <c r="R213" s="2"/>
      <c r="S213" s="2"/>
      <c r="T213" s="2"/>
      <c r="U213" s="2"/>
      <c r="V213" s="2"/>
      <c r="W213" s="2"/>
      <c r="X213" s="2"/>
      <c r="Y213" s="2"/>
      <c r="Z213" s="2"/>
    </row>
    <row r="214" ht="22.5" customHeight="1">
      <c r="A214" s="76">
        <f>IF(G210&gt;=$D$3,"",G210+1)</f>
        <v>44913</v>
      </c>
      <c r="B214" s="76">
        <f t="shared" ref="B214:G214" si="53">IF(A214&gt;=$D$3,"",A214+1)</f>
        <v>44914</v>
      </c>
      <c r="C214" s="76">
        <f t="shared" si="53"/>
        <v>44915</v>
      </c>
      <c r="D214" s="76">
        <f t="shared" si="53"/>
        <v>44916</v>
      </c>
      <c r="E214" s="76">
        <f t="shared" si="53"/>
        <v>44917</v>
      </c>
      <c r="F214" s="76">
        <f t="shared" si="53"/>
        <v>44918</v>
      </c>
      <c r="G214" s="76">
        <f t="shared" si="53"/>
        <v>44919</v>
      </c>
      <c r="H214" s="2"/>
      <c r="I214" s="62"/>
      <c r="J214" s="7"/>
      <c r="K214" s="2"/>
      <c r="L214" s="2"/>
      <c r="M214" s="2"/>
      <c r="N214" s="2"/>
      <c r="O214" s="2"/>
      <c r="P214" s="2"/>
      <c r="Q214" s="2"/>
      <c r="R214" s="2"/>
      <c r="S214" s="2"/>
      <c r="T214" s="2"/>
      <c r="U214" s="2"/>
      <c r="V214" s="2"/>
      <c r="W214" s="2"/>
      <c r="X214" s="2"/>
      <c r="Y214" s="2"/>
      <c r="Z214" s="2"/>
    </row>
    <row r="215" ht="22.5" customHeight="1">
      <c r="A215" s="42" t="str">
        <f t="array" ref="A215">IFERROR(INDEX(Lists2!$B:$B,MATCH(A216,Lists2!$A:$A,0)),"")</f>
        <v/>
      </c>
      <c r="B215" s="42" t="str">
        <f t="array" ref="B215">IFERROR(INDEX(Lists2!$B:$B,MATCH(B216,Lists2!$A:$A,0)),"")</f>
        <v/>
      </c>
      <c r="C215" s="42" t="str">
        <f t="array" ref="C215">IFERROR(INDEX(Lists2!$B:$B,MATCH(C216,Lists2!$A:$A,0)),"")</f>
        <v/>
      </c>
      <c r="D215" s="42" t="str">
        <f t="array" ref="D215">IFERROR(INDEX(Lists2!$B:$B,MATCH(D216,Lists2!$A:$A,0)),"")</f>
        <v/>
      </c>
      <c r="E215" s="42" t="str">
        <f t="array" ref="E215">IFERROR(INDEX(Lists2!$B:$B,MATCH(E216,Lists2!$A:$A,0)),"")</f>
        <v/>
      </c>
      <c r="F215" s="42" t="str">
        <f t="array" ref="F215">IFERROR(INDEX(Lists2!$B:$B,MATCH(F216,Lists2!$A:$A,0)),"")</f>
        <v/>
      </c>
      <c r="G215" s="42" t="str">
        <f t="array" ref="G215">IFERROR(INDEX(Lists2!$B:$B,MATCH(G216,Lists2!$A:$A,0)),"")</f>
        <v/>
      </c>
      <c r="H215" s="2"/>
      <c r="I215" s="62"/>
      <c r="J215" s="7"/>
      <c r="K215" s="2"/>
      <c r="L215" s="2"/>
      <c r="M215" s="2"/>
      <c r="N215" s="2"/>
      <c r="O215" s="2"/>
      <c r="P215" s="2"/>
      <c r="Q215" s="2"/>
      <c r="R215" s="2"/>
      <c r="S215" s="2"/>
      <c r="T215" s="2"/>
      <c r="U215" s="2"/>
      <c r="V215" s="2"/>
      <c r="W215" s="2"/>
      <c r="X215" s="2"/>
      <c r="Y215" s="2"/>
      <c r="Z215" s="2"/>
    </row>
    <row r="216" ht="22.5" customHeight="1">
      <c r="A216" s="42" t="str">
        <f t="array" ref="A216">IFERROR(INDEX(FinishedData!$B:$B,MATCH(A214,FinishedData!$A:$A,0)),"")</f>
        <v>Practice</v>
      </c>
      <c r="B216" s="42" t="str">
        <f t="array" ref="B216">IFERROR(INDEX(FinishedData!$B:$B,MATCH(B214,FinishedData!$A:$A,0)),"")</f>
        <v>Game</v>
      </c>
      <c r="C216" s="42" t="str">
        <f t="array" ref="C216">IFERROR(INDEX(FinishedData!$B:$B,MATCH(C214,FinishedData!$A:$A,0)),"")</f>
        <v>Game</v>
      </c>
      <c r="D216" s="42" t="str">
        <f t="array" ref="D216">IFERROR(INDEX(FinishedData!$B:$B,MATCH(D214,FinishedData!$A:$A,0)),"")</f>
        <v>Off</v>
      </c>
      <c r="E216" s="42" t="str">
        <f t="array" ref="E216">IFERROR(INDEX(FinishedData!$B:$B,MATCH(E214,FinishedData!$A:$A,0)),"")</f>
        <v>Practice</v>
      </c>
      <c r="F216" s="42" t="str">
        <f t="array" ref="F216">IFERROR(INDEX(FinishedData!$B:$B,MATCH(F214,FinishedData!$A:$A,0)),"")</f>
        <v>Game</v>
      </c>
      <c r="G216" s="42" t="str">
        <f t="array" ref="G216">IFERROR(INDEX(FinishedData!$B:$B,MATCH(G214,FinishedData!$A:$A,0)),"")</f>
        <v>Practice</v>
      </c>
      <c r="H216" s="2"/>
      <c r="I216" s="62"/>
      <c r="J216" s="7"/>
      <c r="K216" s="2"/>
      <c r="L216" s="2"/>
      <c r="M216" s="2"/>
      <c r="N216" s="2"/>
      <c r="O216" s="2"/>
      <c r="P216" s="2"/>
      <c r="Q216" s="2"/>
      <c r="R216" s="2"/>
      <c r="S216" s="2"/>
      <c r="T216" s="2"/>
      <c r="U216" s="2"/>
      <c r="V216" s="2"/>
      <c r="W216" s="2"/>
      <c r="X216" s="2"/>
      <c r="Y216" s="2"/>
      <c r="Z216" s="2"/>
    </row>
    <row r="217" ht="22.5" customHeight="1">
      <c r="A217" s="73">
        <f t="array" ref="A217">IFERROR(INDEX(FinishedData!$C:$C,MATCH(A214,FinishedData!$A:$A,0)),"")</f>
        <v>570</v>
      </c>
      <c r="B217" s="73">
        <f t="array" ref="B217">IFERROR(INDEX(FinishedData!$C:$C,MATCH(B214,FinishedData!$A:$A,0)),"")</f>
        <v>790</v>
      </c>
      <c r="C217" s="73">
        <f t="array" ref="C217">IFERROR(INDEX(FinishedData!$C:$C,MATCH(C214,FinishedData!$A:$A,0)),"")</f>
        <v>735</v>
      </c>
      <c r="D217" s="73" t="str">
        <f t="array" ref="D217">IFERROR(INDEX(FinishedData!$C:$C,MATCH(D214,FinishedData!$A:$A,0)),"")</f>
        <v/>
      </c>
      <c r="E217" s="73">
        <f t="array" ref="E217">IFERROR(INDEX(FinishedData!$C:$C,MATCH(E214,FinishedData!$A:$A,0)),"")</f>
        <v>605</v>
      </c>
      <c r="F217" s="73">
        <f t="array" ref="F217">IFERROR(INDEX(FinishedData!$C:$C,MATCH(F214,FinishedData!$A:$A,0)),"")</f>
        <v>835</v>
      </c>
      <c r="G217" s="73">
        <f t="array" ref="G217">IFERROR(INDEX(FinishedData!$C:$C,MATCH(G214,FinishedData!$A:$A,0)),"")</f>
        <v>720</v>
      </c>
      <c r="H217" s="2"/>
      <c r="I217" s="62"/>
      <c r="J217" s="7"/>
      <c r="K217" s="2"/>
      <c r="L217" s="2"/>
      <c r="M217" s="2"/>
      <c r="N217" s="2"/>
      <c r="O217" s="2"/>
      <c r="P217" s="2"/>
      <c r="Q217" s="2"/>
      <c r="R217" s="2"/>
      <c r="S217" s="2"/>
      <c r="T217" s="2"/>
      <c r="U217" s="2"/>
      <c r="V217" s="2"/>
      <c r="W217" s="2"/>
      <c r="X217" s="2"/>
      <c r="Y217" s="2"/>
      <c r="Z217" s="2"/>
    </row>
    <row r="218" ht="22.5" customHeight="1">
      <c r="A218" s="76">
        <f>IF(G214&gt;=$D$3,"",G214+1)</f>
        <v>44920</v>
      </c>
      <c r="B218" s="76">
        <f t="shared" ref="B218:G218" si="54">IF(A218&gt;=$D$3,"",A218+1)</f>
        <v>44921</v>
      </c>
      <c r="C218" s="76">
        <f t="shared" si="54"/>
        <v>44922</v>
      </c>
      <c r="D218" s="76">
        <f t="shared" si="54"/>
        <v>44923</v>
      </c>
      <c r="E218" s="76">
        <f t="shared" si="54"/>
        <v>44924</v>
      </c>
      <c r="F218" s="76">
        <f t="shared" si="54"/>
        <v>44925</v>
      </c>
      <c r="G218" s="76">
        <f t="shared" si="54"/>
        <v>44926</v>
      </c>
      <c r="H218" s="2"/>
      <c r="I218" s="62"/>
      <c r="J218" s="7"/>
      <c r="K218" s="2"/>
      <c r="L218" s="2"/>
      <c r="M218" s="2"/>
      <c r="N218" s="2"/>
      <c r="O218" s="2"/>
      <c r="P218" s="2"/>
      <c r="Q218" s="2"/>
      <c r="R218" s="2"/>
      <c r="S218" s="2"/>
      <c r="T218" s="2"/>
      <c r="U218" s="2"/>
      <c r="V218" s="2"/>
      <c r="W218" s="2"/>
      <c r="X218" s="2"/>
      <c r="Y218" s="2"/>
      <c r="Z218" s="2"/>
    </row>
    <row r="219" ht="22.5" customHeight="1">
      <c r="A219" s="42" t="str">
        <f t="array" ref="A219">IFERROR(INDEX(Lists2!$B:$B,MATCH(A220,Lists2!$A:$A,0)),"")</f>
        <v/>
      </c>
      <c r="B219" s="42" t="str">
        <f t="array" ref="B219">IFERROR(INDEX(Lists2!$B:$B,MATCH(B220,Lists2!$A:$A,0)),"")</f>
        <v/>
      </c>
      <c r="C219" s="42" t="str">
        <f t="array" ref="C219">IFERROR(INDEX(Lists2!$B:$B,MATCH(C220,Lists2!$A:$A,0)),"")</f>
        <v/>
      </c>
      <c r="D219" s="42" t="str">
        <f t="array" ref="D219">IFERROR(INDEX(Lists2!$B:$B,MATCH(D220,Lists2!$A:$A,0)),"")</f>
        <v/>
      </c>
      <c r="E219" s="42" t="str">
        <f t="array" ref="E219">IFERROR(INDEX(Lists2!$B:$B,MATCH(E220,Lists2!$A:$A,0)),"")</f>
        <v/>
      </c>
      <c r="F219" s="42" t="str">
        <f t="array" ref="F219">IFERROR(INDEX(Lists2!$B:$B,MATCH(F220,Lists2!$A:$A,0)),"")</f>
        <v/>
      </c>
      <c r="G219" s="42" t="str">
        <f t="array" ref="G219">IFERROR(INDEX(Lists2!$B:$B,MATCH(G220,Lists2!$A:$A,0)),"")</f>
        <v/>
      </c>
      <c r="H219" s="2"/>
      <c r="I219" s="62"/>
      <c r="J219" s="7"/>
      <c r="K219" s="2"/>
      <c r="L219" s="2"/>
      <c r="M219" s="2"/>
      <c r="N219" s="2"/>
      <c r="O219" s="2"/>
      <c r="P219" s="2"/>
      <c r="Q219" s="2"/>
      <c r="R219" s="2"/>
      <c r="S219" s="2"/>
      <c r="T219" s="2"/>
      <c r="U219" s="2"/>
      <c r="V219" s="2"/>
      <c r="W219" s="2"/>
      <c r="X219" s="2"/>
      <c r="Y219" s="2"/>
      <c r="Z219" s="2"/>
    </row>
    <row r="220" ht="22.5" customHeight="1">
      <c r="A220" s="42" t="str">
        <f t="array" ref="A220">IFERROR(INDEX(FinishedData!$B:$B,MATCH(A218,FinishedData!$A:$A,0)),"")</f>
        <v>Practice</v>
      </c>
      <c r="B220" s="42" t="str">
        <f t="array" ref="B220">IFERROR(INDEX(FinishedData!$B:$B,MATCH(B218,FinishedData!$A:$A,0)),"")</f>
        <v>Practice</v>
      </c>
      <c r="C220" s="42" t="str">
        <f t="array" ref="C220">IFERROR(INDEX(FinishedData!$B:$B,MATCH(C218,FinishedData!$A:$A,0)),"")</f>
        <v>Game</v>
      </c>
      <c r="D220" s="42" t="str">
        <f t="array" ref="D220">IFERROR(INDEX(FinishedData!$B:$B,MATCH(D218,FinishedData!$A:$A,0)),"")</f>
        <v>Practice</v>
      </c>
      <c r="E220" s="42" t="str">
        <f t="array" ref="E220">IFERROR(INDEX(FinishedData!$B:$B,MATCH(E218,FinishedData!$A:$A,0)),"")</f>
        <v>Practice</v>
      </c>
      <c r="F220" s="42" t="str">
        <f t="array" ref="F220">IFERROR(INDEX(FinishedData!$B:$B,MATCH(F218,FinishedData!$A:$A,0)),"")</f>
        <v>Game</v>
      </c>
      <c r="G220" s="42" t="str">
        <f t="array" ref="G220">IFERROR(INDEX(FinishedData!$B:$B,MATCH(G218,FinishedData!$A:$A,0)),"")</f>
        <v>Off</v>
      </c>
      <c r="H220" s="2"/>
      <c r="I220" s="62"/>
      <c r="J220" s="7"/>
      <c r="K220" s="2"/>
      <c r="L220" s="2"/>
      <c r="M220" s="2"/>
      <c r="N220" s="2"/>
      <c r="O220" s="2"/>
      <c r="P220" s="2"/>
      <c r="Q220" s="2"/>
      <c r="R220" s="2"/>
      <c r="S220" s="2"/>
      <c r="T220" s="2"/>
      <c r="U220" s="2"/>
      <c r="V220" s="2"/>
      <c r="W220" s="2"/>
      <c r="X220" s="2"/>
      <c r="Y220" s="2"/>
      <c r="Z220" s="2"/>
    </row>
    <row r="221" ht="22.5" customHeight="1">
      <c r="A221" s="73">
        <f t="array" ref="A221">IFERROR(INDEX(FinishedData!$C:$C,MATCH(A218,FinishedData!$A:$A,0)),"")</f>
        <v>645</v>
      </c>
      <c r="B221" s="73">
        <f t="array" ref="B221">IFERROR(INDEX(FinishedData!$C:$C,MATCH(B218,FinishedData!$A:$A,0)),"")</f>
        <v>565</v>
      </c>
      <c r="C221" s="73">
        <f t="array" ref="C221">IFERROR(INDEX(FinishedData!$C:$C,MATCH(C218,FinishedData!$A:$A,0)),"")</f>
        <v>755</v>
      </c>
      <c r="D221" s="73">
        <f t="array" ref="D221">IFERROR(INDEX(FinishedData!$C:$C,MATCH(D218,FinishedData!$A:$A,0)),"")</f>
        <v>810</v>
      </c>
      <c r="E221" s="73">
        <f t="array" ref="E221">IFERROR(INDEX(FinishedData!$C:$C,MATCH(E218,FinishedData!$A:$A,0)),"")</f>
        <v>660</v>
      </c>
      <c r="F221" s="73">
        <f t="array" ref="F221">IFERROR(INDEX(FinishedData!$C:$C,MATCH(F218,FinishedData!$A:$A,0)),"")</f>
        <v>875</v>
      </c>
      <c r="G221" s="73" t="str">
        <f t="array" ref="G221">IFERROR(INDEX(FinishedData!$C:$C,MATCH(G218,FinishedData!$A:$A,0)),"")</f>
        <v/>
      </c>
      <c r="H221" s="2"/>
      <c r="I221" s="62"/>
      <c r="J221" s="7"/>
      <c r="K221" s="2"/>
      <c r="L221" s="2"/>
      <c r="M221" s="2"/>
      <c r="N221" s="2"/>
      <c r="O221" s="2"/>
      <c r="P221" s="2"/>
      <c r="Q221" s="2"/>
      <c r="R221" s="2"/>
      <c r="S221" s="2"/>
      <c r="T221" s="2"/>
      <c r="U221" s="2"/>
      <c r="V221" s="2"/>
      <c r="W221" s="2"/>
      <c r="X221" s="2"/>
      <c r="Y221" s="2"/>
      <c r="Z221" s="2"/>
    </row>
    <row r="222" ht="22.5" customHeight="1">
      <c r="A222" s="76">
        <f>IF(G218&gt;=$D$3,"",G218+1)</f>
        <v>44927</v>
      </c>
      <c r="B222" s="76">
        <f t="shared" ref="B222:G222" si="55">IF(A222&gt;=$D$3,"",A222+1)</f>
        <v>44928</v>
      </c>
      <c r="C222" s="76">
        <f t="shared" si="55"/>
        <v>44929</v>
      </c>
      <c r="D222" s="76">
        <f t="shared" si="55"/>
        <v>44930</v>
      </c>
      <c r="E222" s="76">
        <f t="shared" si="55"/>
        <v>44931</v>
      </c>
      <c r="F222" s="76">
        <f t="shared" si="55"/>
        <v>44932</v>
      </c>
      <c r="G222" s="76">
        <f t="shared" si="55"/>
        <v>44933</v>
      </c>
      <c r="H222" s="2"/>
      <c r="I222" s="62"/>
      <c r="J222" s="7"/>
      <c r="K222" s="2"/>
      <c r="L222" s="2"/>
      <c r="M222" s="2"/>
      <c r="N222" s="2"/>
      <c r="O222" s="2"/>
      <c r="P222" s="2"/>
      <c r="Q222" s="2"/>
      <c r="R222" s="2"/>
      <c r="S222" s="2"/>
      <c r="T222" s="2"/>
      <c r="U222" s="2"/>
      <c r="V222" s="2"/>
      <c r="W222" s="2"/>
      <c r="X222" s="2"/>
      <c r="Y222" s="2"/>
      <c r="Z222" s="2"/>
    </row>
    <row r="223" ht="22.5" customHeight="1">
      <c r="A223" s="42" t="str">
        <f t="array" ref="A223">IFERROR(INDEX(Lists2!$B:$B,MATCH(A224,Lists2!$A:$A,0)),"")</f>
        <v/>
      </c>
      <c r="B223" s="42" t="str">
        <f t="array" ref="B223">IFERROR(INDEX(Lists2!$B:$B,MATCH(B224,Lists2!$A:$A,0)),"")</f>
        <v/>
      </c>
      <c r="C223" s="42" t="str">
        <f t="array" ref="C223">IFERROR(INDEX(Lists2!$B:$B,MATCH(C224,Lists2!$A:$A,0)),"")</f>
        <v/>
      </c>
      <c r="D223" s="42" t="str">
        <f t="array" ref="D223">IFERROR(INDEX(Lists2!$B:$B,MATCH(D224,Lists2!$A:$A,0)),"")</f>
        <v/>
      </c>
      <c r="E223" s="42" t="str">
        <f t="array" ref="E223">IFERROR(INDEX(Lists2!$B:$B,MATCH(E224,Lists2!$A:$A,0)),"")</f>
        <v/>
      </c>
      <c r="F223" s="42" t="str">
        <f t="array" ref="F223">IFERROR(INDEX(Lists2!$B:$B,MATCH(F224,Lists2!$A:$A,0)),"")</f>
        <v/>
      </c>
      <c r="G223" s="42" t="str">
        <f t="array" ref="G223">IFERROR(INDEX(Lists2!$B:$B,MATCH(G224,Lists2!$A:$A,0)),"")</f>
        <v/>
      </c>
      <c r="H223" s="2"/>
      <c r="I223" s="62"/>
      <c r="J223" s="7"/>
      <c r="K223" s="2"/>
      <c r="L223" s="2"/>
      <c r="M223" s="2"/>
      <c r="N223" s="2"/>
      <c r="O223" s="2"/>
      <c r="P223" s="2"/>
      <c r="Q223" s="2"/>
      <c r="R223" s="2"/>
      <c r="S223" s="2"/>
      <c r="T223" s="2"/>
      <c r="U223" s="2"/>
      <c r="V223" s="2"/>
      <c r="W223" s="2"/>
      <c r="X223" s="2"/>
      <c r="Y223" s="2"/>
      <c r="Z223" s="2"/>
    </row>
    <row r="224" ht="22.5" customHeight="1">
      <c r="A224" s="42" t="str">
        <f t="array" ref="A224">IFERROR(INDEX(FinishedData!$B:$B,MATCH(A222,FinishedData!$A:$A,0)),"")</f>
        <v>Practice</v>
      </c>
      <c r="B224" s="42" t="str">
        <f t="array" ref="B224">IFERROR(INDEX(FinishedData!$B:$B,MATCH(B222,FinishedData!$A:$A,0)),"")</f>
        <v>Gym</v>
      </c>
      <c r="C224" s="42" t="str">
        <f t="array" ref="C224">IFERROR(INDEX(FinishedData!$B:$B,MATCH(C222,FinishedData!$A:$A,0)),"")</f>
        <v>Practice</v>
      </c>
      <c r="D224" s="42" t="str">
        <f t="array" ref="D224">IFERROR(INDEX(FinishedData!$B:$B,MATCH(D222,FinishedData!$A:$A,0)),"")</f>
        <v>Practice</v>
      </c>
      <c r="E224" s="42" t="str">
        <f t="array" ref="E224">IFERROR(INDEX(FinishedData!$B:$B,MATCH(E222,FinishedData!$A:$A,0)),"")</f>
        <v>Practice</v>
      </c>
      <c r="F224" s="42" t="str">
        <f t="array" ref="F224">IFERROR(INDEX(FinishedData!$B:$B,MATCH(F222,FinishedData!$A:$A,0)),"")</f>
        <v>Game</v>
      </c>
      <c r="G224" s="42" t="str">
        <f t="array" ref="G224">IFERROR(INDEX(FinishedData!$B:$B,MATCH(G222,FinishedData!$A:$A,0)),"")</f>
        <v>Off</v>
      </c>
      <c r="H224" s="2"/>
      <c r="I224" s="62"/>
      <c r="J224" s="7"/>
      <c r="K224" s="2"/>
      <c r="L224" s="2"/>
      <c r="M224" s="2"/>
      <c r="N224" s="2"/>
      <c r="O224" s="2"/>
      <c r="P224" s="2"/>
      <c r="Q224" s="2"/>
      <c r="R224" s="2"/>
      <c r="S224" s="2"/>
      <c r="T224" s="2"/>
      <c r="U224" s="2"/>
      <c r="V224" s="2"/>
      <c r="W224" s="2"/>
      <c r="X224" s="2"/>
      <c r="Y224" s="2"/>
      <c r="Z224" s="2"/>
    </row>
    <row r="225" ht="22.5" customHeight="1">
      <c r="A225" s="73">
        <f t="array" ref="A225">IFERROR(INDEX(FinishedData!$C:$C,MATCH(A222,FinishedData!$A:$A,0)),"")</f>
        <v>555</v>
      </c>
      <c r="B225" s="73">
        <f t="array" ref="B225">IFERROR(INDEX(FinishedData!$C:$C,MATCH(B222,FinishedData!$A:$A,0)),"")</f>
        <v>875</v>
      </c>
      <c r="C225" s="73">
        <f t="array" ref="C225">IFERROR(INDEX(FinishedData!$C:$C,MATCH(C222,FinishedData!$A:$A,0)),"")</f>
        <v>820</v>
      </c>
      <c r="D225" s="73">
        <f t="array" ref="D225">IFERROR(INDEX(FinishedData!$C:$C,MATCH(D222,FinishedData!$A:$A,0)),"")</f>
        <v>725</v>
      </c>
      <c r="E225" s="73">
        <f t="array" ref="E225">IFERROR(INDEX(FinishedData!$C:$C,MATCH(E222,FinishedData!$A:$A,0)),"")</f>
        <v>850</v>
      </c>
      <c r="F225" s="73">
        <f t="array" ref="F225">IFERROR(INDEX(FinishedData!$C:$C,MATCH(F222,FinishedData!$A:$A,0)),"")</f>
        <v>925</v>
      </c>
      <c r="G225" s="73" t="str">
        <f t="array" ref="G225">IFERROR(INDEX(FinishedData!$C:$C,MATCH(G222,FinishedData!$A:$A,0)),"")</f>
        <v/>
      </c>
      <c r="H225" s="2"/>
      <c r="I225" s="62"/>
      <c r="J225" s="7"/>
      <c r="K225" s="2"/>
      <c r="L225" s="2"/>
      <c r="M225" s="2"/>
      <c r="N225" s="2"/>
      <c r="O225" s="2"/>
      <c r="P225" s="2"/>
      <c r="Q225" s="2"/>
      <c r="R225" s="2"/>
      <c r="S225" s="2"/>
      <c r="T225" s="2"/>
      <c r="U225" s="2"/>
      <c r="V225" s="2"/>
      <c r="W225" s="2"/>
      <c r="X225" s="2"/>
      <c r="Y225" s="2"/>
      <c r="Z225" s="2"/>
    </row>
    <row r="226" ht="22.5" customHeight="1">
      <c r="A226" s="76">
        <f>IF(G222&gt;=$D$3,"",G222+1)</f>
        <v>44934</v>
      </c>
      <c r="B226" s="76">
        <f t="shared" ref="B226:G226" si="56">IF(A226&gt;=$D$3,"",A226+1)</f>
        <v>44935</v>
      </c>
      <c r="C226" s="76">
        <f t="shared" si="56"/>
        <v>44936</v>
      </c>
      <c r="D226" s="76">
        <f t="shared" si="56"/>
        <v>44937</v>
      </c>
      <c r="E226" s="76">
        <f t="shared" si="56"/>
        <v>44938</v>
      </c>
      <c r="F226" s="76">
        <f t="shared" si="56"/>
        <v>44939</v>
      </c>
      <c r="G226" s="76">
        <f t="shared" si="56"/>
        <v>44940</v>
      </c>
      <c r="H226" s="2"/>
      <c r="I226" s="62"/>
      <c r="J226" s="7"/>
      <c r="K226" s="2"/>
      <c r="L226" s="2"/>
      <c r="M226" s="2"/>
      <c r="N226" s="2"/>
      <c r="O226" s="2"/>
      <c r="P226" s="2"/>
      <c r="Q226" s="2"/>
      <c r="R226" s="2"/>
      <c r="S226" s="2"/>
      <c r="T226" s="2"/>
      <c r="U226" s="2"/>
      <c r="V226" s="2"/>
      <c r="W226" s="2"/>
      <c r="X226" s="2"/>
      <c r="Y226" s="2"/>
      <c r="Z226" s="2"/>
    </row>
    <row r="227" ht="22.5" customHeight="1">
      <c r="A227" s="42" t="str">
        <f t="array" ref="A227">IFERROR(INDEX(Lists2!$B:$B,MATCH(A228,Lists2!$A:$A,0)),"")</f>
        <v/>
      </c>
      <c r="B227" s="42" t="str">
        <f t="array" ref="B227">IFERROR(INDEX(Lists2!$B:$B,MATCH(B228,Lists2!$A:$A,0)),"")</f>
        <v/>
      </c>
      <c r="C227" s="42" t="str">
        <f t="array" ref="C227">IFERROR(INDEX(Lists2!$B:$B,MATCH(C228,Lists2!$A:$A,0)),"")</f>
        <v/>
      </c>
      <c r="D227" s="42" t="str">
        <f t="array" ref="D227">IFERROR(INDEX(Lists2!$B:$B,MATCH(D228,Lists2!$A:$A,0)),"")</f>
        <v/>
      </c>
      <c r="E227" s="42" t="str">
        <f t="array" ref="E227">IFERROR(INDEX(Lists2!$B:$B,MATCH(E228,Lists2!$A:$A,0)),"")</f>
        <v/>
      </c>
      <c r="F227" s="42" t="str">
        <f t="array" ref="F227">IFERROR(INDEX(Lists2!$B:$B,MATCH(F228,Lists2!$A:$A,0)),"")</f>
        <v/>
      </c>
      <c r="G227" s="42" t="str">
        <f t="array" ref="G227">IFERROR(INDEX(Lists2!$B:$B,MATCH(G228,Lists2!$A:$A,0)),"")</f>
        <v/>
      </c>
      <c r="H227" s="2"/>
      <c r="I227" s="62"/>
      <c r="J227" s="7"/>
      <c r="K227" s="2"/>
      <c r="L227" s="2"/>
      <c r="M227" s="2"/>
      <c r="N227" s="2"/>
      <c r="O227" s="2"/>
      <c r="P227" s="2"/>
      <c r="Q227" s="2"/>
      <c r="R227" s="2"/>
      <c r="S227" s="2"/>
      <c r="T227" s="2"/>
      <c r="U227" s="2"/>
      <c r="V227" s="2"/>
      <c r="W227" s="2"/>
      <c r="X227" s="2"/>
      <c r="Y227" s="2"/>
      <c r="Z227" s="2"/>
    </row>
    <row r="228" ht="22.5" customHeight="1">
      <c r="A228" s="42" t="str">
        <f t="array" ref="A228">IFERROR(INDEX(FinishedData!$B:$B,MATCH(A226,FinishedData!$A:$A,0)),"")</f>
        <v>Gym</v>
      </c>
      <c r="B228" s="42" t="str">
        <f t="array" ref="B228">IFERROR(INDEX(FinishedData!$B:$B,MATCH(B226,FinishedData!$A:$A,0)),"")</f>
        <v>Practice</v>
      </c>
      <c r="C228" s="42" t="str">
        <f t="array" ref="C228">IFERROR(INDEX(FinishedData!$B:$B,MATCH(C226,FinishedData!$A:$A,0)),"")</f>
        <v>Practice</v>
      </c>
      <c r="D228" s="42" t="str">
        <f t="array" ref="D228">IFERROR(INDEX(FinishedData!$B:$B,MATCH(D226,FinishedData!$A:$A,0)),"")</f>
        <v>Game</v>
      </c>
      <c r="E228" s="42" t="str">
        <f t="array" ref="E228">IFERROR(INDEX(FinishedData!$B:$B,MATCH(E226,FinishedData!$A:$A,0)),"")</f>
        <v>Game</v>
      </c>
      <c r="F228" s="42" t="str">
        <f t="array" ref="F228">IFERROR(INDEX(FinishedData!$B:$B,MATCH(F226,FinishedData!$A:$A,0)),"")</f>
        <v>Off</v>
      </c>
      <c r="G228" s="42" t="str">
        <f t="array" ref="G228">IFERROR(INDEX(FinishedData!$B:$B,MATCH(G226,FinishedData!$A:$A,0)),"")</f>
        <v>Practice</v>
      </c>
      <c r="H228" s="2"/>
      <c r="I228" s="62"/>
      <c r="J228" s="7"/>
      <c r="K228" s="2"/>
      <c r="L228" s="2"/>
      <c r="M228" s="2"/>
      <c r="N228" s="2"/>
      <c r="O228" s="2"/>
      <c r="P228" s="2"/>
      <c r="Q228" s="2"/>
      <c r="R228" s="2"/>
      <c r="S228" s="2"/>
      <c r="T228" s="2"/>
      <c r="U228" s="2"/>
      <c r="V228" s="2"/>
      <c r="W228" s="2"/>
      <c r="X228" s="2"/>
      <c r="Y228" s="2"/>
      <c r="Z228" s="2"/>
    </row>
    <row r="229" ht="22.5" customHeight="1">
      <c r="A229" s="73">
        <f t="array" ref="A229">IFERROR(INDEX(FinishedData!$C:$C,MATCH(A226,FinishedData!$A:$A,0)),"")</f>
        <v>985</v>
      </c>
      <c r="B229" s="73">
        <f t="array" ref="B229">IFERROR(INDEX(FinishedData!$C:$C,MATCH(B226,FinishedData!$A:$A,0)),"")</f>
        <v>795</v>
      </c>
      <c r="C229" s="73">
        <f t="array" ref="C229">IFERROR(INDEX(FinishedData!$C:$C,MATCH(C226,FinishedData!$A:$A,0)),"")</f>
        <v>830</v>
      </c>
      <c r="D229" s="73">
        <f t="array" ref="D229">IFERROR(INDEX(FinishedData!$C:$C,MATCH(D226,FinishedData!$A:$A,0)),"")</f>
        <v>985</v>
      </c>
      <c r="E229" s="73">
        <f t="array" ref="E229">IFERROR(INDEX(FinishedData!$C:$C,MATCH(E226,FinishedData!$A:$A,0)),"")</f>
        <v>855</v>
      </c>
      <c r="F229" s="73" t="str">
        <f t="array" ref="F229">IFERROR(INDEX(FinishedData!$C:$C,MATCH(F226,FinishedData!$A:$A,0)),"")</f>
        <v/>
      </c>
      <c r="G229" s="73">
        <f t="array" ref="G229">IFERROR(INDEX(FinishedData!$C:$C,MATCH(G226,FinishedData!$A:$A,0)),"")</f>
        <v>745</v>
      </c>
      <c r="H229" s="2"/>
      <c r="I229" s="62"/>
      <c r="J229" s="7"/>
      <c r="K229" s="2"/>
      <c r="L229" s="2"/>
      <c r="M229" s="2"/>
      <c r="N229" s="2"/>
      <c r="O229" s="2"/>
      <c r="P229" s="2"/>
      <c r="Q229" s="2"/>
      <c r="R229" s="2"/>
      <c r="S229" s="2"/>
      <c r="T229" s="2"/>
      <c r="U229" s="2"/>
      <c r="V229" s="2"/>
      <c r="W229" s="2"/>
      <c r="X229" s="2"/>
      <c r="Y229" s="2"/>
      <c r="Z229" s="2"/>
    </row>
    <row r="230" ht="22.5" customHeight="1">
      <c r="A230" s="76">
        <f>IF(G226&gt;=$D$3,"",G226+1)</f>
        <v>44941</v>
      </c>
      <c r="B230" s="76">
        <f t="shared" ref="B230:G230" si="57">IF(A230&gt;=$D$3,"",A230+1)</f>
        <v>44942</v>
      </c>
      <c r="C230" s="76">
        <f t="shared" si="57"/>
        <v>44943</v>
      </c>
      <c r="D230" s="76">
        <f t="shared" si="57"/>
        <v>44944</v>
      </c>
      <c r="E230" s="76">
        <f t="shared" si="57"/>
        <v>44945</v>
      </c>
      <c r="F230" s="76">
        <f t="shared" si="57"/>
        <v>44946</v>
      </c>
      <c r="G230" s="76">
        <f t="shared" si="57"/>
        <v>44947</v>
      </c>
      <c r="H230" s="2"/>
      <c r="I230" s="62"/>
      <c r="J230" s="7"/>
      <c r="K230" s="2"/>
      <c r="L230" s="2"/>
      <c r="M230" s="2"/>
      <c r="N230" s="2"/>
      <c r="O230" s="2"/>
      <c r="P230" s="2"/>
      <c r="Q230" s="2"/>
      <c r="R230" s="2"/>
      <c r="S230" s="2"/>
      <c r="T230" s="2"/>
      <c r="U230" s="2"/>
      <c r="V230" s="2"/>
      <c r="W230" s="2"/>
      <c r="X230" s="2"/>
      <c r="Y230" s="2"/>
      <c r="Z230" s="2"/>
    </row>
    <row r="231" ht="22.5" customHeight="1">
      <c r="A231" s="42" t="str">
        <f t="array" ref="A231">IFERROR(INDEX(Lists2!$B:$B,MATCH(A232,Lists2!$A:$A,0)),"")</f>
        <v/>
      </c>
      <c r="B231" s="42" t="str">
        <f t="array" ref="B231">IFERROR(INDEX(Lists2!$B:$B,MATCH(B232,Lists2!$A:$A,0)),"")</f>
        <v/>
      </c>
      <c r="C231" s="42" t="str">
        <f t="array" ref="C231">IFERROR(INDEX(Lists2!$B:$B,MATCH(C232,Lists2!$A:$A,0)),"")</f>
        <v/>
      </c>
      <c r="D231" s="42" t="str">
        <f t="array" ref="D231">IFERROR(INDEX(Lists2!$B:$B,MATCH(D232,Lists2!$A:$A,0)),"")</f>
        <v/>
      </c>
      <c r="E231" s="42" t="str">
        <f t="array" ref="E231">IFERROR(INDEX(Lists2!$B:$B,MATCH(E232,Lists2!$A:$A,0)),"")</f>
        <v/>
      </c>
      <c r="F231" s="42" t="str">
        <f t="array" ref="F231">IFERROR(INDEX(Lists2!$B:$B,MATCH(F232,Lists2!$A:$A,0)),"")</f>
        <v/>
      </c>
      <c r="G231" s="42" t="str">
        <f t="array" ref="G231">IFERROR(INDEX(Lists2!$B:$B,MATCH(G232,Lists2!$A:$A,0)),"")</f>
        <v/>
      </c>
      <c r="H231" s="2"/>
      <c r="I231" s="62"/>
      <c r="J231" s="7"/>
      <c r="K231" s="2"/>
      <c r="L231" s="2"/>
      <c r="M231" s="2"/>
      <c r="N231" s="2"/>
      <c r="O231" s="2"/>
      <c r="P231" s="2"/>
      <c r="Q231" s="2"/>
      <c r="R231" s="2"/>
      <c r="S231" s="2"/>
      <c r="T231" s="2"/>
      <c r="U231" s="2"/>
      <c r="V231" s="2"/>
      <c r="W231" s="2"/>
      <c r="X231" s="2"/>
      <c r="Y231" s="2"/>
      <c r="Z231" s="2"/>
    </row>
    <row r="232" ht="22.5" customHeight="1">
      <c r="A232" s="42" t="str">
        <f t="array" ref="A232">IFERROR(INDEX(FinishedData!$B:$B,MATCH(A230,FinishedData!$A:$A,0)),"")</f>
        <v>Practice</v>
      </c>
      <c r="B232" s="42" t="str">
        <f t="array" ref="B232">IFERROR(INDEX(FinishedData!$B:$B,MATCH(B230,FinishedData!$A:$A,0)),"")</f>
        <v>Gym</v>
      </c>
      <c r="C232" s="42" t="str">
        <f t="array" ref="C232">IFERROR(INDEX(FinishedData!$B:$B,MATCH(C230,FinishedData!$A:$A,0)),"")</f>
        <v>Practice</v>
      </c>
      <c r="D232" s="42" t="str">
        <f t="array" ref="D232">IFERROR(INDEX(FinishedData!$B:$B,MATCH(D230,FinishedData!$A:$A,0)),"")</f>
        <v>Practice</v>
      </c>
      <c r="E232" s="42" t="str">
        <f t="array" ref="E232">IFERROR(INDEX(FinishedData!$B:$B,MATCH(E230,FinishedData!$A:$A,0)),"")</f>
        <v>Game</v>
      </c>
      <c r="F232" s="42" t="str">
        <f t="array" ref="F232">IFERROR(INDEX(FinishedData!$B:$B,MATCH(F230,FinishedData!$A:$A,0)),"")</f>
        <v>Practice</v>
      </c>
      <c r="G232" s="42" t="str">
        <f t="array" ref="G232">IFERROR(INDEX(FinishedData!$B:$B,MATCH(G230,FinishedData!$A:$A,0)),"")</f>
        <v>Game</v>
      </c>
      <c r="H232" s="2"/>
      <c r="I232" s="62"/>
      <c r="J232" s="7"/>
      <c r="K232" s="2"/>
      <c r="L232" s="2"/>
      <c r="M232" s="2"/>
      <c r="N232" s="2"/>
      <c r="O232" s="2"/>
      <c r="P232" s="2"/>
      <c r="Q232" s="2"/>
      <c r="R232" s="2"/>
      <c r="S232" s="2"/>
      <c r="T232" s="2"/>
      <c r="U232" s="2"/>
      <c r="V232" s="2"/>
      <c r="W232" s="2"/>
      <c r="X232" s="2"/>
      <c r="Y232" s="2"/>
      <c r="Z232" s="2"/>
    </row>
    <row r="233" ht="22.5" customHeight="1">
      <c r="A233" s="73">
        <f t="array" ref="A233">IFERROR(INDEX(FinishedData!$C:$C,MATCH(A230,FinishedData!$A:$A,0)),"")</f>
        <v>715</v>
      </c>
      <c r="B233" s="73">
        <f t="array" ref="B233">IFERROR(INDEX(FinishedData!$C:$C,MATCH(B230,FinishedData!$A:$A,0)),"")</f>
        <v>615</v>
      </c>
      <c r="C233" s="73">
        <f t="array" ref="C233">IFERROR(INDEX(FinishedData!$C:$C,MATCH(C230,FinishedData!$A:$A,0)),"")</f>
        <v>900</v>
      </c>
      <c r="D233" s="73">
        <f t="array" ref="D233">IFERROR(INDEX(FinishedData!$C:$C,MATCH(D230,FinishedData!$A:$A,0)),"")</f>
        <v>640</v>
      </c>
      <c r="E233" s="73">
        <f t="array" ref="E233">IFERROR(INDEX(FinishedData!$C:$C,MATCH(E230,FinishedData!$A:$A,0)),"")</f>
        <v>775</v>
      </c>
      <c r="F233" s="73">
        <f t="array" ref="F233">IFERROR(INDEX(FinishedData!$C:$C,MATCH(F230,FinishedData!$A:$A,0)),"")</f>
        <v>850</v>
      </c>
      <c r="G233" s="73">
        <f t="array" ref="G233">IFERROR(INDEX(FinishedData!$C:$C,MATCH(G230,FinishedData!$A:$A,0)),"")</f>
        <v>950</v>
      </c>
      <c r="H233" s="2"/>
      <c r="I233" s="62"/>
      <c r="J233" s="7"/>
      <c r="K233" s="2"/>
      <c r="L233" s="2"/>
      <c r="M233" s="2"/>
      <c r="N233" s="2"/>
      <c r="O233" s="2"/>
      <c r="P233" s="2"/>
      <c r="Q233" s="2"/>
      <c r="R233" s="2"/>
      <c r="S233" s="2"/>
      <c r="T233" s="2"/>
      <c r="U233" s="2"/>
      <c r="V233" s="2"/>
      <c r="W233" s="2"/>
      <c r="X233" s="2"/>
      <c r="Y233" s="2"/>
      <c r="Z233" s="2"/>
    </row>
    <row r="234" ht="22.5" customHeight="1">
      <c r="A234" s="7"/>
      <c r="B234" s="7"/>
      <c r="C234" s="7"/>
      <c r="D234" s="7"/>
      <c r="E234" s="7"/>
      <c r="F234" s="7"/>
      <c r="G234" s="7"/>
      <c r="H234" s="2"/>
      <c r="I234" s="62"/>
      <c r="J234" s="7"/>
      <c r="K234" s="2"/>
      <c r="L234" s="2"/>
      <c r="M234" s="2"/>
      <c r="N234" s="2"/>
      <c r="O234" s="2"/>
      <c r="P234" s="2"/>
      <c r="Q234" s="2"/>
      <c r="R234" s="2"/>
      <c r="S234" s="2"/>
      <c r="T234" s="2"/>
      <c r="U234" s="2"/>
      <c r="V234" s="2"/>
      <c r="W234" s="2"/>
      <c r="X234" s="2"/>
      <c r="Y234" s="2"/>
      <c r="Z234" s="2"/>
    </row>
    <row r="235" ht="22.5" customHeight="1">
      <c r="A235" s="7"/>
      <c r="B235" s="7"/>
      <c r="C235" s="7"/>
      <c r="D235" s="7"/>
      <c r="E235" s="7"/>
      <c r="F235" s="7"/>
      <c r="G235" s="7"/>
      <c r="H235" s="2"/>
      <c r="I235" s="62"/>
      <c r="J235" s="7"/>
      <c r="K235" s="2"/>
      <c r="L235" s="2"/>
      <c r="M235" s="2"/>
      <c r="N235" s="2"/>
      <c r="O235" s="2"/>
      <c r="P235" s="2"/>
      <c r="Q235" s="2"/>
      <c r="R235" s="2"/>
      <c r="S235" s="2"/>
      <c r="T235" s="2"/>
      <c r="U235" s="2"/>
      <c r="V235" s="2"/>
      <c r="W235" s="2"/>
      <c r="X235" s="2"/>
      <c r="Y235" s="2"/>
      <c r="Z235" s="2"/>
    </row>
    <row r="236" ht="22.5" customHeight="1">
      <c r="A236" s="7"/>
      <c r="B236" s="7"/>
      <c r="C236" s="7"/>
      <c r="D236" s="7"/>
      <c r="E236" s="7"/>
      <c r="F236" s="7"/>
      <c r="G236" s="7"/>
      <c r="H236" s="2"/>
      <c r="I236" s="62"/>
      <c r="J236" s="7"/>
      <c r="K236" s="2"/>
      <c r="L236" s="2"/>
      <c r="M236" s="2"/>
      <c r="N236" s="2"/>
      <c r="O236" s="2"/>
      <c r="P236" s="2"/>
      <c r="Q236" s="2"/>
      <c r="R236" s="2"/>
      <c r="S236" s="2"/>
      <c r="T236" s="2"/>
      <c r="U236" s="2"/>
      <c r="V236" s="2"/>
      <c r="W236" s="2"/>
      <c r="X236" s="2"/>
      <c r="Y236" s="2"/>
      <c r="Z236" s="2"/>
    </row>
    <row r="237" ht="22.5" customHeight="1">
      <c r="A237" s="7"/>
      <c r="B237" s="7"/>
      <c r="C237" s="7"/>
      <c r="D237" s="7"/>
      <c r="E237" s="7"/>
      <c r="F237" s="7"/>
      <c r="G237" s="7"/>
      <c r="H237" s="2"/>
      <c r="I237" s="62"/>
      <c r="J237" s="7"/>
      <c r="K237" s="2"/>
      <c r="L237" s="2"/>
      <c r="M237" s="2"/>
      <c r="N237" s="2"/>
      <c r="O237" s="2"/>
      <c r="P237" s="2"/>
      <c r="Q237" s="2"/>
      <c r="R237" s="2"/>
      <c r="S237" s="2"/>
      <c r="T237" s="2"/>
      <c r="U237" s="2"/>
      <c r="V237" s="2"/>
      <c r="W237" s="2"/>
      <c r="X237" s="2"/>
      <c r="Y237" s="2"/>
      <c r="Z237" s="2"/>
    </row>
    <row r="238" ht="22.5" customHeight="1">
      <c r="A238" s="7"/>
      <c r="B238" s="7"/>
      <c r="C238" s="7"/>
      <c r="D238" s="7"/>
      <c r="E238" s="7"/>
      <c r="F238" s="7"/>
      <c r="G238" s="7"/>
      <c r="H238" s="2"/>
      <c r="I238" s="62"/>
      <c r="J238" s="7"/>
      <c r="K238" s="2"/>
      <c r="L238" s="2"/>
      <c r="M238" s="2"/>
      <c r="N238" s="2"/>
      <c r="O238" s="2"/>
      <c r="P238" s="2"/>
      <c r="Q238" s="2"/>
      <c r="R238" s="2"/>
      <c r="S238" s="2"/>
      <c r="T238" s="2"/>
      <c r="U238" s="2"/>
      <c r="V238" s="2"/>
      <c r="W238" s="2"/>
      <c r="X238" s="2"/>
      <c r="Y238" s="2"/>
      <c r="Z238" s="2"/>
    </row>
    <row r="239" ht="22.5" customHeight="1">
      <c r="A239" s="7"/>
      <c r="B239" s="7"/>
      <c r="C239" s="7"/>
      <c r="D239" s="7"/>
      <c r="E239" s="7"/>
      <c r="F239" s="7"/>
      <c r="G239" s="7"/>
      <c r="H239" s="2"/>
      <c r="I239" s="62"/>
      <c r="J239" s="7"/>
      <c r="K239" s="2"/>
      <c r="L239" s="2"/>
      <c r="M239" s="2"/>
      <c r="N239" s="2"/>
      <c r="O239" s="2"/>
      <c r="P239" s="2"/>
      <c r="Q239" s="2"/>
      <c r="R239" s="2"/>
      <c r="S239" s="2"/>
      <c r="T239" s="2"/>
      <c r="U239" s="2"/>
      <c r="V239" s="2"/>
      <c r="W239" s="2"/>
      <c r="X239" s="2"/>
      <c r="Y239" s="2"/>
      <c r="Z239" s="2"/>
    </row>
    <row r="240" ht="22.5" customHeight="1">
      <c r="A240" s="7"/>
      <c r="B240" s="7"/>
      <c r="C240" s="7"/>
      <c r="D240" s="7"/>
      <c r="E240" s="7"/>
      <c r="F240" s="7"/>
      <c r="G240" s="7"/>
      <c r="H240" s="2"/>
      <c r="I240" s="62"/>
      <c r="J240" s="7"/>
      <c r="K240" s="2"/>
      <c r="L240" s="2"/>
      <c r="M240" s="2"/>
      <c r="N240" s="2"/>
      <c r="O240" s="2"/>
      <c r="P240" s="2"/>
      <c r="Q240" s="2"/>
      <c r="R240" s="2"/>
      <c r="S240" s="2"/>
      <c r="T240" s="2"/>
      <c r="U240" s="2"/>
      <c r="V240" s="2"/>
      <c r="W240" s="2"/>
      <c r="X240" s="2"/>
      <c r="Y240" s="2"/>
      <c r="Z240" s="2"/>
    </row>
    <row r="241" ht="22.5" customHeight="1">
      <c r="A241" s="7"/>
      <c r="B241" s="7"/>
      <c r="C241" s="7"/>
      <c r="D241" s="7"/>
      <c r="E241" s="7"/>
      <c r="F241" s="7"/>
      <c r="G241" s="7"/>
      <c r="H241" s="2"/>
      <c r="I241" s="62"/>
      <c r="J241" s="7"/>
      <c r="K241" s="2"/>
      <c r="L241" s="2"/>
      <c r="M241" s="2"/>
      <c r="N241" s="2"/>
      <c r="O241" s="2"/>
      <c r="P241" s="2"/>
      <c r="Q241" s="2"/>
      <c r="R241" s="2"/>
      <c r="S241" s="2"/>
      <c r="T241" s="2"/>
      <c r="U241" s="2"/>
      <c r="V241" s="2"/>
      <c r="W241" s="2"/>
      <c r="X241" s="2"/>
      <c r="Y241" s="2"/>
      <c r="Z241" s="2"/>
    </row>
    <row r="242" ht="22.5" customHeight="1">
      <c r="A242" s="7"/>
      <c r="B242" s="7"/>
      <c r="C242" s="7"/>
      <c r="D242" s="7"/>
      <c r="E242" s="7"/>
      <c r="F242" s="7"/>
      <c r="G242" s="7"/>
      <c r="H242" s="2"/>
      <c r="I242" s="62"/>
      <c r="J242" s="7"/>
      <c r="K242" s="2"/>
      <c r="L242" s="2"/>
      <c r="M242" s="2"/>
      <c r="N242" s="2"/>
      <c r="O242" s="2"/>
      <c r="P242" s="2"/>
      <c r="Q242" s="2"/>
      <c r="R242" s="2"/>
      <c r="S242" s="2"/>
      <c r="T242" s="2"/>
      <c r="U242" s="2"/>
      <c r="V242" s="2"/>
      <c r="W242" s="2"/>
      <c r="X242" s="2"/>
      <c r="Y242" s="2"/>
      <c r="Z242" s="2"/>
    </row>
    <row r="243" ht="22.5" customHeight="1">
      <c r="A243" s="7"/>
      <c r="B243" s="7"/>
      <c r="C243" s="7"/>
      <c r="D243" s="7"/>
      <c r="E243" s="7"/>
      <c r="F243" s="7"/>
      <c r="G243" s="7"/>
      <c r="H243" s="2"/>
      <c r="I243" s="62"/>
      <c r="J243" s="7"/>
      <c r="K243" s="2"/>
      <c r="L243" s="2"/>
      <c r="M243" s="2"/>
      <c r="N243" s="2"/>
      <c r="O243" s="2"/>
      <c r="P243" s="2"/>
      <c r="Q243" s="2"/>
      <c r="R243" s="2"/>
      <c r="S243" s="2"/>
      <c r="T243" s="2"/>
      <c r="U243" s="2"/>
      <c r="V243" s="2"/>
      <c r="W243" s="2"/>
      <c r="X243" s="2"/>
      <c r="Y243" s="2"/>
      <c r="Z243" s="2"/>
    </row>
    <row r="244" ht="22.5" customHeight="1">
      <c r="A244" s="7"/>
      <c r="B244" s="7"/>
      <c r="C244" s="7"/>
      <c r="D244" s="7"/>
      <c r="E244" s="7"/>
      <c r="F244" s="7"/>
      <c r="G244" s="7"/>
      <c r="H244" s="2"/>
      <c r="I244" s="62"/>
      <c r="J244" s="7"/>
      <c r="K244" s="2"/>
      <c r="L244" s="2"/>
      <c r="M244" s="2"/>
      <c r="N244" s="2"/>
      <c r="O244" s="2"/>
      <c r="P244" s="2"/>
      <c r="Q244" s="2"/>
      <c r="R244" s="2"/>
      <c r="S244" s="2"/>
      <c r="T244" s="2"/>
      <c r="U244" s="2"/>
      <c r="V244" s="2"/>
      <c r="W244" s="2"/>
      <c r="X244" s="2"/>
      <c r="Y244" s="2"/>
      <c r="Z244" s="2"/>
    </row>
    <row r="245" ht="22.5" customHeight="1">
      <c r="A245" s="7"/>
      <c r="B245" s="7"/>
      <c r="C245" s="7"/>
      <c r="D245" s="7"/>
      <c r="E245" s="7"/>
      <c r="F245" s="7"/>
      <c r="G245" s="7"/>
      <c r="H245" s="2"/>
      <c r="I245" s="62"/>
      <c r="J245" s="7"/>
      <c r="K245" s="2"/>
      <c r="L245" s="2"/>
      <c r="M245" s="2"/>
      <c r="N245" s="2"/>
      <c r="O245" s="2"/>
      <c r="P245" s="2"/>
      <c r="Q245" s="2"/>
      <c r="R245" s="2"/>
      <c r="S245" s="2"/>
      <c r="T245" s="2"/>
      <c r="U245" s="2"/>
      <c r="V245" s="2"/>
      <c r="W245" s="2"/>
      <c r="X245" s="2"/>
      <c r="Y245" s="2"/>
      <c r="Z245" s="2"/>
    </row>
    <row r="246" ht="22.5" customHeight="1">
      <c r="A246" s="7"/>
      <c r="B246" s="7"/>
      <c r="C246" s="7"/>
      <c r="D246" s="7"/>
      <c r="E246" s="7"/>
      <c r="F246" s="7"/>
      <c r="G246" s="7"/>
      <c r="H246" s="2"/>
      <c r="I246" s="62"/>
      <c r="J246" s="7"/>
      <c r="K246" s="2"/>
      <c r="L246" s="2"/>
      <c r="M246" s="2"/>
      <c r="N246" s="2"/>
      <c r="O246" s="2"/>
      <c r="P246" s="2"/>
      <c r="Q246" s="2"/>
      <c r="R246" s="2"/>
      <c r="S246" s="2"/>
      <c r="T246" s="2"/>
      <c r="U246" s="2"/>
      <c r="V246" s="2"/>
      <c r="W246" s="2"/>
      <c r="X246" s="2"/>
      <c r="Y246" s="2"/>
      <c r="Z246" s="2"/>
    </row>
    <row r="247" ht="22.5" customHeight="1">
      <c r="A247" s="7"/>
      <c r="B247" s="7"/>
      <c r="C247" s="7"/>
      <c r="D247" s="7"/>
      <c r="E247" s="7"/>
      <c r="F247" s="7"/>
      <c r="G247" s="7"/>
      <c r="H247" s="2"/>
      <c r="I247" s="62"/>
      <c r="J247" s="7"/>
      <c r="K247" s="2"/>
      <c r="L247" s="2"/>
      <c r="M247" s="2"/>
      <c r="N247" s="2"/>
      <c r="O247" s="2"/>
      <c r="P247" s="2"/>
      <c r="Q247" s="2"/>
      <c r="R247" s="2"/>
      <c r="S247" s="2"/>
      <c r="T247" s="2"/>
      <c r="U247" s="2"/>
      <c r="V247" s="2"/>
      <c r="W247" s="2"/>
      <c r="X247" s="2"/>
      <c r="Y247" s="2"/>
      <c r="Z247" s="2"/>
    </row>
    <row r="248" ht="22.5" customHeight="1">
      <c r="A248" s="7"/>
      <c r="B248" s="7"/>
      <c r="C248" s="7"/>
      <c r="D248" s="7"/>
      <c r="E248" s="7"/>
      <c r="F248" s="7"/>
      <c r="G248" s="7"/>
      <c r="H248" s="2"/>
      <c r="I248" s="62"/>
      <c r="J248" s="7"/>
      <c r="K248" s="2"/>
      <c r="L248" s="2"/>
      <c r="M248" s="2"/>
      <c r="N248" s="2"/>
      <c r="O248" s="2"/>
      <c r="P248" s="2"/>
      <c r="Q248" s="2"/>
      <c r="R248" s="2"/>
      <c r="S248" s="2"/>
      <c r="T248" s="2"/>
      <c r="U248" s="2"/>
      <c r="V248" s="2"/>
      <c r="W248" s="2"/>
      <c r="X248" s="2"/>
      <c r="Y248" s="2"/>
      <c r="Z248" s="2"/>
    </row>
    <row r="249" ht="22.5" customHeight="1">
      <c r="A249" s="7"/>
      <c r="B249" s="7"/>
      <c r="C249" s="7"/>
      <c r="D249" s="7"/>
      <c r="E249" s="7"/>
      <c r="F249" s="7"/>
      <c r="G249" s="7"/>
      <c r="H249" s="2"/>
      <c r="I249" s="62"/>
      <c r="J249" s="7"/>
      <c r="K249" s="2"/>
      <c r="L249" s="2"/>
      <c r="M249" s="2"/>
      <c r="N249" s="2"/>
      <c r="O249" s="2"/>
      <c r="P249" s="2"/>
      <c r="Q249" s="2"/>
      <c r="R249" s="2"/>
      <c r="S249" s="2"/>
      <c r="T249" s="2"/>
      <c r="U249" s="2"/>
      <c r="V249" s="2"/>
      <c r="W249" s="2"/>
      <c r="X249" s="2"/>
      <c r="Y249" s="2"/>
      <c r="Z249" s="2"/>
    </row>
    <row r="250" ht="22.5" customHeight="1">
      <c r="A250" s="7"/>
      <c r="B250" s="7"/>
      <c r="C250" s="7"/>
      <c r="D250" s="7"/>
      <c r="E250" s="7"/>
      <c r="F250" s="7"/>
      <c r="G250" s="7"/>
      <c r="H250" s="2"/>
      <c r="I250" s="62"/>
      <c r="J250" s="7"/>
      <c r="K250" s="2"/>
      <c r="L250" s="2"/>
      <c r="M250" s="2"/>
      <c r="N250" s="2"/>
      <c r="O250" s="2"/>
      <c r="P250" s="2"/>
      <c r="Q250" s="2"/>
      <c r="R250" s="2"/>
      <c r="S250" s="2"/>
      <c r="T250" s="2"/>
      <c r="U250" s="2"/>
      <c r="V250" s="2"/>
      <c r="W250" s="2"/>
      <c r="X250" s="2"/>
      <c r="Y250" s="2"/>
      <c r="Z250" s="2"/>
    </row>
    <row r="251" ht="22.5" customHeight="1">
      <c r="A251" s="7"/>
      <c r="B251" s="7"/>
      <c r="C251" s="7"/>
      <c r="D251" s="7"/>
      <c r="E251" s="7"/>
      <c r="F251" s="7"/>
      <c r="G251" s="7"/>
      <c r="H251" s="2"/>
      <c r="I251" s="62"/>
      <c r="J251" s="7"/>
      <c r="K251" s="2"/>
      <c r="L251" s="2"/>
      <c r="M251" s="2"/>
      <c r="N251" s="2"/>
      <c r="O251" s="2"/>
      <c r="P251" s="2"/>
      <c r="Q251" s="2"/>
      <c r="R251" s="2"/>
      <c r="S251" s="2"/>
      <c r="T251" s="2"/>
      <c r="U251" s="2"/>
      <c r="V251" s="2"/>
      <c r="W251" s="2"/>
      <c r="X251" s="2"/>
      <c r="Y251" s="2"/>
      <c r="Z251" s="2"/>
    </row>
    <row r="252" ht="22.5" customHeight="1">
      <c r="A252" s="7"/>
      <c r="B252" s="7"/>
      <c r="C252" s="7"/>
      <c r="D252" s="7"/>
      <c r="E252" s="7"/>
      <c r="F252" s="7"/>
      <c r="G252" s="7"/>
      <c r="H252" s="2"/>
      <c r="I252" s="62"/>
      <c r="J252" s="7"/>
      <c r="K252" s="2"/>
      <c r="L252" s="2"/>
      <c r="M252" s="2"/>
      <c r="N252" s="2"/>
      <c r="O252" s="2"/>
      <c r="P252" s="2"/>
      <c r="Q252" s="2"/>
      <c r="R252" s="2"/>
      <c r="S252" s="2"/>
      <c r="T252" s="2"/>
      <c r="U252" s="2"/>
      <c r="V252" s="2"/>
      <c r="W252" s="2"/>
      <c r="X252" s="2"/>
      <c r="Y252" s="2"/>
      <c r="Z252" s="2"/>
    </row>
    <row r="253" ht="22.5" customHeight="1">
      <c r="A253" s="7"/>
      <c r="B253" s="7"/>
      <c r="C253" s="7"/>
      <c r="D253" s="7"/>
      <c r="E253" s="7"/>
      <c r="F253" s="7"/>
      <c r="G253" s="7"/>
      <c r="H253" s="2"/>
      <c r="I253" s="62"/>
      <c r="J253" s="7"/>
      <c r="K253" s="2"/>
      <c r="L253" s="2"/>
      <c r="M253" s="2"/>
      <c r="N253" s="2"/>
      <c r="O253" s="2"/>
      <c r="P253" s="2"/>
      <c r="Q253" s="2"/>
      <c r="R253" s="2"/>
      <c r="S253" s="2"/>
      <c r="T253" s="2"/>
      <c r="U253" s="2"/>
      <c r="V253" s="2"/>
      <c r="W253" s="2"/>
      <c r="X253" s="2"/>
      <c r="Y253" s="2"/>
      <c r="Z253" s="2"/>
    </row>
    <row r="254" ht="22.5" customHeight="1">
      <c r="A254" s="7"/>
      <c r="B254" s="7"/>
      <c r="C254" s="7"/>
      <c r="D254" s="7"/>
      <c r="E254" s="7"/>
      <c r="F254" s="7"/>
      <c r="G254" s="7"/>
      <c r="H254" s="2"/>
      <c r="I254" s="62"/>
      <c r="J254" s="7"/>
      <c r="K254" s="2"/>
      <c r="L254" s="2"/>
      <c r="M254" s="2"/>
      <c r="N254" s="2"/>
      <c r="O254" s="2"/>
      <c r="P254" s="2"/>
      <c r="Q254" s="2"/>
      <c r="R254" s="2"/>
      <c r="S254" s="2"/>
      <c r="T254" s="2"/>
      <c r="U254" s="2"/>
      <c r="V254" s="2"/>
      <c r="W254" s="2"/>
      <c r="X254" s="2"/>
      <c r="Y254" s="2"/>
      <c r="Z254" s="2"/>
    </row>
    <row r="255" ht="22.5" customHeight="1">
      <c r="A255" s="7"/>
      <c r="B255" s="7"/>
      <c r="C255" s="7"/>
      <c r="D255" s="7"/>
      <c r="E255" s="7"/>
      <c r="F255" s="7"/>
      <c r="G255" s="7"/>
      <c r="H255" s="2"/>
      <c r="I255" s="62"/>
      <c r="J255" s="7"/>
      <c r="K255" s="2"/>
      <c r="L255" s="2"/>
      <c r="M255" s="2"/>
      <c r="N255" s="2"/>
      <c r="O255" s="2"/>
      <c r="P255" s="2"/>
      <c r="Q255" s="2"/>
      <c r="R255" s="2"/>
      <c r="S255" s="2"/>
      <c r="T255" s="2"/>
      <c r="U255" s="2"/>
      <c r="V255" s="2"/>
      <c r="W255" s="2"/>
      <c r="X255" s="2"/>
      <c r="Y255" s="2"/>
      <c r="Z255" s="2"/>
    </row>
    <row r="256" ht="22.5" customHeight="1">
      <c r="A256" s="7"/>
      <c r="B256" s="7"/>
      <c r="C256" s="7"/>
      <c r="D256" s="7"/>
      <c r="E256" s="7"/>
      <c r="F256" s="7"/>
      <c r="G256" s="7"/>
      <c r="H256" s="2"/>
      <c r="I256" s="62"/>
      <c r="J256" s="7"/>
      <c r="K256" s="2"/>
      <c r="L256" s="2"/>
      <c r="M256" s="2"/>
      <c r="N256" s="2"/>
      <c r="O256" s="2"/>
      <c r="P256" s="2"/>
      <c r="Q256" s="2"/>
      <c r="R256" s="2"/>
      <c r="S256" s="2"/>
      <c r="T256" s="2"/>
      <c r="U256" s="2"/>
      <c r="V256" s="2"/>
      <c r="W256" s="2"/>
      <c r="X256" s="2"/>
      <c r="Y256" s="2"/>
      <c r="Z256" s="2"/>
    </row>
    <row r="257" ht="22.5" customHeight="1">
      <c r="A257" s="7"/>
      <c r="B257" s="7"/>
      <c r="C257" s="7"/>
      <c r="D257" s="7"/>
      <c r="E257" s="7"/>
      <c r="F257" s="7"/>
      <c r="G257" s="7"/>
      <c r="H257" s="2"/>
      <c r="I257" s="62"/>
      <c r="J257" s="7"/>
      <c r="K257" s="2"/>
      <c r="L257" s="2"/>
      <c r="M257" s="2"/>
      <c r="N257" s="2"/>
      <c r="O257" s="2"/>
      <c r="P257" s="2"/>
      <c r="Q257" s="2"/>
      <c r="R257" s="2"/>
      <c r="S257" s="2"/>
      <c r="T257" s="2"/>
      <c r="U257" s="2"/>
      <c r="V257" s="2"/>
      <c r="W257" s="2"/>
      <c r="X257" s="2"/>
      <c r="Y257" s="2"/>
      <c r="Z257" s="2"/>
    </row>
    <row r="258" ht="22.5" customHeight="1">
      <c r="A258" s="7"/>
      <c r="B258" s="7"/>
      <c r="C258" s="7"/>
      <c r="D258" s="7"/>
      <c r="E258" s="7"/>
      <c r="F258" s="7"/>
      <c r="G258" s="7"/>
      <c r="H258" s="2"/>
      <c r="I258" s="62"/>
      <c r="J258" s="7"/>
      <c r="K258" s="2"/>
      <c r="L258" s="2"/>
      <c r="M258" s="2"/>
      <c r="N258" s="2"/>
      <c r="O258" s="2"/>
      <c r="P258" s="2"/>
      <c r="Q258" s="2"/>
      <c r="R258" s="2"/>
      <c r="S258" s="2"/>
      <c r="T258" s="2"/>
      <c r="U258" s="2"/>
      <c r="V258" s="2"/>
      <c r="W258" s="2"/>
      <c r="X258" s="2"/>
      <c r="Y258" s="2"/>
      <c r="Z258" s="2"/>
    </row>
    <row r="259" ht="22.5" customHeight="1">
      <c r="A259" s="7"/>
      <c r="B259" s="7"/>
      <c r="C259" s="7"/>
      <c r="D259" s="7"/>
      <c r="E259" s="7"/>
      <c r="F259" s="7"/>
      <c r="G259" s="7"/>
      <c r="H259" s="2"/>
      <c r="I259" s="62"/>
      <c r="J259" s="7"/>
      <c r="K259" s="2"/>
      <c r="L259" s="2"/>
      <c r="M259" s="2"/>
      <c r="N259" s="2"/>
      <c r="O259" s="2"/>
      <c r="P259" s="2"/>
      <c r="Q259" s="2"/>
      <c r="R259" s="2"/>
      <c r="S259" s="2"/>
      <c r="T259" s="2"/>
      <c r="U259" s="2"/>
      <c r="V259" s="2"/>
      <c r="W259" s="2"/>
      <c r="X259" s="2"/>
      <c r="Y259" s="2"/>
      <c r="Z259" s="2"/>
    </row>
    <row r="260" ht="22.5" customHeight="1">
      <c r="A260" s="7"/>
      <c r="B260" s="7"/>
      <c r="C260" s="7"/>
      <c r="D260" s="7"/>
      <c r="E260" s="7"/>
      <c r="F260" s="7"/>
      <c r="G260" s="7"/>
      <c r="H260" s="2"/>
      <c r="I260" s="62"/>
      <c r="J260" s="7"/>
      <c r="K260" s="2"/>
      <c r="L260" s="2"/>
      <c r="M260" s="2"/>
      <c r="N260" s="2"/>
      <c r="O260" s="2"/>
      <c r="P260" s="2"/>
      <c r="Q260" s="2"/>
      <c r="R260" s="2"/>
      <c r="S260" s="2"/>
      <c r="T260" s="2"/>
      <c r="U260" s="2"/>
      <c r="V260" s="2"/>
      <c r="W260" s="2"/>
      <c r="X260" s="2"/>
      <c r="Y260" s="2"/>
      <c r="Z260" s="2"/>
    </row>
    <row r="261" ht="22.5" customHeight="1">
      <c r="A261" s="7"/>
      <c r="B261" s="7"/>
      <c r="C261" s="7"/>
      <c r="D261" s="7"/>
      <c r="E261" s="7"/>
      <c r="F261" s="7"/>
      <c r="G261" s="7"/>
      <c r="H261" s="2"/>
      <c r="I261" s="62"/>
      <c r="J261" s="7"/>
      <c r="K261" s="2"/>
      <c r="L261" s="2"/>
      <c r="M261" s="2"/>
      <c r="N261" s="2"/>
      <c r="O261" s="2"/>
      <c r="P261" s="2"/>
      <c r="Q261" s="2"/>
      <c r="R261" s="2"/>
      <c r="S261" s="2"/>
      <c r="T261" s="2"/>
      <c r="U261" s="2"/>
      <c r="V261" s="2"/>
      <c r="W261" s="2"/>
      <c r="X261" s="2"/>
      <c r="Y261" s="2"/>
      <c r="Z261" s="2"/>
    </row>
    <row r="262" ht="22.5" customHeight="1">
      <c r="A262" s="7"/>
      <c r="B262" s="7"/>
      <c r="C262" s="7"/>
      <c r="D262" s="7"/>
      <c r="E262" s="7"/>
      <c r="F262" s="7"/>
      <c r="G262" s="7"/>
      <c r="H262" s="2"/>
      <c r="I262" s="62"/>
      <c r="J262" s="7"/>
      <c r="K262" s="2"/>
      <c r="L262" s="2"/>
      <c r="M262" s="2"/>
      <c r="N262" s="2"/>
      <c r="O262" s="2"/>
      <c r="P262" s="2"/>
      <c r="Q262" s="2"/>
      <c r="R262" s="2"/>
      <c r="S262" s="2"/>
      <c r="T262" s="2"/>
      <c r="U262" s="2"/>
      <c r="V262" s="2"/>
      <c r="W262" s="2"/>
      <c r="X262" s="2"/>
      <c r="Y262" s="2"/>
      <c r="Z262" s="2"/>
    </row>
    <row r="263" ht="22.5" customHeight="1">
      <c r="A263" s="7"/>
      <c r="B263" s="7"/>
      <c r="C263" s="7"/>
      <c r="D263" s="7"/>
      <c r="E263" s="7"/>
      <c r="F263" s="7"/>
      <c r="G263" s="7"/>
      <c r="H263" s="2"/>
      <c r="I263" s="62"/>
      <c r="J263" s="7"/>
      <c r="K263" s="2"/>
      <c r="L263" s="2"/>
      <c r="M263" s="2"/>
      <c r="N263" s="2"/>
      <c r="O263" s="2"/>
      <c r="P263" s="2"/>
      <c r="Q263" s="2"/>
      <c r="R263" s="2"/>
      <c r="S263" s="2"/>
      <c r="T263" s="2"/>
      <c r="U263" s="2"/>
      <c r="V263" s="2"/>
      <c r="W263" s="2"/>
      <c r="X263" s="2"/>
      <c r="Y263" s="2"/>
      <c r="Z263" s="2"/>
    </row>
    <row r="264" ht="22.5" customHeight="1">
      <c r="A264" s="7"/>
      <c r="B264" s="7"/>
      <c r="C264" s="7"/>
      <c r="D264" s="7"/>
      <c r="E264" s="7"/>
      <c r="F264" s="7"/>
      <c r="G264" s="7"/>
      <c r="H264" s="2"/>
      <c r="I264" s="62"/>
      <c r="J264" s="7"/>
      <c r="K264" s="2"/>
      <c r="L264" s="2"/>
      <c r="M264" s="2"/>
      <c r="N264" s="2"/>
      <c r="O264" s="2"/>
      <c r="P264" s="2"/>
      <c r="Q264" s="2"/>
      <c r="R264" s="2"/>
      <c r="S264" s="2"/>
      <c r="T264" s="2"/>
      <c r="U264" s="2"/>
      <c r="V264" s="2"/>
      <c r="W264" s="2"/>
      <c r="X264" s="2"/>
      <c r="Y264" s="2"/>
      <c r="Z264" s="2"/>
    </row>
    <row r="265" ht="22.5" customHeight="1">
      <c r="A265" s="7"/>
      <c r="B265" s="7"/>
      <c r="C265" s="7"/>
      <c r="D265" s="7"/>
      <c r="E265" s="7"/>
      <c r="F265" s="7"/>
      <c r="G265" s="7"/>
      <c r="H265" s="2"/>
      <c r="I265" s="62"/>
      <c r="J265" s="7"/>
      <c r="K265" s="2"/>
      <c r="L265" s="2"/>
      <c r="M265" s="2"/>
      <c r="N265" s="2"/>
      <c r="O265" s="2"/>
      <c r="P265" s="2"/>
      <c r="Q265" s="2"/>
      <c r="R265" s="2"/>
      <c r="S265" s="2"/>
      <c r="T265" s="2"/>
      <c r="U265" s="2"/>
      <c r="V265" s="2"/>
      <c r="W265" s="2"/>
      <c r="X265" s="2"/>
      <c r="Y265" s="2"/>
      <c r="Z265" s="2"/>
    </row>
    <row r="266" ht="22.5" customHeight="1">
      <c r="A266" s="7"/>
      <c r="B266" s="7"/>
      <c r="C266" s="7"/>
      <c r="D266" s="7"/>
      <c r="E266" s="7"/>
      <c r="F266" s="7"/>
      <c r="G266" s="7"/>
      <c r="H266" s="2"/>
      <c r="I266" s="62"/>
      <c r="J266" s="7"/>
      <c r="K266" s="2"/>
      <c r="L266" s="2"/>
      <c r="M266" s="2"/>
      <c r="N266" s="2"/>
      <c r="O266" s="2"/>
      <c r="P266" s="2"/>
      <c r="Q266" s="2"/>
      <c r="R266" s="2"/>
      <c r="S266" s="2"/>
      <c r="T266" s="2"/>
      <c r="U266" s="2"/>
      <c r="V266" s="2"/>
      <c r="W266" s="2"/>
      <c r="X266" s="2"/>
      <c r="Y266" s="2"/>
      <c r="Z266" s="2"/>
    </row>
    <row r="267" ht="22.5" customHeight="1">
      <c r="A267" s="7"/>
      <c r="B267" s="7"/>
      <c r="C267" s="7"/>
      <c r="D267" s="7"/>
      <c r="E267" s="7"/>
      <c r="F267" s="7"/>
      <c r="G267" s="7"/>
      <c r="H267" s="2"/>
      <c r="I267" s="62"/>
      <c r="J267" s="7"/>
      <c r="K267" s="2"/>
      <c r="L267" s="2"/>
      <c r="M267" s="2"/>
      <c r="N267" s="2"/>
      <c r="O267" s="2"/>
      <c r="P267" s="2"/>
      <c r="Q267" s="2"/>
      <c r="R267" s="2"/>
      <c r="S267" s="2"/>
      <c r="T267" s="2"/>
      <c r="U267" s="2"/>
      <c r="V267" s="2"/>
      <c r="W267" s="2"/>
      <c r="X267" s="2"/>
      <c r="Y267" s="2"/>
      <c r="Z267" s="2"/>
    </row>
    <row r="268" ht="22.5" customHeight="1">
      <c r="A268" s="7"/>
      <c r="B268" s="7"/>
      <c r="C268" s="7"/>
      <c r="D268" s="7"/>
      <c r="E268" s="7"/>
      <c r="F268" s="7"/>
      <c r="G268" s="7"/>
      <c r="H268" s="2"/>
      <c r="I268" s="62"/>
      <c r="J268" s="7"/>
      <c r="K268" s="2"/>
      <c r="L268" s="2"/>
      <c r="M268" s="2"/>
      <c r="N268" s="2"/>
      <c r="O268" s="2"/>
      <c r="P268" s="2"/>
      <c r="Q268" s="2"/>
      <c r="R268" s="2"/>
      <c r="S268" s="2"/>
      <c r="T268" s="2"/>
      <c r="U268" s="2"/>
      <c r="V268" s="2"/>
      <c r="W268" s="2"/>
      <c r="X268" s="2"/>
      <c r="Y268" s="2"/>
      <c r="Z268" s="2"/>
    </row>
    <row r="269" ht="22.5" customHeight="1">
      <c r="A269" s="7"/>
      <c r="B269" s="7"/>
      <c r="C269" s="7"/>
      <c r="D269" s="7"/>
      <c r="E269" s="7"/>
      <c r="F269" s="7"/>
      <c r="G269" s="7"/>
      <c r="H269" s="2"/>
      <c r="I269" s="62"/>
      <c r="J269" s="7"/>
      <c r="K269" s="2"/>
      <c r="L269" s="2"/>
      <c r="M269" s="2"/>
      <c r="N269" s="2"/>
      <c r="O269" s="2"/>
      <c r="P269" s="2"/>
      <c r="Q269" s="2"/>
      <c r="R269" s="2"/>
      <c r="S269" s="2"/>
      <c r="T269" s="2"/>
      <c r="U269" s="2"/>
      <c r="V269" s="2"/>
      <c r="W269" s="2"/>
      <c r="X269" s="2"/>
      <c r="Y269" s="2"/>
      <c r="Z269" s="2"/>
    </row>
    <row r="270" ht="22.5" customHeight="1">
      <c r="A270" s="7"/>
      <c r="B270" s="7"/>
      <c r="C270" s="7"/>
      <c r="D270" s="7"/>
      <c r="E270" s="7"/>
      <c r="F270" s="7"/>
      <c r="G270" s="7"/>
      <c r="H270" s="2"/>
      <c r="I270" s="62"/>
      <c r="J270" s="7"/>
      <c r="K270" s="2"/>
      <c r="L270" s="2"/>
      <c r="M270" s="2"/>
      <c r="N270" s="2"/>
      <c r="O270" s="2"/>
      <c r="P270" s="2"/>
      <c r="Q270" s="2"/>
      <c r="R270" s="2"/>
      <c r="S270" s="2"/>
      <c r="T270" s="2"/>
      <c r="U270" s="2"/>
      <c r="V270" s="2"/>
      <c r="W270" s="2"/>
      <c r="X270" s="2"/>
      <c r="Y270" s="2"/>
      <c r="Z270" s="2"/>
    </row>
    <row r="271" ht="22.5" customHeight="1">
      <c r="A271" s="7"/>
      <c r="B271" s="7"/>
      <c r="C271" s="7"/>
      <c r="D271" s="7"/>
      <c r="E271" s="7"/>
      <c r="F271" s="7"/>
      <c r="G271" s="7"/>
      <c r="H271" s="2"/>
      <c r="I271" s="62"/>
      <c r="J271" s="7"/>
      <c r="K271" s="2"/>
      <c r="L271" s="2"/>
      <c r="M271" s="2"/>
      <c r="N271" s="2"/>
      <c r="O271" s="2"/>
      <c r="P271" s="2"/>
      <c r="Q271" s="2"/>
      <c r="R271" s="2"/>
      <c r="S271" s="2"/>
      <c r="T271" s="2"/>
      <c r="U271" s="2"/>
      <c r="V271" s="2"/>
      <c r="W271" s="2"/>
      <c r="X271" s="2"/>
      <c r="Y271" s="2"/>
      <c r="Z271" s="2"/>
    </row>
    <row r="272" ht="22.5" customHeight="1">
      <c r="A272" s="7"/>
      <c r="B272" s="7"/>
      <c r="C272" s="7"/>
      <c r="D272" s="7"/>
      <c r="E272" s="7"/>
      <c r="F272" s="7"/>
      <c r="G272" s="7"/>
      <c r="H272" s="2"/>
      <c r="I272" s="62"/>
      <c r="J272" s="7"/>
      <c r="K272" s="2"/>
      <c r="L272" s="2"/>
      <c r="M272" s="2"/>
      <c r="N272" s="2"/>
      <c r="O272" s="2"/>
      <c r="P272" s="2"/>
      <c r="Q272" s="2"/>
      <c r="R272" s="2"/>
      <c r="S272" s="2"/>
      <c r="T272" s="2"/>
      <c r="U272" s="2"/>
      <c r="V272" s="2"/>
      <c r="W272" s="2"/>
      <c r="X272" s="2"/>
      <c r="Y272" s="2"/>
      <c r="Z272" s="2"/>
    </row>
    <row r="273" ht="22.5" customHeight="1">
      <c r="A273" s="7"/>
      <c r="B273" s="7"/>
      <c r="C273" s="7"/>
      <c r="D273" s="7"/>
      <c r="E273" s="7"/>
      <c r="F273" s="7"/>
      <c r="G273" s="7"/>
      <c r="H273" s="2"/>
      <c r="I273" s="62"/>
      <c r="J273" s="7"/>
      <c r="K273" s="2"/>
      <c r="L273" s="2"/>
      <c r="M273" s="2"/>
      <c r="N273" s="2"/>
      <c r="O273" s="2"/>
      <c r="P273" s="2"/>
      <c r="Q273" s="2"/>
      <c r="R273" s="2"/>
      <c r="S273" s="2"/>
      <c r="T273" s="2"/>
      <c r="U273" s="2"/>
      <c r="V273" s="2"/>
      <c r="W273" s="2"/>
      <c r="X273" s="2"/>
      <c r="Y273" s="2"/>
      <c r="Z273" s="2"/>
    </row>
    <row r="274" ht="22.5" customHeight="1">
      <c r="A274" s="7"/>
      <c r="B274" s="7"/>
      <c r="C274" s="7"/>
      <c r="D274" s="7"/>
      <c r="E274" s="7"/>
      <c r="F274" s="7"/>
      <c r="G274" s="7"/>
      <c r="H274" s="2"/>
      <c r="I274" s="62"/>
      <c r="J274" s="7"/>
      <c r="K274" s="2"/>
      <c r="L274" s="2"/>
      <c r="M274" s="2"/>
      <c r="N274" s="2"/>
      <c r="O274" s="2"/>
      <c r="P274" s="2"/>
      <c r="Q274" s="2"/>
      <c r="R274" s="2"/>
      <c r="S274" s="2"/>
      <c r="T274" s="2"/>
      <c r="U274" s="2"/>
      <c r="V274" s="2"/>
      <c r="W274" s="2"/>
      <c r="X274" s="2"/>
      <c r="Y274" s="2"/>
      <c r="Z274" s="2"/>
    </row>
    <row r="275" ht="22.5" customHeight="1">
      <c r="A275" s="7"/>
      <c r="B275" s="7"/>
      <c r="C275" s="7"/>
      <c r="D275" s="7"/>
      <c r="E275" s="7"/>
      <c r="F275" s="7"/>
      <c r="G275" s="7"/>
      <c r="H275" s="2"/>
      <c r="I275" s="62"/>
      <c r="J275" s="7"/>
      <c r="K275" s="2"/>
      <c r="L275" s="2"/>
      <c r="M275" s="2"/>
      <c r="N275" s="2"/>
      <c r="O275" s="2"/>
      <c r="P275" s="2"/>
      <c r="Q275" s="2"/>
      <c r="R275" s="2"/>
      <c r="S275" s="2"/>
      <c r="T275" s="2"/>
      <c r="U275" s="2"/>
      <c r="V275" s="2"/>
      <c r="W275" s="2"/>
      <c r="X275" s="2"/>
      <c r="Y275" s="2"/>
      <c r="Z275" s="2"/>
    </row>
    <row r="276" ht="22.5" customHeight="1">
      <c r="A276" s="7"/>
      <c r="B276" s="7"/>
      <c r="C276" s="7"/>
      <c r="D276" s="7"/>
      <c r="E276" s="7"/>
      <c r="F276" s="7"/>
      <c r="G276" s="7"/>
      <c r="H276" s="2"/>
      <c r="I276" s="62"/>
      <c r="J276" s="7"/>
      <c r="K276" s="2"/>
      <c r="L276" s="2"/>
      <c r="M276" s="2"/>
      <c r="N276" s="2"/>
      <c r="O276" s="2"/>
      <c r="P276" s="2"/>
      <c r="Q276" s="2"/>
      <c r="R276" s="2"/>
      <c r="S276" s="2"/>
      <c r="T276" s="2"/>
      <c r="U276" s="2"/>
      <c r="V276" s="2"/>
      <c r="W276" s="2"/>
      <c r="X276" s="2"/>
      <c r="Y276" s="2"/>
      <c r="Z276" s="2"/>
    </row>
    <row r="277" ht="22.5" customHeight="1">
      <c r="A277" s="7"/>
      <c r="B277" s="7"/>
      <c r="C277" s="7"/>
      <c r="D277" s="7"/>
      <c r="E277" s="7"/>
      <c r="F277" s="7"/>
      <c r="G277" s="7"/>
      <c r="H277" s="2"/>
      <c r="I277" s="62"/>
      <c r="J277" s="7"/>
      <c r="K277" s="2"/>
      <c r="L277" s="2"/>
      <c r="M277" s="2"/>
      <c r="N277" s="2"/>
      <c r="O277" s="2"/>
      <c r="P277" s="2"/>
      <c r="Q277" s="2"/>
      <c r="R277" s="2"/>
      <c r="S277" s="2"/>
      <c r="T277" s="2"/>
      <c r="U277" s="2"/>
      <c r="V277" s="2"/>
      <c r="W277" s="2"/>
      <c r="X277" s="2"/>
      <c r="Y277" s="2"/>
      <c r="Z277" s="2"/>
    </row>
    <row r="278" ht="22.5" customHeight="1">
      <c r="A278" s="7"/>
      <c r="B278" s="7"/>
      <c r="C278" s="7"/>
      <c r="D278" s="7"/>
      <c r="E278" s="7"/>
      <c r="F278" s="7"/>
      <c r="G278" s="7"/>
      <c r="H278" s="2"/>
      <c r="I278" s="62"/>
      <c r="J278" s="7"/>
      <c r="K278" s="2"/>
      <c r="L278" s="2"/>
      <c r="M278" s="2"/>
      <c r="N278" s="2"/>
      <c r="O278" s="2"/>
      <c r="P278" s="2"/>
      <c r="Q278" s="2"/>
      <c r="R278" s="2"/>
      <c r="S278" s="2"/>
      <c r="T278" s="2"/>
      <c r="U278" s="2"/>
      <c r="V278" s="2"/>
      <c r="W278" s="2"/>
      <c r="X278" s="2"/>
      <c r="Y278" s="2"/>
      <c r="Z278" s="2"/>
    </row>
    <row r="279" ht="22.5" customHeight="1">
      <c r="A279" s="7"/>
      <c r="B279" s="7"/>
      <c r="C279" s="7"/>
      <c r="D279" s="7"/>
      <c r="E279" s="7"/>
      <c r="F279" s="7"/>
      <c r="G279" s="7"/>
      <c r="H279" s="2"/>
      <c r="I279" s="62"/>
      <c r="J279" s="7"/>
      <c r="K279" s="2"/>
      <c r="L279" s="2"/>
      <c r="M279" s="2"/>
      <c r="N279" s="2"/>
      <c r="O279" s="2"/>
      <c r="P279" s="2"/>
      <c r="Q279" s="2"/>
      <c r="R279" s="2"/>
      <c r="S279" s="2"/>
      <c r="T279" s="2"/>
      <c r="U279" s="2"/>
      <c r="V279" s="2"/>
      <c r="W279" s="2"/>
      <c r="X279" s="2"/>
      <c r="Y279" s="2"/>
      <c r="Z279" s="2"/>
    </row>
    <row r="280" ht="22.5" customHeight="1">
      <c r="A280" s="7"/>
      <c r="B280" s="7"/>
      <c r="C280" s="7"/>
      <c r="D280" s="7"/>
      <c r="E280" s="7"/>
      <c r="F280" s="7"/>
      <c r="G280" s="7"/>
      <c r="H280" s="2"/>
      <c r="I280" s="62"/>
      <c r="J280" s="7"/>
      <c r="K280" s="2"/>
      <c r="L280" s="2"/>
      <c r="M280" s="2"/>
      <c r="N280" s="2"/>
      <c r="O280" s="2"/>
      <c r="P280" s="2"/>
      <c r="Q280" s="2"/>
      <c r="R280" s="2"/>
      <c r="S280" s="2"/>
      <c r="T280" s="2"/>
      <c r="U280" s="2"/>
      <c r="V280" s="2"/>
      <c r="W280" s="2"/>
      <c r="X280" s="2"/>
      <c r="Y280" s="2"/>
      <c r="Z280" s="2"/>
    </row>
    <row r="281" ht="22.5" customHeight="1">
      <c r="A281" s="7"/>
      <c r="B281" s="7"/>
      <c r="C281" s="7"/>
      <c r="D281" s="7"/>
      <c r="E281" s="7"/>
      <c r="F281" s="7"/>
      <c r="G281" s="7"/>
      <c r="H281" s="2"/>
      <c r="I281" s="62"/>
      <c r="J281" s="7"/>
      <c r="K281" s="2"/>
      <c r="L281" s="2"/>
      <c r="M281" s="2"/>
      <c r="N281" s="2"/>
      <c r="O281" s="2"/>
      <c r="P281" s="2"/>
      <c r="Q281" s="2"/>
      <c r="R281" s="2"/>
      <c r="S281" s="2"/>
      <c r="T281" s="2"/>
      <c r="U281" s="2"/>
      <c r="V281" s="2"/>
      <c r="W281" s="2"/>
      <c r="X281" s="2"/>
      <c r="Y281" s="2"/>
      <c r="Z281" s="2"/>
    </row>
    <row r="282" ht="22.5" customHeight="1">
      <c r="A282" s="7"/>
      <c r="B282" s="7"/>
      <c r="C282" s="7"/>
      <c r="D282" s="7"/>
      <c r="E282" s="7"/>
      <c r="F282" s="7"/>
      <c r="G282" s="7"/>
      <c r="H282" s="2"/>
      <c r="I282" s="62"/>
      <c r="J282" s="7"/>
      <c r="K282" s="2"/>
      <c r="L282" s="2"/>
      <c r="M282" s="2"/>
      <c r="N282" s="2"/>
      <c r="O282" s="2"/>
      <c r="P282" s="2"/>
      <c r="Q282" s="2"/>
      <c r="R282" s="2"/>
      <c r="S282" s="2"/>
      <c r="T282" s="2"/>
      <c r="U282" s="2"/>
      <c r="V282" s="2"/>
      <c r="W282" s="2"/>
      <c r="X282" s="2"/>
      <c r="Y282" s="2"/>
      <c r="Z282" s="2"/>
    </row>
    <row r="283" ht="22.5" customHeight="1">
      <c r="A283" s="7"/>
      <c r="B283" s="7"/>
      <c r="C283" s="7"/>
      <c r="D283" s="7"/>
      <c r="E283" s="7"/>
      <c r="F283" s="7"/>
      <c r="G283" s="7"/>
      <c r="H283" s="2"/>
      <c r="I283" s="62"/>
      <c r="J283" s="7"/>
      <c r="K283" s="2"/>
      <c r="L283" s="2"/>
      <c r="M283" s="2"/>
      <c r="N283" s="2"/>
      <c r="O283" s="2"/>
      <c r="P283" s="2"/>
      <c r="Q283" s="2"/>
      <c r="R283" s="2"/>
      <c r="S283" s="2"/>
      <c r="T283" s="2"/>
      <c r="U283" s="2"/>
      <c r="V283" s="2"/>
      <c r="W283" s="2"/>
      <c r="X283" s="2"/>
      <c r="Y283" s="2"/>
      <c r="Z283" s="2"/>
    </row>
    <row r="284" ht="22.5" customHeight="1">
      <c r="A284" s="7"/>
      <c r="B284" s="7"/>
      <c r="C284" s="7"/>
      <c r="D284" s="7"/>
      <c r="E284" s="7"/>
      <c r="F284" s="7"/>
      <c r="G284" s="7"/>
      <c r="H284" s="2"/>
      <c r="I284" s="62"/>
      <c r="J284" s="7"/>
      <c r="K284" s="2"/>
      <c r="L284" s="2"/>
      <c r="M284" s="2"/>
      <c r="N284" s="2"/>
      <c r="O284" s="2"/>
      <c r="P284" s="2"/>
      <c r="Q284" s="2"/>
      <c r="R284" s="2"/>
      <c r="S284" s="2"/>
      <c r="T284" s="2"/>
      <c r="U284" s="2"/>
      <c r="V284" s="2"/>
      <c r="W284" s="2"/>
      <c r="X284" s="2"/>
      <c r="Y284" s="2"/>
      <c r="Z284" s="2"/>
    </row>
    <row r="285" ht="22.5" customHeight="1">
      <c r="A285" s="7"/>
      <c r="B285" s="7"/>
      <c r="C285" s="7"/>
      <c r="D285" s="7"/>
      <c r="E285" s="7"/>
      <c r="F285" s="7"/>
      <c r="G285" s="7"/>
      <c r="H285" s="2"/>
      <c r="I285" s="62"/>
      <c r="J285" s="7"/>
      <c r="K285" s="2"/>
      <c r="L285" s="2"/>
      <c r="M285" s="2"/>
      <c r="N285" s="2"/>
      <c r="O285" s="2"/>
      <c r="P285" s="2"/>
      <c r="Q285" s="2"/>
      <c r="R285" s="2"/>
      <c r="S285" s="2"/>
      <c r="T285" s="2"/>
      <c r="U285" s="2"/>
      <c r="V285" s="2"/>
      <c r="W285" s="2"/>
      <c r="X285" s="2"/>
      <c r="Y285" s="2"/>
      <c r="Z285" s="2"/>
    </row>
    <row r="286" ht="22.5" customHeight="1">
      <c r="A286" s="7"/>
      <c r="B286" s="7"/>
      <c r="C286" s="7"/>
      <c r="D286" s="7"/>
      <c r="E286" s="7"/>
      <c r="F286" s="7"/>
      <c r="G286" s="7"/>
      <c r="H286" s="2"/>
      <c r="I286" s="62"/>
      <c r="J286" s="7"/>
      <c r="K286" s="2"/>
      <c r="L286" s="2"/>
      <c r="M286" s="2"/>
      <c r="N286" s="2"/>
      <c r="O286" s="2"/>
      <c r="P286" s="2"/>
      <c r="Q286" s="2"/>
      <c r="R286" s="2"/>
      <c r="S286" s="2"/>
      <c r="T286" s="2"/>
      <c r="U286" s="2"/>
      <c r="V286" s="2"/>
      <c r="W286" s="2"/>
      <c r="X286" s="2"/>
      <c r="Y286" s="2"/>
      <c r="Z286" s="2"/>
    </row>
    <row r="287" ht="22.5" customHeight="1">
      <c r="A287" s="7"/>
      <c r="B287" s="7"/>
      <c r="C287" s="7"/>
      <c r="D287" s="7"/>
      <c r="E287" s="7"/>
      <c r="F287" s="7"/>
      <c r="G287" s="7"/>
      <c r="H287" s="2"/>
      <c r="I287" s="62"/>
      <c r="J287" s="7"/>
      <c r="K287" s="2"/>
      <c r="L287" s="2"/>
      <c r="M287" s="2"/>
      <c r="N287" s="2"/>
      <c r="O287" s="2"/>
      <c r="P287" s="2"/>
      <c r="Q287" s="2"/>
      <c r="R287" s="2"/>
      <c r="S287" s="2"/>
      <c r="T287" s="2"/>
      <c r="U287" s="2"/>
      <c r="V287" s="2"/>
      <c r="W287" s="2"/>
      <c r="X287" s="2"/>
      <c r="Y287" s="2"/>
      <c r="Z287" s="2"/>
    </row>
    <row r="288" ht="22.5" customHeight="1">
      <c r="A288" s="7"/>
      <c r="B288" s="7"/>
      <c r="C288" s="7"/>
      <c r="D288" s="7"/>
      <c r="E288" s="7"/>
      <c r="F288" s="7"/>
      <c r="G288" s="7"/>
      <c r="H288" s="2"/>
      <c r="I288" s="62"/>
      <c r="J288" s="7"/>
      <c r="K288" s="2"/>
      <c r="L288" s="2"/>
      <c r="M288" s="2"/>
      <c r="N288" s="2"/>
      <c r="O288" s="2"/>
      <c r="P288" s="2"/>
      <c r="Q288" s="2"/>
      <c r="R288" s="2"/>
      <c r="S288" s="2"/>
      <c r="T288" s="2"/>
      <c r="U288" s="2"/>
      <c r="V288" s="2"/>
      <c r="W288" s="2"/>
      <c r="X288" s="2"/>
      <c r="Y288" s="2"/>
      <c r="Z288" s="2"/>
    </row>
    <row r="289" ht="22.5" customHeight="1">
      <c r="A289" s="7"/>
      <c r="B289" s="7"/>
      <c r="C289" s="7"/>
      <c r="D289" s="7"/>
      <c r="E289" s="7"/>
      <c r="F289" s="7"/>
      <c r="G289" s="7"/>
      <c r="H289" s="2"/>
      <c r="I289" s="62"/>
      <c r="J289" s="7"/>
      <c r="K289" s="2"/>
      <c r="L289" s="2"/>
      <c r="M289" s="2"/>
      <c r="N289" s="2"/>
      <c r="O289" s="2"/>
      <c r="P289" s="2"/>
      <c r="Q289" s="2"/>
      <c r="R289" s="2"/>
      <c r="S289" s="2"/>
      <c r="T289" s="2"/>
      <c r="U289" s="2"/>
      <c r="V289" s="2"/>
      <c r="W289" s="2"/>
      <c r="X289" s="2"/>
      <c r="Y289" s="2"/>
      <c r="Z289" s="2"/>
    </row>
    <row r="290" ht="22.5" customHeight="1">
      <c r="A290" s="7"/>
      <c r="B290" s="7"/>
      <c r="C290" s="7"/>
      <c r="D290" s="7"/>
      <c r="E290" s="7"/>
      <c r="F290" s="7"/>
      <c r="G290" s="7"/>
      <c r="H290" s="2"/>
      <c r="I290" s="62"/>
      <c r="J290" s="7"/>
      <c r="K290" s="2"/>
      <c r="L290" s="2"/>
      <c r="M290" s="2"/>
      <c r="N290" s="2"/>
      <c r="O290" s="2"/>
      <c r="P290" s="2"/>
      <c r="Q290" s="2"/>
      <c r="R290" s="2"/>
      <c r="S290" s="2"/>
      <c r="T290" s="2"/>
      <c r="U290" s="2"/>
      <c r="V290" s="2"/>
      <c r="W290" s="2"/>
      <c r="X290" s="2"/>
      <c r="Y290" s="2"/>
      <c r="Z290" s="2"/>
    </row>
    <row r="291" ht="22.5" customHeight="1">
      <c r="A291" s="7"/>
      <c r="B291" s="7"/>
      <c r="C291" s="7"/>
      <c r="D291" s="7"/>
      <c r="E291" s="7"/>
      <c r="F291" s="7"/>
      <c r="G291" s="7"/>
      <c r="H291" s="2"/>
      <c r="I291" s="62"/>
      <c r="J291" s="7"/>
      <c r="K291" s="2"/>
      <c r="L291" s="2"/>
      <c r="M291" s="2"/>
      <c r="N291" s="2"/>
      <c r="O291" s="2"/>
      <c r="P291" s="2"/>
      <c r="Q291" s="2"/>
      <c r="R291" s="2"/>
      <c r="S291" s="2"/>
      <c r="T291" s="2"/>
      <c r="U291" s="2"/>
      <c r="V291" s="2"/>
      <c r="W291" s="2"/>
      <c r="X291" s="2"/>
      <c r="Y291" s="2"/>
      <c r="Z291" s="2"/>
    </row>
    <row r="292" ht="22.5" customHeight="1">
      <c r="A292" s="7"/>
      <c r="B292" s="7"/>
      <c r="C292" s="7"/>
      <c r="D292" s="7"/>
      <c r="E292" s="7"/>
      <c r="F292" s="7"/>
      <c r="G292" s="7"/>
      <c r="H292" s="2"/>
      <c r="I292" s="62"/>
      <c r="J292" s="7"/>
      <c r="K292" s="2"/>
      <c r="L292" s="2"/>
      <c r="M292" s="2"/>
      <c r="N292" s="2"/>
      <c r="O292" s="2"/>
      <c r="P292" s="2"/>
      <c r="Q292" s="2"/>
      <c r="R292" s="2"/>
      <c r="S292" s="2"/>
      <c r="T292" s="2"/>
      <c r="U292" s="2"/>
      <c r="V292" s="2"/>
      <c r="W292" s="2"/>
      <c r="X292" s="2"/>
      <c r="Y292" s="2"/>
      <c r="Z292" s="2"/>
    </row>
    <row r="293" ht="22.5" customHeight="1">
      <c r="A293" s="7"/>
      <c r="B293" s="7"/>
      <c r="C293" s="7"/>
      <c r="D293" s="7"/>
      <c r="E293" s="7"/>
      <c r="F293" s="7"/>
      <c r="G293" s="7"/>
      <c r="H293" s="2"/>
      <c r="I293" s="62"/>
      <c r="J293" s="7"/>
      <c r="K293" s="2"/>
      <c r="L293" s="2"/>
      <c r="M293" s="2"/>
      <c r="N293" s="2"/>
      <c r="O293" s="2"/>
      <c r="P293" s="2"/>
      <c r="Q293" s="2"/>
      <c r="R293" s="2"/>
      <c r="S293" s="2"/>
      <c r="T293" s="2"/>
      <c r="U293" s="2"/>
      <c r="V293" s="2"/>
      <c r="W293" s="2"/>
      <c r="X293" s="2"/>
      <c r="Y293" s="2"/>
      <c r="Z293" s="2"/>
    </row>
    <row r="294" ht="22.5" customHeight="1">
      <c r="A294" s="7"/>
      <c r="B294" s="7"/>
      <c r="C294" s="7"/>
      <c r="D294" s="7"/>
      <c r="E294" s="7"/>
      <c r="F294" s="7"/>
      <c r="G294" s="7"/>
      <c r="H294" s="2"/>
      <c r="I294" s="62"/>
      <c r="J294" s="7"/>
      <c r="K294" s="2"/>
      <c r="L294" s="2"/>
      <c r="M294" s="2"/>
      <c r="N294" s="2"/>
      <c r="O294" s="2"/>
      <c r="P294" s="2"/>
      <c r="Q294" s="2"/>
      <c r="R294" s="2"/>
      <c r="S294" s="2"/>
      <c r="T294" s="2"/>
      <c r="U294" s="2"/>
      <c r="V294" s="2"/>
      <c r="W294" s="2"/>
      <c r="X294" s="2"/>
      <c r="Y294" s="2"/>
      <c r="Z294" s="2"/>
    </row>
    <row r="295" ht="22.5" customHeight="1">
      <c r="A295" s="7"/>
      <c r="B295" s="7"/>
      <c r="C295" s="7"/>
      <c r="D295" s="7"/>
      <c r="E295" s="7"/>
      <c r="F295" s="7"/>
      <c r="G295" s="7"/>
      <c r="H295" s="2"/>
      <c r="I295" s="62"/>
      <c r="J295" s="7"/>
      <c r="K295" s="2"/>
      <c r="L295" s="2"/>
      <c r="M295" s="2"/>
      <c r="N295" s="2"/>
      <c r="O295" s="2"/>
      <c r="P295" s="2"/>
      <c r="Q295" s="2"/>
      <c r="R295" s="2"/>
      <c r="S295" s="2"/>
      <c r="T295" s="2"/>
      <c r="U295" s="2"/>
      <c r="V295" s="2"/>
      <c r="W295" s="2"/>
      <c r="X295" s="2"/>
      <c r="Y295" s="2"/>
      <c r="Z295" s="2"/>
    </row>
    <row r="296" ht="22.5" customHeight="1">
      <c r="A296" s="7"/>
      <c r="B296" s="7"/>
      <c r="C296" s="7"/>
      <c r="D296" s="7"/>
      <c r="E296" s="7"/>
      <c r="F296" s="7"/>
      <c r="G296" s="7"/>
      <c r="H296" s="2"/>
      <c r="I296" s="62"/>
      <c r="J296" s="7"/>
      <c r="K296" s="2"/>
      <c r="L296" s="2"/>
      <c r="M296" s="2"/>
      <c r="N296" s="2"/>
      <c r="O296" s="2"/>
      <c r="P296" s="2"/>
      <c r="Q296" s="2"/>
      <c r="R296" s="2"/>
      <c r="S296" s="2"/>
      <c r="T296" s="2"/>
      <c r="U296" s="2"/>
      <c r="V296" s="2"/>
      <c r="W296" s="2"/>
      <c r="X296" s="2"/>
      <c r="Y296" s="2"/>
      <c r="Z296" s="2"/>
    </row>
    <row r="297" ht="22.5" customHeight="1">
      <c r="A297" s="7"/>
      <c r="B297" s="7"/>
      <c r="C297" s="7"/>
      <c r="D297" s="7"/>
      <c r="E297" s="7"/>
      <c r="F297" s="7"/>
      <c r="G297" s="7"/>
      <c r="H297" s="2"/>
      <c r="I297" s="62"/>
      <c r="J297" s="7"/>
      <c r="K297" s="2"/>
      <c r="L297" s="2"/>
      <c r="M297" s="2"/>
      <c r="N297" s="2"/>
      <c r="O297" s="2"/>
      <c r="P297" s="2"/>
      <c r="Q297" s="2"/>
      <c r="R297" s="2"/>
      <c r="S297" s="2"/>
      <c r="T297" s="2"/>
      <c r="U297" s="2"/>
      <c r="V297" s="2"/>
      <c r="W297" s="2"/>
      <c r="X297" s="2"/>
      <c r="Y297" s="2"/>
      <c r="Z297" s="2"/>
    </row>
    <row r="298" ht="22.5" customHeight="1">
      <c r="A298" s="7"/>
      <c r="B298" s="7"/>
      <c r="C298" s="7"/>
      <c r="D298" s="7"/>
      <c r="E298" s="7"/>
      <c r="F298" s="7"/>
      <c r="G298" s="7"/>
      <c r="H298" s="2"/>
      <c r="I298" s="62"/>
      <c r="J298" s="7"/>
      <c r="K298" s="2"/>
      <c r="L298" s="2"/>
      <c r="M298" s="2"/>
      <c r="N298" s="2"/>
      <c r="O298" s="2"/>
      <c r="P298" s="2"/>
      <c r="Q298" s="2"/>
      <c r="R298" s="2"/>
      <c r="S298" s="2"/>
      <c r="T298" s="2"/>
      <c r="U298" s="2"/>
      <c r="V298" s="2"/>
      <c r="W298" s="2"/>
      <c r="X298" s="2"/>
      <c r="Y298" s="2"/>
      <c r="Z298" s="2"/>
    </row>
    <row r="299" ht="22.5" customHeight="1">
      <c r="A299" s="7"/>
      <c r="B299" s="7"/>
      <c r="C299" s="7"/>
      <c r="D299" s="7"/>
      <c r="E299" s="7"/>
      <c r="F299" s="7"/>
      <c r="G299" s="7"/>
      <c r="H299" s="2"/>
      <c r="I299" s="62"/>
      <c r="J299" s="7"/>
      <c r="K299" s="2"/>
      <c r="L299" s="2"/>
      <c r="M299" s="2"/>
      <c r="N299" s="2"/>
      <c r="O299" s="2"/>
      <c r="P299" s="2"/>
      <c r="Q299" s="2"/>
      <c r="R299" s="2"/>
      <c r="S299" s="2"/>
      <c r="T299" s="2"/>
      <c r="U299" s="2"/>
      <c r="V299" s="2"/>
      <c r="W299" s="2"/>
      <c r="X299" s="2"/>
      <c r="Y299" s="2"/>
      <c r="Z299" s="2"/>
    </row>
    <row r="300" ht="22.5" customHeight="1">
      <c r="A300" s="7"/>
      <c r="B300" s="7"/>
      <c r="C300" s="7"/>
      <c r="D300" s="7"/>
      <c r="E300" s="7"/>
      <c r="F300" s="7"/>
      <c r="G300" s="7"/>
      <c r="H300" s="2"/>
      <c r="I300" s="62"/>
      <c r="J300" s="7"/>
      <c r="K300" s="2"/>
      <c r="L300" s="2"/>
      <c r="M300" s="2"/>
      <c r="N300" s="2"/>
      <c r="O300" s="2"/>
      <c r="P300" s="2"/>
      <c r="Q300" s="2"/>
      <c r="R300" s="2"/>
      <c r="S300" s="2"/>
      <c r="T300" s="2"/>
      <c r="U300" s="2"/>
      <c r="V300" s="2"/>
      <c r="W300" s="2"/>
      <c r="X300" s="2"/>
      <c r="Y300" s="2"/>
      <c r="Z300" s="2"/>
    </row>
    <row r="301" ht="22.5" customHeight="1">
      <c r="A301" s="7"/>
      <c r="B301" s="7"/>
      <c r="C301" s="7"/>
      <c r="D301" s="7"/>
      <c r="E301" s="7"/>
      <c r="F301" s="7"/>
      <c r="G301" s="7"/>
      <c r="H301" s="2"/>
      <c r="I301" s="62"/>
      <c r="J301" s="7"/>
      <c r="K301" s="2"/>
      <c r="L301" s="2"/>
      <c r="M301" s="2"/>
      <c r="N301" s="2"/>
      <c r="O301" s="2"/>
      <c r="P301" s="2"/>
      <c r="Q301" s="2"/>
      <c r="R301" s="2"/>
      <c r="S301" s="2"/>
      <c r="T301" s="2"/>
      <c r="U301" s="2"/>
      <c r="V301" s="2"/>
      <c r="W301" s="2"/>
      <c r="X301" s="2"/>
      <c r="Y301" s="2"/>
      <c r="Z301" s="2"/>
    </row>
    <row r="302" ht="22.5" customHeight="1">
      <c r="A302" s="7"/>
      <c r="B302" s="7"/>
      <c r="C302" s="7"/>
      <c r="D302" s="7"/>
      <c r="E302" s="7"/>
      <c r="F302" s="7"/>
      <c r="G302" s="7"/>
      <c r="H302" s="2"/>
      <c r="I302" s="62"/>
      <c r="J302" s="7"/>
      <c r="K302" s="2"/>
      <c r="L302" s="2"/>
      <c r="M302" s="2"/>
      <c r="N302" s="2"/>
      <c r="O302" s="2"/>
      <c r="P302" s="2"/>
      <c r="Q302" s="2"/>
      <c r="R302" s="2"/>
      <c r="S302" s="2"/>
      <c r="T302" s="2"/>
      <c r="U302" s="2"/>
      <c r="V302" s="2"/>
      <c r="W302" s="2"/>
      <c r="X302" s="2"/>
      <c r="Y302" s="2"/>
      <c r="Z302" s="2"/>
    </row>
    <row r="303" ht="22.5" customHeight="1">
      <c r="A303" s="7"/>
      <c r="B303" s="7"/>
      <c r="C303" s="7"/>
      <c r="D303" s="7"/>
      <c r="E303" s="7"/>
      <c r="F303" s="7"/>
      <c r="G303" s="7"/>
      <c r="H303" s="2"/>
      <c r="I303" s="62"/>
      <c r="J303" s="7"/>
      <c r="K303" s="2"/>
      <c r="L303" s="2"/>
      <c r="M303" s="2"/>
      <c r="N303" s="2"/>
      <c r="O303" s="2"/>
      <c r="P303" s="2"/>
      <c r="Q303" s="2"/>
      <c r="R303" s="2"/>
      <c r="S303" s="2"/>
      <c r="T303" s="2"/>
      <c r="U303" s="2"/>
      <c r="V303" s="2"/>
      <c r="W303" s="2"/>
      <c r="X303" s="2"/>
      <c r="Y303" s="2"/>
      <c r="Z303" s="2"/>
    </row>
    <row r="304" ht="22.5" customHeight="1">
      <c r="A304" s="7"/>
      <c r="B304" s="7"/>
      <c r="C304" s="7"/>
      <c r="D304" s="7"/>
      <c r="E304" s="7"/>
      <c r="F304" s="7"/>
      <c r="G304" s="7"/>
      <c r="H304" s="2"/>
      <c r="I304" s="62"/>
      <c r="J304" s="7"/>
      <c r="K304" s="2"/>
      <c r="L304" s="2"/>
      <c r="M304" s="2"/>
      <c r="N304" s="2"/>
      <c r="O304" s="2"/>
      <c r="P304" s="2"/>
      <c r="Q304" s="2"/>
      <c r="R304" s="2"/>
      <c r="S304" s="2"/>
      <c r="T304" s="2"/>
      <c r="U304" s="2"/>
      <c r="V304" s="2"/>
      <c r="W304" s="2"/>
      <c r="X304" s="2"/>
      <c r="Y304" s="2"/>
      <c r="Z304" s="2"/>
    </row>
    <row r="305" ht="22.5" customHeight="1">
      <c r="A305" s="7"/>
      <c r="B305" s="7"/>
      <c r="C305" s="7"/>
      <c r="D305" s="7"/>
      <c r="E305" s="7"/>
      <c r="F305" s="7"/>
      <c r="G305" s="7"/>
      <c r="H305" s="2"/>
      <c r="I305" s="62"/>
      <c r="J305" s="7"/>
      <c r="K305" s="2"/>
      <c r="L305" s="2"/>
      <c r="M305" s="2"/>
      <c r="N305" s="2"/>
      <c r="O305" s="2"/>
      <c r="P305" s="2"/>
      <c r="Q305" s="2"/>
      <c r="R305" s="2"/>
      <c r="S305" s="2"/>
      <c r="T305" s="2"/>
      <c r="U305" s="2"/>
      <c r="V305" s="2"/>
      <c r="W305" s="2"/>
      <c r="X305" s="2"/>
      <c r="Y305" s="2"/>
      <c r="Z305" s="2"/>
    </row>
    <row r="306" ht="22.5" customHeight="1">
      <c r="A306" s="7"/>
      <c r="B306" s="7"/>
      <c r="C306" s="7"/>
      <c r="D306" s="7"/>
      <c r="E306" s="7"/>
      <c r="F306" s="7"/>
      <c r="G306" s="7"/>
      <c r="H306" s="2"/>
      <c r="I306" s="62"/>
      <c r="J306" s="7"/>
      <c r="K306" s="2"/>
      <c r="L306" s="2"/>
      <c r="M306" s="2"/>
      <c r="N306" s="2"/>
      <c r="O306" s="2"/>
      <c r="P306" s="2"/>
      <c r="Q306" s="2"/>
      <c r="R306" s="2"/>
      <c r="S306" s="2"/>
      <c r="T306" s="2"/>
      <c r="U306" s="2"/>
      <c r="V306" s="2"/>
      <c r="W306" s="2"/>
      <c r="X306" s="2"/>
      <c r="Y306" s="2"/>
      <c r="Z306" s="2"/>
    </row>
    <row r="307" ht="22.5" customHeight="1">
      <c r="A307" s="7"/>
      <c r="B307" s="7"/>
      <c r="C307" s="7"/>
      <c r="D307" s="7"/>
      <c r="E307" s="7"/>
      <c r="F307" s="7"/>
      <c r="G307" s="7"/>
      <c r="H307" s="2"/>
      <c r="I307" s="62"/>
      <c r="J307" s="7"/>
      <c r="K307" s="2"/>
      <c r="L307" s="2"/>
      <c r="M307" s="2"/>
      <c r="N307" s="2"/>
      <c r="O307" s="2"/>
      <c r="P307" s="2"/>
      <c r="Q307" s="2"/>
      <c r="R307" s="2"/>
      <c r="S307" s="2"/>
      <c r="T307" s="2"/>
      <c r="U307" s="2"/>
      <c r="V307" s="2"/>
      <c r="W307" s="2"/>
      <c r="X307" s="2"/>
      <c r="Y307" s="2"/>
      <c r="Z307" s="2"/>
    </row>
    <row r="308" ht="22.5" customHeight="1">
      <c r="A308" s="7"/>
      <c r="B308" s="7"/>
      <c r="C308" s="7"/>
      <c r="D308" s="7"/>
      <c r="E308" s="7"/>
      <c r="F308" s="7"/>
      <c r="G308" s="7"/>
      <c r="H308" s="2"/>
      <c r="I308" s="62"/>
      <c r="J308" s="7"/>
      <c r="K308" s="2"/>
      <c r="L308" s="2"/>
      <c r="M308" s="2"/>
      <c r="N308" s="2"/>
      <c r="O308" s="2"/>
      <c r="P308" s="2"/>
      <c r="Q308" s="2"/>
      <c r="R308" s="2"/>
      <c r="S308" s="2"/>
      <c r="T308" s="2"/>
      <c r="U308" s="2"/>
      <c r="V308" s="2"/>
      <c r="W308" s="2"/>
      <c r="X308" s="2"/>
      <c r="Y308" s="2"/>
      <c r="Z308" s="2"/>
    </row>
    <row r="309" ht="22.5" customHeight="1">
      <c r="A309" s="7"/>
      <c r="B309" s="7"/>
      <c r="C309" s="7"/>
      <c r="D309" s="7"/>
      <c r="E309" s="7"/>
      <c r="F309" s="7"/>
      <c r="G309" s="7"/>
      <c r="H309" s="2"/>
      <c r="I309" s="62"/>
      <c r="J309" s="7"/>
      <c r="K309" s="2"/>
      <c r="L309" s="2"/>
      <c r="M309" s="2"/>
      <c r="N309" s="2"/>
      <c r="O309" s="2"/>
      <c r="P309" s="2"/>
      <c r="Q309" s="2"/>
      <c r="R309" s="2"/>
      <c r="S309" s="2"/>
      <c r="T309" s="2"/>
      <c r="U309" s="2"/>
      <c r="V309" s="2"/>
      <c r="W309" s="2"/>
      <c r="X309" s="2"/>
      <c r="Y309" s="2"/>
      <c r="Z309" s="2"/>
    </row>
    <row r="310" ht="22.5" customHeight="1">
      <c r="A310" s="7"/>
      <c r="B310" s="7"/>
      <c r="C310" s="7"/>
      <c r="D310" s="7"/>
      <c r="E310" s="7"/>
      <c r="F310" s="7"/>
      <c r="G310" s="7"/>
      <c r="H310" s="2"/>
      <c r="I310" s="62"/>
      <c r="J310" s="7"/>
      <c r="K310" s="2"/>
      <c r="L310" s="2"/>
      <c r="M310" s="2"/>
      <c r="N310" s="2"/>
      <c r="O310" s="2"/>
      <c r="P310" s="2"/>
      <c r="Q310" s="2"/>
      <c r="R310" s="2"/>
      <c r="S310" s="2"/>
      <c r="T310" s="2"/>
      <c r="U310" s="2"/>
      <c r="V310" s="2"/>
      <c r="W310" s="2"/>
      <c r="X310" s="2"/>
      <c r="Y310" s="2"/>
      <c r="Z310" s="2"/>
    </row>
    <row r="311" ht="22.5" customHeight="1">
      <c r="A311" s="7"/>
      <c r="B311" s="7"/>
      <c r="C311" s="7"/>
      <c r="D311" s="7"/>
      <c r="E311" s="7"/>
      <c r="F311" s="7"/>
      <c r="G311" s="7"/>
      <c r="H311" s="2"/>
      <c r="I311" s="62"/>
      <c r="J311" s="7"/>
      <c r="K311" s="2"/>
      <c r="L311" s="2"/>
      <c r="M311" s="2"/>
      <c r="N311" s="2"/>
      <c r="O311" s="2"/>
      <c r="P311" s="2"/>
      <c r="Q311" s="2"/>
      <c r="R311" s="2"/>
      <c r="S311" s="2"/>
      <c r="T311" s="2"/>
      <c r="U311" s="2"/>
      <c r="V311" s="2"/>
      <c r="W311" s="2"/>
      <c r="X311" s="2"/>
      <c r="Y311" s="2"/>
      <c r="Z311" s="2"/>
    </row>
    <row r="312" ht="22.5" customHeight="1">
      <c r="A312" s="7"/>
      <c r="B312" s="7"/>
      <c r="C312" s="7"/>
      <c r="D312" s="7"/>
      <c r="E312" s="7"/>
      <c r="F312" s="7"/>
      <c r="G312" s="7"/>
      <c r="H312" s="2"/>
      <c r="I312" s="62"/>
      <c r="J312" s="7"/>
      <c r="K312" s="2"/>
      <c r="L312" s="2"/>
      <c r="M312" s="2"/>
      <c r="N312" s="2"/>
      <c r="O312" s="2"/>
      <c r="P312" s="2"/>
      <c r="Q312" s="2"/>
      <c r="R312" s="2"/>
      <c r="S312" s="2"/>
      <c r="T312" s="2"/>
      <c r="U312" s="2"/>
      <c r="V312" s="2"/>
      <c r="W312" s="2"/>
      <c r="X312" s="2"/>
      <c r="Y312" s="2"/>
      <c r="Z312" s="2"/>
    </row>
    <row r="313" ht="22.5" customHeight="1">
      <c r="A313" s="7"/>
      <c r="B313" s="7"/>
      <c r="C313" s="7"/>
      <c r="D313" s="7"/>
      <c r="E313" s="7"/>
      <c r="F313" s="7"/>
      <c r="G313" s="7"/>
      <c r="H313" s="2"/>
      <c r="I313" s="62"/>
      <c r="J313" s="7"/>
      <c r="K313" s="2"/>
      <c r="L313" s="2"/>
      <c r="M313" s="2"/>
      <c r="N313" s="2"/>
      <c r="O313" s="2"/>
      <c r="P313" s="2"/>
      <c r="Q313" s="2"/>
      <c r="R313" s="2"/>
      <c r="S313" s="2"/>
      <c r="T313" s="2"/>
      <c r="U313" s="2"/>
      <c r="V313" s="2"/>
      <c r="W313" s="2"/>
      <c r="X313" s="2"/>
      <c r="Y313" s="2"/>
      <c r="Z313" s="2"/>
    </row>
    <row r="314" ht="22.5" customHeight="1">
      <c r="A314" s="7"/>
      <c r="B314" s="7"/>
      <c r="C314" s="7"/>
      <c r="D314" s="7"/>
      <c r="E314" s="7"/>
      <c r="F314" s="7"/>
      <c r="G314" s="7"/>
      <c r="H314" s="2"/>
      <c r="I314" s="62"/>
      <c r="J314" s="7"/>
      <c r="K314" s="2"/>
      <c r="L314" s="2"/>
      <c r="M314" s="2"/>
      <c r="N314" s="2"/>
      <c r="O314" s="2"/>
      <c r="P314" s="2"/>
      <c r="Q314" s="2"/>
      <c r="R314" s="2"/>
      <c r="S314" s="2"/>
      <c r="T314" s="2"/>
      <c r="U314" s="2"/>
      <c r="V314" s="2"/>
      <c r="W314" s="2"/>
      <c r="X314" s="2"/>
      <c r="Y314" s="2"/>
      <c r="Z314" s="2"/>
    </row>
    <row r="315" ht="22.5" customHeight="1">
      <c r="A315" s="7"/>
      <c r="B315" s="7"/>
      <c r="C315" s="7"/>
      <c r="D315" s="7"/>
      <c r="E315" s="7"/>
      <c r="F315" s="7"/>
      <c r="G315" s="7"/>
      <c r="H315" s="2"/>
      <c r="I315" s="62"/>
      <c r="J315" s="7"/>
      <c r="K315" s="2"/>
      <c r="L315" s="2"/>
      <c r="M315" s="2"/>
      <c r="N315" s="2"/>
      <c r="O315" s="2"/>
      <c r="P315" s="2"/>
      <c r="Q315" s="2"/>
      <c r="R315" s="2"/>
      <c r="S315" s="2"/>
      <c r="T315" s="2"/>
      <c r="U315" s="2"/>
      <c r="V315" s="2"/>
      <c r="W315" s="2"/>
      <c r="X315" s="2"/>
      <c r="Y315" s="2"/>
      <c r="Z315" s="2"/>
    </row>
    <row r="316" ht="22.5" customHeight="1">
      <c r="A316" s="7"/>
      <c r="B316" s="7"/>
      <c r="C316" s="7"/>
      <c r="D316" s="7"/>
      <c r="E316" s="7"/>
      <c r="F316" s="7"/>
      <c r="G316" s="7"/>
      <c r="H316" s="2"/>
      <c r="I316" s="62"/>
      <c r="J316" s="7"/>
      <c r="K316" s="2"/>
      <c r="L316" s="2"/>
      <c r="M316" s="2"/>
      <c r="N316" s="2"/>
      <c r="O316" s="2"/>
      <c r="P316" s="2"/>
      <c r="Q316" s="2"/>
      <c r="R316" s="2"/>
      <c r="S316" s="2"/>
      <c r="T316" s="2"/>
      <c r="U316" s="2"/>
      <c r="V316" s="2"/>
      <c r="W316" s="2"/>
      <c r="X316" s="2"/>
      <c r="Y316" s="2"/>
      <c r="Z316" s="2"/>
    </row>
    <row r="317" ht="22.5" customHeight="1">
      <c r="A317" s="7"/>
      <c r="B317" s="7"/>
      <c r="C317" s="7"/>
      <c r="D317" s="7"/>
      <c r="E317" s="7"/>
      <c r="F317" s="7"/>
      <c r="G317" s="7"/>
      <c r="H317" s="2"/>
      <c r="I317" s="62"/>
      <c r="J317" s="7"/>
      <c r="K317" s="2"/>
      <c r="L317" s="2"/>
      <c r="M317" s="2"/>
      <c r="N317" s="2"/>
      <c r="O317" s="2"/>
      <c r="P317" s="2"/>
      <c r="Q317" s="2"/>
      <c r="R317" s="2"/>
      <c r="S317" s="2"/>
      <c r="T317" s="2"/>
      <c r="U317" s="2"/>
      <c r="V317" s="2"/>
      <c r="W317" s="2"/>
      <c r="X317" s="2"/>
      <c r="Y317" s="2"/>
      <c r="Z317" s="2"/>
    </row>
    <row r="318" ht="22.5" customHeight="1">
      <c r="A318" s="7"/>
      <c r="B318" s="7"/>
      <c r="C318" s="7"/>
      <c r="D318" s="7"/>
      <c r="E318" s="7"/>
      <c r="F318" s="7"/>
      <c r="G318" s="7"/>
      <c r="H318" s="2"/>
      <c r="I318" s="62"/>
      <c r="J318" s="7"/>
      <c r="K318" s="2"/>
      <c r="L318" s="2"/>
      <c r="M318" s="2"/>
      <c r="N318" s="2"/>
      <c r="O318" s="2"/>
      <c r="P318" s="2"/>
      <c r="Q318" s="2"/>
      <c r="R318" s="2"/>
      <c r="S318" s="2"/>
      <c r="T318" s="2"/>
      <c r="U318" s="2"/>
      <c r="V318" s="2"/>
      <c r="W318" s="2"/>
      <c r="X318" s="2"/>
      <c r="Y318" s="2"/>
      <c r="Z318" s="2"/>
    </row>
    <row r="319" ht="22.5" customHeight="1">
      <c r="A319" s="7"/>
      <c r="B319" s="7"/>
      <c r="C319" s="7"/>
      <c r="D319" s="7"/>
      <c r="E319" s="7"/>
      <c r="F319" s="7"/>
      <c r="G319" s="7"/>
      <c r="H319" s="2"/>
      <c r="I319" s="62"/>
      <c r="J319" s="7"/>
      <c r="K319" s="2"/>
      <c r="L319" s="2"/>
      <c r="M319" s="2"/>
      <c r="N319" s="2"/>
      <c r="O319" s="2"/>
      <c r="P319" s="2"/>
      <c r="Q319" s="2"/>
      <c r="R319" s="2"/>
      <c r="S319" s="2"/>
      <c r="T319" s="2"/>
      <c r="U319" s="2"/>
      <c r="V319" s="2"/>
      <c r="W319" s="2"/>
      <c r="X319" s="2"/>
      <c r="Y319" s="2"/>
      <c r="Z319" s="2"/>
    </row>
    <row r="320" ht="22.5" customHeight="1">
      <c r="A320" s="7"/>
      <c r="B320" s="7"/>
      <c r="C320" s="7"/>
      <c r="D320" s="7"/>
      <c r="E320" s="7"/>
      <c r="F320" s="7"/>
      <c r="G320" s="7"/>
      <c r="H320" s="2"/>
      <c r="I320" s="62"/>
      <c r="J320" s="7"/>
      <c r="K320" s="2"/>
      <c r="L320" s="2"/>
      <c r="M320" s="2"/>
      <c r="N320" s="2"/>
      <c r="O320" s="2"/>
      <c r="P320" s="2"/>
      <c r="Q320" s="2"/>
      <c r="R320" s="2"/>
      <c r="S320" s="2"/>
      <c r="T320" s="2"/>
      <c r="U320" s="2"/>
      <c r="V320" s="2"/>
      <c r="W320" s="2"/>
      <c r="X320" s="2"/>
      <c r="Y320" s="2"/>
      <c r="Z320" s="2"/>
    </row>
    <row r="321" ht="22.5" customHeight="1">
      <c r="A321" s="7"/>
      <c r="B321" s="7"/>
      <c r="C321" s="7"/>
      <c r="D321" s="7"/>
      <c r="E321" s="7"/>
      <c r="F321" s="7"/>
      <c r="G321" s="7"/>
      <c r="H321" s="2"/>
      <c r="I321" s="62"/>
      <c r="J321" s="7"/>
      <c r="K321" s="2"/>
      <c r="L321" s="2"/>
      <c r="M321" s="2"/>
      <c r="N321" s="2"/>
      <c r="O321" s="2"/>
      <c r="P321" s="2"/>
      <c r="Q321" s="2"/>
      <c r="R321" s="2"/>
      <c r="S321" s="2"/>
      <c r="T321" s="2"/>
      <c r="U321" s="2"/>
      <c r="V321" s="2"/>
      <c r="W321" s="2"/>
      <c r="X321" s="2"/>
      <c r="Y321" s="2"/>
      <c r="Z321" s="2"/>
    </row>
    <row r="322" ht="22.5" customHeight="1">
      <c r="A322" s="7"/>
      <c r="B322" s="7"/>
      <c r="C322" s="7"/>
      <c r="D322" s="7"/>
      <c r="E322" s="7"/>
      <c r="F322" s="7"/>
      <c r="G322" s="7"/>
      <c r="H322" s="2"/>
      <c r="I322" s="62"/>
      <c r="J322" s="7"/>
      <c r="K322" s="2"/>
      <c r="L322" s="2"/>
      <c r="M322" s="2"/>
      <c r="N322" s="2"/>
      <c r="O322" s="2"/>
      <c r="P322" s="2"/>
      <c r="Q322" s="2"/>
      <c r="R322" s="2"/>
      <c r="S322" s="2"/>
      <c r="T322" s="2"/>
      <c r="U322" s="2"/>
      <c r="V322" s="2"/>
      <c r="W322" s="2"/>
      <c r="X322" s="2"/>
      <c r="Y322" s="2"/>
      <c r="Z322" s="2"/>
    </row>
    <row r="323" ht="22.5" customHeight="1">
      <c r="A323" s="7"/>
      <c r="B323" s="7"/>
      <c r="C323" s="7"/>
      <c r="D323" s="7"/>
      <c r="E323" s="7"/>
      <c r="F323" s="7"/>
      <c r="G323" s="7"/>
      <c r="H323" s="2"/>
      <c r="I323" s="62"/>
      <c r="J323" s="7"/>
      <c r="K323" s="2"/>
      <c r="L323" s="2"/>
      <c r="M323" s="2"/>
      <c r="N323" s="2"/>
      <c r="O323" s="2"/>
      <c r="P323" s="2"/>
      <c r="Q323" s="2"/>
      <c r="R323" s="2"/>
      <c r="S323" s="2"/>
      <c r="T323" s="2"/>
      <c r="U323" s="2"/>
      <c r="V323" s="2"/>
      <c r="W323" s="2"/>
      <c r="X323" s="2"/>
      <c r="Y323" s="2"/>
      <c r="Z323" s="2"/>
    </row>
    <row r="324" ht="22.5" customHeight="1">
      <c r="A324" s="7"/>
      <c r="B324" s="7"/>
      <c r="C324" s="7"/>
      <c r="D324" s="7"/>
      <c r="E324" s="7"/>
      <c r="F324" s="7"/>
      <c r="G324" s="7"/>
      <c r="H324" s="2"/>
      <c r="I324" s="62"/>
      <c r="J324" s="7"/>
      <c r="K324" s="2"/>
      <c r="L324" s="2"/>
      <c r="M324" s="2"/>
      <c r="N324" s="2"/>
      <c r="O324" s="2"/>
      <c r="P324" s="2"/>
      <c r="Q324" s="2"/>
      <c r="R324" s="2"/>
      <c r="S324" s="2"/>
      <c r="T324" s="2"/>
      <c r="U324" s="2"/>
      <c r="V324" s="2"/>
      <c r="W324" s="2"/>
      <c r="X324" s="2"/>
      <c r="Y324" s="2"/>
      <c r="Z324" s="2"/>
    </row>
    <row r="325" ht="22.5" customHeight="1">
      <c r="A325" s="7"/>
      <c r="B325" s="7"/>
      <c r="C325" s="7"/>
      <c r="D325" s="7"/>
      <c r="E325" s="7"/>
      <c r="F325" s="7"/>
      <c r="G325" s="7"/>
      <c r="H325" s="2"/>
      <c r="I325" s="62"/>
      <c r="J325" s="7"/>
      <c r="K325" s="2"/>
      <c r="L325" s="2"/>
      <c r="M325" s="2"/>
      <c r="N325" s="2"/>
      <c r="O325" s="2"/>
      <c r="P325" s="2"/>
      <c r="Q325" s="2"/>
      <c r="R325" s="2"/>
      <c r="S325" s="2"/>
      <c r="T325" s="2"/>
      <c r="U325" s="2"/>
      <c r="V325" s="2"/>
      <c r="W325" s="2"/>
      <c r="X325" s="2"/>
      <c r="Y325" s="2"/>
      <c r="Z325" s="2"/>
    </row>
    <row r="326" ht="22.5" customHeight="1">
      <c r="A326" s="7"/>
      <c r="B326" s="7"/>
      <c r="C326" s="7"/>
      <c r="D326" s="7"/>
      <c r="E326" s="7"/>
      <c r="F326" s="7"/>
      <c r="G326" s="7"/>
      <c r="H326" s="2"/>
      <c r="I326" s="62"/>
      <c r="J326" s="7"/>
      <c r="K326" s="2"/>
      <c r="L326" s="2"/>
      <c r="M326" s="2"/>
      <c r="N326" s="2"/>
      <c r="O326" s="2"/>
      <c r="P326" s="2"/>
      <c r="Q326" s="2"/>
      <c r="R326" s="2"/>
      <c r="S326" s="2"/>
      <c r="T326" s="2"/>
      <c r="U326" s="2"/>
      <c r="V326" s="2"/>
      <c r="W326" s="2"/>
      <c r="X326" s="2"/>
      <c r="Y326" s="2"/>
      <c r="Z326" s="2"/>
    </row>
    <row r="327" ht="22.5" customHeight="1">
      <c r="A327" s="7"/>
      <c r="B327" s="7"/>
      <c r="C327" s="7"/>
      <c r="D327" s="7"/>
      <c r="E327" s="7"/>
      <c r="F327" s="7"/>
      <c r="G327" s="7"/>
      <c r="H327" s="2"/>
      <c r="I327" s="62"/>
      <c r="J327" s="7"/>
      <c r="K327" s="2"/>
      <c r="L327" s="2"/>
      <c r="M327" s="2"/>
      <c r="N327" s="2"/>
      <c r="O327" s="2"/>
      <c r="P327" s="2"/>
      <c r="Q327" s="2"/>
      <c r="R327" s="2"/>
      <c r="S327" s="2"/>
      <c r="T327" s="2"/>
      <c r="U327" s="2"/>
      <c r="V327" s="2"/>
      <c r="W327" s="2"/>
      <c r="X327" s="2"/>
      <c r="Y327" s="2"/>
      <c r="Z327" s="2"/>
    </row>
    <row r="328" ht="22.5" customHeight="1">
      <c r="A328" s="7"/>
      <c r="B328" s="7"/>
      <c r="C328" s="7"/>
      <c r="D328" s="7"/>
      <c r="E328" s="7"/>
      <c r="F328" s="7"/>
      <c r="G328" s="7"/>
      <c r="H328" s="2"/>
      <c r="I328" s="62"/>
      <c r="J328" s="7"/>
      <c r="K328" s="2"/>
      <c r="L328" s="2"/>
      <c r="M328" s="2"/>
      <c r="N328" s="2"/>
      <c r="O328" s="2"/>
      <c r="P328" s="2"/>
      <c r="Q328" s="2"/>
      <c r="R328" s="2"/>
      <c r="S328" s="2"/>
      <c r="T328" s="2"/>
      <c r="U328" s="2"/>
      <c r="V328" s="2"/>
      <c r="W328" s="2"/>
      <c r="X328" s="2"/>
      <c r="Y328" s="2"/>
      <c r="Z328" s="2"/>
    </row>
    <row r="329" ht="22.5" customHeight="1">
      <c r="A329" s="7"/>
      <c r="B329" s="7"/>
      <c r="C329" s="7"/>
      <c r="D329" s="7"/>
      <c r="E329" s="7"/>
      <c r="F329" s="7"/>
      <c r="G329" s="7"/>
      <c r="H329" s="2"/>
      <c r="I329" s="62"/>
      <c r="J329" s="7"/>
      <c r="K329" s="2"/>
      <c r="L329" s="2"/>
      <c r="M329" s="2"/>
      <c r="N329" s="2"/>
      <c r="O329" s="2"/>
      <c r="P329" s="2"/>
      <c r="Q329" s="2"/>
      <c r="R329" s="2"/>
      <c r="S329" s="2"/>
      <c r="T329" s="2"/>
      <c r="U329" s="2"/>
      <c r="V329" s="2"/>
      <c r="W329" s="2"/>
      <c r="X329" s="2"/>
      <c r="Y329" s="2"/>
      <c r="Z329" s="2"/>
    </row>
    <row r="330" ht="22.5" customHeight="1">
      <c r="A330" s="7"/>
      <c r="B330" s="7"/>
      <c r="C330" s="7"/>
      <c r="D330" s="7"/>
      <c r="E330" s="7"/>
      <c r="F330" s="7"/>
      <c r="G330" s="7"/>
      <c r="H330" s="2"/>
      <c r="I330" s="62"/>
      <c r="J330" s="7"/>
      <c r="K330" s="2"/>
      <c r="L330" s="2"/>
      <c r="M330" s="2"/>
      <c r="N330" s="2"/>
      <c r="O330" s="2"/>
      <c r="P330" s="2"/>
      <c r="Q330" s="2"/>
      <c r="R330" s="2"/>
      <c r="S330" s="2"/>
      <c r="T330" s="2"/>
      <c r="U330" s="2"/>
      <c r="V330" s="2"/>
      <c r="W330" s="2"/>
      <c r="X330" s="2"/>
      <c r="Y330" s="2"/>
      <c r="Z330" s="2"/>
    </row>
    <row r="331" ht="22.5" customHeight="1">
      <c r="A331" s="7"/>
      <c r="B331" s="7"/>
      <c r="C331" s="7"/>
      <c r="D331" s="7"/>
      <c r="E331" s="7"/>
      <c r="F331" s="7"/>
      <c r="G331" s="7"/>
      <c r="H331" s="2"/>
      <c r="I331" s="62"/>
      <c r="J331" s="7"/>
      <c r="K331" s="2"/>
      <c r="L331" s="2"/>
      <c r="M331" s="2"/>
      <c r="N331" s="2"/>
      <c r="O331" s="2"/>
      <c r="P331" s="2"/>
      <c r="Q331" s="2"/>
      <c r="R331" s="2"/>
      <c r="S331" s="2"/>
      <c r="T331" s="2"/>
      <c r="U331" s="2"/>
      <c r="V331" s="2"/>
      <c r="W331" s="2"/>
      <c r="X331" s="2"/>
      <c r="Y331" s="2"/>
      <c r="Z331" s="2"/>
    </row>
    <row r="332" ht="22.5" customHeight="1">
      <c r="A332" s="7"/>
      <c r="B332" s="7"/>
      <c r="C332" s="7"/>
      <c r="D332" s="7"/>
      <c r="E332" s="7"/>
      <c r="F332" s="7"/>
      <c r="G332" s="7"/>
      <c r="H332" s="2"/>
      <c r="I332" s="62"/>
      <c r="J332" s="7"/>
      <c r="K332" s="2"/>
      <c r="L332" s="2"/>
      <c r="M332" s="2"/>
      <c r="N332" s="2"/>
      <c r="O332" s="2"/>
      <c r="P332" s="2"/>
      <c r="Q332" s="2"/>
      <c r="R332" s="2"/>
      <c r="S332" s="2"/>
      <c r="T332" s="2"/>
      <c r="U332" s="2"/>
      <c r="V332" s="2"/>
      <c r="W332" s="2"/>
      <c r="X332" s="2"/>
      <c r="Y332" s="2"/>
      <c r="Z332" s="2"/>
    </row>
    <row r="333" ht="22.5" customHeight="1">
      <c r="A333" s="7"/>
      <c r="B333" s="7"/>
      <c r="C333" s="7"/>
      <c r="D333" s="7"/>
      <c r="E333" s="7"/>
      <c r="F333" s="7"/>
      <c r="G333" s="7"/>
      <c r="H333" s="2"/>
      <c r="I333" s="62"/>
      <c r="J333" s="7"/>
      <c r="K333" s="2"/>
      <c r="L333" s="2"/>
      <c r="M333" s="2"/>
      <c r="N333" s="2"/>
      <c r="O333" s="2"/>
      <c r="P333" s="2"/>
      <c r="Q333" s="2"/>
      <c r="R333" s="2"/>
      <c r="S333" s="2"/>
      <c r="T333" s="2"/>
      <c r="U333" s="2"/>
      <c r="V333" s="2"/>
      <c r="W333" s="2"/>
      <c r="X333" s="2"/>
      <c r="Y333" s="2"/>
      <c r="Z333" s="2"/>
    </row>
    <row r="334" ht="22.5" customHeight="1">
      <c r="A334" s="7"/>
      <c r="B334" s="7"/>
      <c r="C334" s="7"/>
      <c r="D334" s="7"/>
      <c r="E334" s="7"/>
      <c r="F334" s="7"/>
      <c r="G334" s="7"/>
      <c r="H334" s="2"/>
      <c r="I334" s="62"/>
      <c r="J334" s="7"/>
      <c r="K334" s="2"/>
      <c r="L334" s="2"/>
      <c r="M334" s="2"/>
      <c r="N334" s="2"/>
      <c r="O334" s="2"/>
      <c r="P334" s="2"/>
      <c r="Q334" s="2"/>
      <c r="R334" s="2"/>
      <c r="S334" s="2"/>
      <c r="T334" s="2"/>
      <c r="U334" s="2"/>
      <c r="V334" s="2"/>
      <c r="W334" s="2"/>
      <c r="X334" s="2"/>
      <c r="Y334" s="2"/>
      <c r="Z334" s="2"/>
    </row>
    <row r="335" ht="22.5" customHeight="1">
      <c r="A335" s="7"/>
      <c r="B335" s="7"/>
      <c r="C335" s="7"/>
      <c r="D335" s="7"/>
      <c r="E335" s="7"/>
      <c r="F335" s="7"/>
      <c r="G335" s="7"/>
      <c r="H335" s="2"/>
      <c r="I335" s="62"/>
      <c r="J335" s="7"/>
      <c r="K335" s="2"/>
      <c r="L335" s="2"/>
      <c r="M335" s="2"/>
      <c r="N335" s="2"/>
      <c r="O335" s="2"/>
      <c r="P335" s="2"/>
      <c r="Q335" s="2"/>
      <c r="R335" s="2"/>
      <c r="S335" s="2"/>
      <c r="T335" s="2"/>
      <c r="U335" s="2"/>
      <c r="V335" s="2"/>
      <c r="W335" s="2"/>
      <c r="X335" s="2"/>
      <c r="Y335" s="2"/>
      <c r="Z335" s="2"/>
    </row>
    <row r="336" ht="22.5" customHeight="1">
      <c r="A336" s="7"/>
      <c r="B336" s="7"/>
      <c r="C336" s="7"/>
      <c r="D336" s="7"/>
      <c r="E336" s="7"/>
      <c r="F336" s="7"/>
      <c r="G336" s="7"/>
      <c r="H336" s="2"/>
      <c r="I336" s="62"/>
      <c r="J336" s="7"/>
      <c r="K336" s="2"/>
      <c r="L336" s="2"/>
      <c r="M336" s="2"/>
      <c r="N336" s="2"/>
      <c r="O336" s="2"/>
      <c r="P336" s="2"/>
      <c r="Q336" s="2"/>
      <c r="R336" s="2"/>
      <c r="S336" s="2"/>
      <c r="T336" s="2"/>
      <c r="U336" s="2"/>
      <c r="V336" s="2"/>
      <c r="W336" s="2"/>
      <c r="X336" s="2"/>
      <c r="Y336" s="2"/>
      <c r="Z336" s="2"/>
    </row>
    <row r="337" ht="22.5" customHeight="1">
      <c r="A337" s="7"/>
      <c r="B337" s="7"/>
      <c r="C337" s="7"/>
      <c r="D337" s="7"/>
      <c r="E337" s="7"/>
      <c r="F337" s="7"/>
      <c r="G337" s="7"/>
      <c r="H337" s="2"/>
      <c r="I337" s="62"/>
      <c r="J337" s="7"/>
      <c r="K337" s="2"/>
      <c r="L337" s="2"/>
      <c r="M337" s="2"/>
      <c r="N337" s="2"/>
      <c r="O337" s="2"/>
      <c r="P337" s="2"/>
      <c r="Q337" s="2"/>
      <c r="R337" s="2"/>
      <c r="S337" s="2"/>
      <c r="T337" s="2"/>
      <c r="U337" s="2"/>
      <c r="V337" s="2"/>
      <c r="W337" s="2"/>
      <c r="X337" s="2"/>
      <c r="Y337" s="2"/>
      <c r="Z337" s="2"/>
    </row>
    <row r="338" ht="22.5" customHeight="1">
      <c r="A338" s="7"/>
      <c r="B338" s="7"/>
      <c r="C338" s="7"/>
      <c r="D338" s="7"/>
      <c r="E338" s="7"/>
      <c r="F338" s="7"/>
      <c r="G338" s="7"/>
      <c r="H338" s="2"/>
      <c r="I338" s="62"/>
      <c r="J338" s="7"/>
      <c r="K338" s="2"/>
      <c r="L338" s="2"/>
      <c r="M338" s="2"/>
      <c r="N338" s="2"/>
      <c r="O338" s="2"/>
      <c r="P338" s="2"/>
      <c r="Q338" s="2"/>
      <c r="R338" s="2"/>
      <c r="S338" s="2"/>
      <c r="T338" s="2"/>
      <c r="U338" s="2"/>
      <c r="V338" s="2"/>
      <c r="W338" s="2"/>
      <c r="X338" s="2"/>
      <c r="Y338" s="2"/>
      <c r="Z338" s="2"/>
    </row>
    <row r="339" ht="22.5" customHeight="1">
      <c r="A339" s="7"/>
      <c r="B339" s="7"/>
      <c r="C339" s="7"/>
      <c r="D339" s="7"/>
      <c r="E339" s="7"/>
      <c r="F339" s="7"/>
      <c r="G339" s="7"/>
      <c r="H339" s="2"/>
      <c r="I339" s="62"/>
      <c r="J339" s="7"/>
      <c r="K339" s="2"/>
      <c r="L339" s="2"/>
      <c r="M339" s="2"/>
      <c r="N339" s="2"/>
      <c r="O339" s="2"/>
      <c r="P339" s="2"/>
      <c r="Q339" s="2"/>
      <c r="R339" s="2"/>
      <c r="S339" s="2"/>
      <c r="T339" s="2"/>
      <c r="U339" s="2"/>
      <c r="V339" s="2"/>
      <c r="W339" s="2"/>
      <c r="X339" s="2"/>
      <c r="Y339" s="2"/>
      <c r="Z339" s="2"/>
    </row>
    <row r="340" ht="22.5" customHeight="1">
      <c r="A340" s="7"/>
      <c r="B340" s="7"/>
      <c r="C340" s="7"/>
      <c r="D340" s="7"/>
      <c r="E340" s="7"/>
      <c r="F340" s="7"/>
      <c r="G340" s="7"/>
      <c r="H340" s="2"/>
      <c r="I340" s="62"/>
      <c r="J340" s="7"/>
      <c r="K340" s="2"/>
      <c r="L340" s="2"/>
      <c r="M340" s="2"/>
      <c r="N340" s="2"/>
      <c r="O340" s="2"/>
      <c r="P340" s="2"/>
      <c r="Q340" s="2"/>
      <c r="R340" s="2"/>
      <c r="S340" s="2"/>
      <c r="T340" s="2"/>
      <c r="U340" s="2"/>
      <c r="V340" s="2"/>
      <c r="W340" s="2"/>
      <c r="X340" s="2"/>
      <c r="Y340" s="2"/>
      <c r="Z340" s="2"/>
    </row>
    <row r="341" ht="22.5" customHeight="1">
      <c r="A341" s="7"/>
      <c r="B341" s="7"/>
      <c r="C341" s="7"/>
      <c r="D341" s="7"/>
      <c r="E341" s="7"/>
      <c r="F341" s="7"/>
      <c r="G341" s="7"/>
      <c r="H341" s="2"/>
      <c r="I341" s="62"/>
      <c r="J341" s="7"/>
      <c r="K341" s="2"/>
      <c r="L341" s="2"/>
      <c r="M341" s="2"/>
      <c r="N341" s="2"/>
      <c r="O341" s="2"/>
      <c r="P341" s="2"/>
      <c r="Q341" s="2"/>
      <c r="R341" s="2"/>
      <c r="S341" s="2"/>
      <c r="T341" s="2"/>
      <c r="U341" s="2"/>
      <c r="V341" s="2"/>
      <c r="W341" s="2"/>
      <c r="X341" s="2"/>
      <c r="Y341" s="2"/>
      <c r="Z341" s="2"/>
    </row>
    <row r="342" ht="22.5" customHeight="1">
      <c r="A342" s="7"/>
      <c r="B342" s="7"/>
      <c r="C342" s="7"/>
      <c r="D342" s="7"/>
      <c r="E342" s="7"/>
      <c r="F342" s="7"/>
      <c r="G342" s="7"/>
      <c r="H342" s="2"/>
      <c r="I342" s="62"/>
      <c r="J342" s="7"/>
      <c r="K342" s="2"/>
      <c r="L342" s="2"/>
      <c r="M342" s="2"/>
      <c r="N342" s="2"/>
      <c r="O342" s="2"/>
      <c r="P342" s="2"/>
      <c r="Q342" s="2"/>
      <c r="R342" s="2"/>
      <c r="S342" s="2"/>
      <c r="T342" s="2"/>
      <c r="U342" s="2"/>
      <c r="V342" s="2"/>
      <c r="W342" s="2"/>
      <c r="X342" s="2"/>
      <c r="Y342" s="2"/>
      <c r="Z342" s="2"/>
    </row>
    <row r="343" ht="22.5" customHeight="1">
      <c r="A343" s="7"/>
      <c r="B343" s="7"/>
      <c r="C343" s="7"/>
      <c r="D343" s="7"/>
      <c r="E343" s="7"/>
      <c r="F343" s="7"/>
      <c r="G343" s="7"/>
      <c r="H343" s="2"/>
      <c r="I343" s="62"/>
      <c r="J343" s="7"/>
      <c r="K343" s="2"/>
      <c r="L343" s="2"/>
      <c r="M343" s="2"/>
      <c r="N343" s="2"/>
      <c r="O343" s="2"/>
      <c r="P343" s="2"/>
      <c r="Q343" s="2"/>
      <c r="R343" s="2"/>
      <c r="S343" s="2"/>
      <c r="T343" s="2"/>
      <c r="U343" s="2"/>
      <c r="V343" s="2"/>
      <c r="W343" s="2"/>
      <c r="X343" s="2"/>
      <c r="Y343" s="2"/>
      <c r="Z343" s="2"/>
    </row>
    <row r="344" ht="22.5" customHeight="1">
      <c r="A344" s="7"/>
      <c r="B344" s="7"/>
      <c r="C344" s="7"/>
      <c r="D344" s="7"/>
      <c r="E344" s="7"/>
      <c r="F344" s="7"/>
      <c r="G344" s="7"/>
      <c r="H344" s="2"/>
      <c r="I344" s="62"/>
      <c r="J344" s="7"/>
      <c r="K344" s="2"/>
      <c r="L344" s="2"/>
      <c r="M344" s="2"/>
      <c r="N344" s="2"/>
      <c r="O344" s="2"/>
      <c r="P344" s="2"/>
      <c r="Q344" s="2"/>
      <c r="R344" s="2"/>
      <c r="S344" s="2"/>
      <c r="T344" s="2"/>
      <c r="U344" s="2"/>
      <c r="V344" s="2"/>
      <c r="W344" s="2"/>
      <c r="X344" s="2"/>
      <c r="Y344" s="2"/>
      <c r="Z344" s="2"/>
    </row>
    <row r="345" ht="22.5" customHeight="1">
      <c r="A345" s="7"/>
      <c r="B345" s="7"/>
      <c r="C345" s="7"/>
      <c r="D345" s="7"/>
      <c r="E345" s="7"/>
      <c r="F345" s="7"/>
      <c r="G345" s="7"/>
      <c r="H345" s="2"/>
      <c r="I345" s="62"/>
      <c r="J345" s="7"/>
      <c r="K345" s="2"/>
      <c r="L345" s="2"/>
      <c r="M345" s="2"/>
      <c r="N345" s="2"/>
      <c r="O345" s="2"/>
      <c r="P345" s="2"/>
      <c r="Q345" s="2"/>
      <c r="R345" s="2"/>
      <c r="S345" s="2"/>
      <c r="T345" s="2"/>
      <c r="U345" s="2"/>
      <c r="V345" s="2"/>
      <c r="W345" s="2"/>
      <c r="X345" s="2"/>
      <c r="Y345" s="2"/>
      <c r="Z345" s="2"/>
    </row>
    <row r="346" ht="22.5" customHeight="1">
      <c r="A346" s="7"/>
      <c r="B346" s="7"/>
      <c r="C346" s="7"/>
      <c r="D346" s="7"/>
      <c r="E346" s="7"/>
      <c r="F346" s="7"/>
      <c r="G346" s="7"/>
      <c r="H346" s="2"/>
      <c r="I346" s="62"/>
      <c r="J346" s="7"/>
      <c r="K346" s="2"/>
      <c r="L346" s="2"/>
      <c r="M346" s="2"/>
      <c r="N346" s="2"/>
      <c r="O346" s="2"/>
      <c r="P346" s="2"/>
      <c r="Q346" s="2"/>
      <c r="R346" s="2"/>
      <c r="S346" s="2"/>
      <c r="T346" s="2"/>
      <c r="U346" s="2"/>
      <c r="V346" s="2"/>
      <c r="W346" s="2"/>
      <c r="X346" s="2"/>
      <c r="Y346" s="2"/>
      <c r="Z346" s="2"/>
    </row>
    <row r="347" ht="22.5" customHeight="1">
      <c r="A347" s="7"/>
      <c r="B347" s="7"/>
      <c r="C347" s="7"/>
      <c r="D347" s="7"/>
      <c r="E347" s="7"/>
      <c r="F347" s="7"/>
      <c r="G347" s="7"/>
      <c r="H347" s="2"/>
      <c r="I347" s="62"/>
      <c r="J347" s="7"/>
      <c r="K347" s="2"/>
      <c r="L347" s="2"/>
      <c r="M347" s="2"/>
      <c r="N347" s="2"/>
      <c r="O347" s="2"/>
      <c r="P347" s="2"/>
      <c r="Q347" s="2"/>
      <c r="R347" s="2"/>
      <c r="S347" s="2"/>
      <c r="T347" s="2"/>
      <c r="U347" s="2"/>
      <c r="V347" s="2"/>
      <c r="W347" s="2"/>
      <c r="X347" s="2"/>
      <c r="Y347" s="2"/>
      <c r="Z347" s="2"/>
    </row>
    <row r="348" ht="22.5" customHeight="1">
      <c r="A348" s="7"/>
      <c r="B348" s="7"/>
      <c r="C348" s="7"/>
      <c r="D348" s="7"/>
      <c r="E348" s="7"/>
      <c r="F348" s="7"/>
      <c r="G348" s="7"/>
      <c r="H348" s="2"/>
      <c r="I348" s="62"/>
      <c r="J348" s="7"/>
      <c r="K348" s="2"/>
      <c r="L348" s="2"/>
      <c r="M348" s="2"/>
      <c r="N348" s="2"/>
      <c r="O348" s="2"/>
      <c r="P348" s="2"/>
      <c r="Q348" s="2"/>
      <c r="R348" s="2"/>
      <c r="S348" s="2"/>
      <c r="T348" s="2"/>
      <c r="U348" s="2"/>
      <c r="V348" s="2"/>
      <c r="W348" s="2"/>
      <c r="X348" s="2"/>
      <c r="Y348" s="2"/>
      <c r="Z348" s="2"/>
    </row>
    <row r="349" ht="22.5" customHeight="1">
      <c r="A349" s="7"/>
      <c r="B349" s="7"/>
      <c r="C349" s="7"/>
      <c r="D349" s="7"/>
      <c r="E349" s="7"/>
      <c r="F349" s="7"/>
      <c r="G349" s="7"/>
      <c r="H349" s="2"/>
      <c r="I349" s="62"/>
      <c r="J349" s="7"/>
      <c r="K349" s="2"/>
      <c r="L349" s="2"/>
      <c r="M349" s="2"/>
      <c r="N349" s="2"/>
      <c r="O349" s="2"/>
      <c r="P349" s="2"/>
      <c r="Q349" s="2"/>
      <c r="R349" s="2"/>
      <c r="S349" s="2"/>
      <c r="T349" s="2"/>
      <c r="U349" s="2"/>
      <c r="V349" s="2"/>
      <c r="W349" s="2"/>
      <c r="X349" s="2"/>
      <c r="Y349" s="2"/>
      <c r="Z349" s="2"/>
    </row>
    <row r="350" ht="22.5" customHeight="1">
      <c r="A350" s="7"/>
      <c r="B350" s="7"/>
      <c r="C350" s="7"/>
      <c r="D350" s="7"/>
      <c r="E350" s="7"/>
      <c r="F350" s="7"/>
      <c r="G350" s="7"/>
      <c r="H350" s="2"/>
      <c r="I350" s="62"/>
      <c r="J350" s="7"/>
      <c r="K350" s="2"/>
      <c r="L350" s="2"/>
      <c r="M350" s="2"/>
      <c r="N350" s="2"/>
      <c r="O350" s="2"/>
      <c r="P350" s="2"/>
      <c r="Q350" s="2"/>
      <c r="R350" s="2"/>
      <c r="S350" s="2"/>
      <c r="T350" s="2"/>
      <c r="U350" s="2"/>
      <c r="V350" s="2"/>
      <c r="W350" s="2"/>
      <c r="X350" s="2"/>
      <c r="Y350" s="2"/>
      <c r="Z350" s="2"/>
    </row>
    <row r="351" ht="22.5" customHeight="1">
      <c r="A351" s="7"/>
      <c r="B351" s="7"/>
      <c r="C351" s="7"/>
      <c r="D351" s="7"/>
      <c r="E351" s="7"/>
      <c r="F351" s="7"/>
      <c r="G351" s="7"/>
      <c r="H351" s="2"/>
      <c r="I351" s="62"/>
      <c r="J351" s="7"/>
      <c r="K351" s="2"/>
      <c r="L351" s="2"/>
      <c r="M351" s="2"/>
      <c r="N351" s="2"/>
      <c r="O351" s="2"/>
      <c r="P351" s="2"/>
      <c r="Q351" s="2"/>
      <c r="R351" s="2"/>
      <c r="S351" s="2"/>
      <c r="T351" s="2"/>
      <c r="U351" s="2"/>
      <c r="V351" s="2"/>
      <c r="W351" s="2"/>
      <c r="X351" s="2"/>
      <c r="Y351" s="2"/>
      <c r="Z351" s="2"/>
    </row>
    <row r="352" ht="22.5" customHeight="1">
      <c r="A352" s="7"/>
      <c r="B352" s="7"/>
      <c r="C352" s="7"/>
      <c r="D352" s="7"/>
      <c r="E352" s="7"/>
      <c r="F352" s="7"/>
      <c r="G352" s="7"/>
      <c r="H352" s="2"/>
      <c r="I352" s="62"/>
      <c r="J352" s="7"/>
      <c r="K352" s="2"/>
      <c r="L352" s="2"/>
      <c r="M352" s="2"/>
      <c r="N352" s="2"/>
      <c r="O352" s="2"/>
      <c r="P352" s="2"/>
      <c r="Q352" s="2"/>
      <c r="R352" s="2"/>
      <c r="S352" s="2"/>
      <c r="T352" s="2"/>
      <c r="U352" s="2"/>
      <c r="V352" s="2"/>
      <c r="W352" s="2"/>
      <c r="X352" s="2"/>
      <c r="Y352" s="2"/>
      <c r="Z352" s="2"/>
    </row>
    <row r="353" ht="22.5" customHeight="1">
      <c r="A353" s="7"/>
      <c r="B353" s="7"/>
      <c r="C353" s="7"/>
      <c r="D353" s="7"/>
      <c r="E353" s="7"/>
      <c r="F353" s="7"/>
      <c r="G353" s="7"/>
      <c r="H353" s="2"/>
      <c r="I353" s="62"/>
      <c r="J353" s="7"/>
      <c r="K353" s="2"/>
      <c r="L353" s="2"/>
      <c r="M353" s="2"/>
      <c r="N353" s="2"/>
      <c r="O353" s="2"/>
      <c r="P353" s="2"/>
      <c r="Q353" s="2"/>
      <c r="R353" s="2"/>
      <c r="S353" s="2"/>
      <c r="T353" s="2"/>
      <c r="U353" s="2"/>
      <c r="V353" s="2"/>
      <c r="W353" s="2"/>
      <c r="X353" s="2"/>
      <c r="Y353" s="2"/>
      <c r="Z353" s="2"/>
    </row>
    <row r="354" ht="22.5" customHeight="1">
      <c r="A354" s="7"/>
      <c r="B354" s="7"/>
      <c r="C354" s="7"/>
      <c r="D354" s="7"/>
      <c r="E354" s="7"/>
      <c r="F354" s="7"/>
      <c r="G354" s="7"/>
      <c r="H354" s="2"/>
      <c r="I354" s="62"/>
      <c r="J354" s="7"/>
      <c r="K354" s="2"/>
      <c r="L354" s="2"/>
      <c r="M354" s="2"/>
      <c r="N354" s="2"/>
      <c r="O354" s="2"/>
      <c r="P354" s="2"/>
      <c r="Q354" s="2"/>
      <c r="R354" s="2"/>
      <c r="S354" s="2"/>
      <c r="T354" s="2"/>
      <c r="U354" s="2"/>
      <c r="V354" s="2"/>
      <c r="W354" s="2"/>
      <c r="X354" s="2"/>
      <c r="Y354" s="2"/>
      <c r="Z354" s="2"/>
    </row>
    <row r="355" ht="22.5" customHeight="1">
      <c r="A355" s="7"/>
      <c r="B355" s="7"/>
      <c r="C355" s="7"/>
      <c r="D355" s="7"/>
      <c r="E355" s="7"/>
      <c r="F355" s="7"/>
      <c r="G355" s="7"/>
      <c r="H355" s="2"/>
      <c r="I355" s="62"/>
      <c r="J355" s="7"/>
      <c r="K355" s="2"/>
      <c r="L355" s="2"/>
      <c r="M355" s="2"/>
      <c r="N355" s="2"/>
      <c r="O355" s="2"/>
      <c r="P355" s="2"/>
      <c r="Q355" s="2"/>
      <c r="R355" s="2"/>
      <c r="S355" s="2"/>
      <c r="T355" s="2"/>
      <c r="U355" s="2"/>
      <c r="V355" s="2"/>
      <c r="W355" s="2"/>
      <c r="X355" s="2"/>
      <c r="Y355" s="2"/>
      <c r="Z355" s="2"/>
    </row>
    <row r="356" ht="22.5" customHeight="1">
      <c r="A356" s="7"/>
      <c r="B356" s="7"/>
      <c r="C356" s="7"/>
      <c r="D356" s="7"/>
      <c r="E356" s="7"/>
      <c r="F356" s="7"/>
      <c r="G356" s="7"/>
      <c r="H356" s="2"/>
      <c r="I356" s="62"/>
      <c r="J356" s="7"/>
      <c r="K356" s="2"/>
      <c r="L356" s="2"/>
      <c r="M356" s="2"/>
      <c r="N356" s="2"/>
      <c r="O356" s="2"/>
      <c r="P356" s="2"/>
      <c r="Q356" s="2"/>
      <c r="R356" s="2"/>
      <c r="S356" s="2"/>
      <c r="T356" s="2"/>
      <c r="U356" s="2"/>
      <c r="V356" s="2"/>
      <c r="W356" s="2"/>
      <c r="X356" s="2"/>
      <c r="Y356" s="2"/>
      <c r="Z356" s="2"/>
    </row>
    <row r="357" ht="22.5" customHeight="1">
      <c r="A357" s="7"/>
      <c r="B357" s="7"/>
      <c r="C357" s="7"/>
      <c r="D357" s="7"/>
      <c r="E357" s="7"/>
      <c r="F357" s="7"/>
      <c r="G357" s="7"/>
      <c r="H357" s="2"/>
      <c r="I357" s="62"/>
      <c r="J357" s="7"/>
      <c r="K357" s="2"/>
      <c r="L357" s="2"/>
      <c r="M357" s="2"/>
      <c r="N357" s="2"/>
      <c r="O357" s="2"/>
      <c r="P357" s="2"/>
      <c r="Q357" s="2"/>
      <c r="R357" s="2"/>
      <c r="S357" s="2"/>
      <c r="T357" s="2"/>
      <c r="U357" s="2"/>
      <c r="V357" s="2"/>
      <c r="W357" s="2"/>
      <c r="X357" s="2"/>
      <c r="Y357" s="2"/>
      <c r="Z357" s="2"/>
    </row>
    <row r="358" ht="22.5" customHeight="1">
      <c r="A358" s="7"/>
      <c r="B358" s="7"/>
      <c r="C358" s="7"/>
      <c r="D358" s="7"/>
      <c r="E358" s="7"/>
      <c r="F358" s="7"/>
      <c r="G358" s="7"/>
      <c r="H358" s="2"/>
      <c r="I358" s="62"/>
      <c r="J358" s="7"/>
      <c r="K358" s="2"/>
      <c r="L358" s="2"/>
      <c r="M358" s="2"/>
      <c r="N358" s="2"/>
      <c r="O358" s="2"/>
      <c r="P358" s="2"/>
      <c r="Q358" s="2"/>
      <c r="R358" s="2"/>
      <c r="S358" s="2"/>
      <c r="T358" s="2"/>
      <c r="U358" s="2"/>
      <c r="V358" s="2"/>
      <c r="W358" s="2"/>
      <c r="X358" s="2"/>
      <c r="Y358" s="2"/>
      <c r="Z358" s="2"/>
    </row>
    <row r="359" ht="22.5" customHeight="1">
      <c r="A359" s="7"/>
      <c r="B359" s="7"/>
      <c r="C359" s="7"/>
      <c r="D359" s="7"/>
      <c r="E359" s="7"/>
      <c r="F359" s="7"/>
      <c r="G359" s="7"/>
      <c r="H359" s="2"/>
      <c r="I359" s="62"/>
      <c r="J359" s="7"/>
      <c r="K359" s="2"/>
      <c r="L359" s="2"/>
      <c r="M359" s="2"/>
      <c r="N359" s="2"/>
      <c r="O359" s="2"/>
      <c r="P359" s="2"/>
      <c r="Q359" s="2"/>
      <c r="R359" s="2"/>
      <c r="S359" s="2"/>
      <c r="T359" s="2"/>
      <c r="U359" s="2"/>
      <c r="V359" s="2"/>
      <c r="W359" s="2"/>
      <c r="X359" s="2"/>
      <c r="Y359" s="2"/>
      <c r="Z359" s="2"/>
    </row>
    <row r="360" ht="22.5" customHeight="1">
      <c r="A360" s="7"/>
      <c r="B360" s="7"/>
      <c r="C360" s="7"/>
      <c r="D360" s="7"/>
      <c r="E360" s="7"/>
      <c r="F360" s="7"/>
      <c r="G360" s="7"/>
      <c r="H360" s="2"/>
      <c r="I360" s="62"/>
      <c r="J360" s="7"/>
      <c r="K360" s="2"/>
      <c r="L360" s="2"/>
      <c r="M360" s="2"/>
      <c r="N360" s="2"/>
      <c r="O360" s="2"/>
      <c r="P360" s="2"/>
      <c r="Q360" s="2"/>
      <c r="R360" s="2"/>
      <c r="S360" s="2"/>
      <c r="T360" s="2"/>
      <c r="U360" s="2"/>
      <c r="V360" s="2"/>
      <c r="W360" s="2"/>
      <c r="X360" s="2"/>
      <c r="Y360" s="2"/>
      <c r="Z360" s="2"/>
    </row>
    <row r="361" ht="22.5" customHeight="1">
      <c r="A361" s="7"/>
      <c r="B361" s="7"/>
      <c r="C361" s="7"/>
      <c r="D361" s="7"/>
      <c r="E361" s="7"/>
      <c r="F361" s="7"/>
      <c r="G361" s="7"/>
      <c r="H361" s="2"/>
      <c r="I361" s="62"/>
      <c r="J361" s="7"/>
      <c r="K361" s="2"/>
      <c r="L361" s="2"/>
      <c r="M361" s="2"/>
      <c r="N361" s="2"/>
      <c r="O361" s="2"/>
      <c r="P361" s="2"/>
      <c r="Q361" s="2"/>
      <c r="R361" s="2"/>
      <c r="S361" s="2"/>
      <c r="T361" s="2"/>
      <c r="U361" s="2"/>
      <c r="V361" s="2"/>
      <c r="W361" s="2"/>
      <c r="X361" s="2"/>
      <c r="Y361" s="2"/>
      <c r="Z361" s="2"/>
    </row>
    <row r="362" ht="22.5" customHeight="1">
      <c r="A362" s="7"/>
      <c r="B362" s="7"/>
      <c r="C362" s="7"/>
      <c r="D362" s="7"/>
      <c r="E362" s="7"/>
      <c r="F362" s="7"/>
      <c r="G362" s="7"/>
      <c r="H362" s="2"/>
      <c r="I362" s="62"/>
      <c r="J362" s="7"/>
      <c r="K362" s="2"/>
      <c r="L362" s="2"/>
      <c r="M362" s="2"/>
      <c r="N362" s="2"/>
      <c r="O362" s="2"/>
      <c r="P362" s="2"/>
      <c r="Q362" s="2"/>
      <c r="R362" s="2"/>
      <c r="S362" s="2"/>
      <c r="T362" s="2"/>
      <c r="U362" s="2"/>
      <c r="V362" s="2"/>
      <c r="W362" s="2"/>
      <c r="X362" s="2"/>
      <c r="Y362" s="2"/>
      <c r="Z362" s="2"/>
    </row>
    <row r="363" ht="22.5" customHeight="1">
      <c r="A363" s="7"/>
      <c r="B363" s="7"/>
      <c r="C363" s="7"/>
      <c r="D363" s="7"/>
      <c r="E363" s="7"/>
      <c r="F363" s="7"/>
      <c r="G363" s="7"/>
      <c r="H363" s="2"/>
      <c r="I363" s="62"/>
      <c r="J363" s="7"/>
      <c r="K363" s="2"/>
      <c r="L363" s="2"/>
      <c r="M363" s="2"/>
      <c r="N363" s="2"/>
      <c r="O363" s="2"/>
      <c r="P363" s="2"/>
      <c r="Q363" s="2"/>
      <c r="R363" s="2"/>
      <c r="S363" s="2"/>
      <c r="T363" s="2"/>
      <c r="U363" s="2"/>
      <c r="V363" s="2"/>
      <c r="W363" s="2"/>
      <c r="X363" s="2"/>
      <c r="Y363" s="2"/>
      <c r="Z363" s="2"/>
    </row>
    <row r="364" ht="22.5" customHeight="1">
      <c r="A364" s="7"/>
      <c r="B364" s="7"/>
      <c r="C364" s="7"/>
      <c r="D364" s="7"/>
      <c r="E364" s="7"/>
      <c r="F364" s="7"/>
      <c r="G364" s="7"/>
      <c r="H364" s="2"/>
      <c r="I364" s="62"/>
      <c r="J364" s="7"/>
      <c r="K364" s="2"/>
      <c r="L364" s="2"/>
      <c r="M364" s="2"/>
      <c r="N364" s="2"/>
      <c r="O364" s="2"/>
      <c r="P364" s="2"/>
      <c r="Q364" s="2"/>
      <c r="R364" s="2"/>
      <c r="S364" s="2"/>
      <c r="T364" s="2"/>
      <c r="U364" s="2"/>
      <c r="V364" s="2"/>
      <c r="W364" s="2"/>
      <c r="X364" s="2"/>
      <c r="Y364" s="2"/>
      <c r="Z364" s="2"/>
    </row>
    <row r="365" ht="22.5" customHeight="1">
      <c r="A365" s="7"/>
      <c r="B365" s="7"/>
      <c r="C365" s="7"/>
      <c r="D365" s="7"/>
      <c r="E365" s="7"/>
      <c r="F365" s="7"/>
      <c r="G365" s="7"/>
      <c r="H365" s="2"/>
      <c r="I365" s="62"/>
      <c r="J365" s="7"/>
      <c r="K365" s="2"/>
      <c r="L365" s="2"/>
      <c r="M365" s="2"/>
      <c r="N365" s="2"/>
      <c r="O365" s="2"/>
      <c r="P365" s="2"/>
      <c r="Q365" s="2"/>
      <c r="R365" s="2"/>
      <c r="S365" s="2"/>
      <c r="T365" s="2"/>
      <c r="U365" s="2"/>
      <c r="V365" s="2"/>
      <c r="W365" s="2"/>
      <c r="X365" s="2"/>
      <c r="Y365" s="2"/>
      <c r="Z365" s="2"/>
    </row>
    <row r="366" ht="22.5" customHeight="1">
      <c r="A366" s="7"/>
      <c r="B366" s="7"/>
      <c r="C366" s="7"/>
      <c r="D366" s="7"/>
      <c r="E366" s="7"/>
      <c r="F366" s="7"/>
      <c r="G366" s="7"/>
      <c r="H366" s="2"/>
      <c r="I366" s="62"/>
      <c r="J366" s="7"/>
      <c r="K366" s="2"/>
      <c r="L366" s="2"/>
      <c r="M366" s="2"/>
      <c r="N366" s="2"/>
      <c r="O366" s="2"/>
      <c r="P366" s="2"/>
      <c r="Q366" s="2"/>
      <c r="R366" s="2"/>
      <c r="S366" s="2"/>
      <c r="T366" s="2"/>
      <c r="U366" s="2"/>
      <c r="V366" s="2"/>
      <c r="W366" s="2"/>
      <c r="X366" s="2"/>
      <c r="Y366" s="2"/>
      <c r="Z366" s="2"/>
    </row>
    <row r="367" ht="22.5" customHeight="1">
      <c r="A367" s="7"/>
      <c r="B367" s="7"/>
      <c r="C367" s="7"/>
      <c r="D367" s="7"/>
      <c r="E367" s="7"/>
      <c r="F367" s="7"/>
      <c r="G367" s="7"/>
      <c r="H367" s="2"/>
      <c r="I367" s="62"/>
      <c r="J367" s="7"/>
      <c r="K367" s="2"/>
      <c r="L367" s="2"/>
      <c r="M367" s="2"/>
      <c r="N367" s="2"/>
      <c r="O367" s="2"/>
      <c r="P367" s="2"/>
      <c r="Q367" s="2"/>
      <c r="R367" s="2"/>
      <c r="S367" s="2"/>
      <c r="T367" s="2"/>
      <c r="U367" s="2"/>
      <c r="V367" s="2"/>
      <c r="W367" s="2"/>
      <c r="X367" s="2"/>
      <c r="Y367" s="2"/>
      <c r="Z367" s="2"/>
    </row>
    <row r="368" ht="22.5" customHeight="1">
      <c r="A368" s="7"/>
      <c r="B368" s="7"/>
      <c r="C368" s="7"/>
      <c r="D368" s="7"/>
      <c r="E368" s="7"/>
      <c r="F368" s="7"/>
      <c r="G368" s="7"/>
      <c r="H368" s="2"/>
      <c r="I368" s="62"/>
      <c r="J368" s="7"/>
      <c r="K368" s="2"/>
      <c r="L368" s="2"/>
      <c r="M368" s="2"/>
      <c r="N368" s="2"/>
      <c r="O368" s="2"/>
      <c r="P368" s="2"/>
      <c r="Q368" s="2"/>
      <c r="R368" s="2"/>
      <c r="S368" s="2"/>
      <c r="T368" s="2"/>
      <c r="U368" s="2"/>
      <c r="V368" s="2"/>
      <c r="W368" s="2"/>
      <c r="X368" s="2"/>
      <c r="Y368" s="2"/>
      <c r="Z368" s="2"/>
    </row>
    <row r="369" ht="22.5" customHeight="1">
      <c r="A369" s="7"/>
      <c r="B369" s="7"/>
      <c r="C369" s="7"/>
      <c r="D369" s="7"/>
      <c r="E369" s="7"/>
      <c r="F369" s="7"/>
      <c r="G369" s="7"/>
      <c r="H369" s="2"/>
      <c r="I369" s="62"/>
      <c r="J369" s="7"/>
      <c r="K369" s="2"/>
      <c r="L369" s="2"/>
      <c r="M369" s="2"/>
      <c r="N369" s="2"/>
      <c r="O369" s="2"/>
      <c r="P369" s="2"/>
      <c r="Q369" s="2"/>
      <c r="R369" s="2"/>
      <c r="S369" s="2"/>
      <c r="T369" s="2"/>
      <c r="U369" s="2"/>
      <c r="V369" s="2"/>
      <c r="W369" s="2"/>
      <c r="X369" s="2"/>
      <c r="Y369" s="2"/>
      <c r="Z369" s="2"/>
    </row>
    <row r="370" ht="22.5" customHeight="1">
      <c r="A370" s="7"/>
      <c r="B370" s="7"/>
      <c r="C370" s="7"/>
      <c r="D370" s="7"/>
      <c r="E370" s="7"/>
      <c r="F370" s="7"/>
      <c r="G370" s="7"/>
      <c r="H370" s="2"/>
      <c r="I370" s="62"/>
      <c r="J370" s="7"/>
      <c r="K370" s="2"/>
      <c r="L370" s="2"/>
      <c r="M370" s="2"/>
      <c r="N370" s="2"/>
      <c r="O370" s="2"/>
      <c r="P370" s="2"/>
      <c r="Q370" s="2"/>
      <c r="R370" s="2"/>
      <c r="S370" s="2"/>
      <c r="T370" s="2"/>
      <c r="U370" s="2"/>
      <c r="V370" s="2"/>
      <c r="W370" s="2"/>
      <c r="X370" s="2"/>
      <c r="Y370" s="2"/>
      <c r="Z370" s="2"/>
    </row>
    <row r="371" ht="22.5" customHeight="1">
      <c r="A371" s="7"/>
      <c r="B371" s="7"/>
      <c r="C371" s="7"/>
      <c r="D371" s="7"/>
      <c r="E371" s="7"/>
      <c r="F371" s="7"/>
      <c r="G371" s="7"/>
      <c r="H371" s="2"/>
      <c r="I371" s="62"/>
      <c r="J371" s="7"/>
      <c r="K371" s="2"/>
      <c r="L371" s="2"/>
      <c r="M371" s="2"/>
      <c r="N371" s="2"/>
      <c r="O371" s="2"/>
      <c r="P371" s="2"/>
      <c r="Q371" s="2"/>
      <c r="R371" s="2"/>
      <c r="S371" s="2"/>
      <c r="T371" s="2"/>
      <c r="U371" s="2"/>
      <c r="V371" s="2"/>
      <c r="W371" s="2"/>
      <c r="X371" s="2"/>
      <c r="Y371" s="2"/>
      <c r="Z371" s="2"/>
    </row>
    <row r="372" ht="22.5" customHeight="1">
      <c r="A372" s="7"/>
      <c r="B372" s="7"/>
      <c r="C372" s="7"/>
      <c r="D372" s="7"/>
      <c r="E372" s="7"/>
      <c r="F372" s="7"/>
      <c r="G372" s="7"/>
      <c r="H372" s="2"/>
      <c r="I372" s="62"/>
      <c r="J372" s="7"/>
      <c r="K372" s="2"/>
      <c r="L372" s="2"/>
      <c r="M372" s="2"/>
      <c r="N372" s="2"/>
      <c r="O372" s="2"/>
      <c r="P372" s="2"/>
      <c r="Q372" s="2"/>
      <c r="R372" s="2"/>
      <c r="S372" s="2"/>
      <c r="T372" s="2"/>
      <c r="U372" s="2"/>
      <c r="V372" s="2"/>
      <c r="W372" s="2"/>
      <c r="X372" s="2"/>
      <c r="Y372" s="2"/>
      <c r="Z372" s="2"/>
    </row>
    <row r="373" ht="22.5" customHeight="1">
      <c r="A373" s="7"/>
      <c r="B373" s="7"/>
      <c r="C373" s="7"/>
      <c r="D373" s="7"/>
      <c r="E373" s="7"/>
      <c r="F373" s="7"/>
      <c r="G373" s="7"/>
      <c r="H373" s="2"/>
      <c r="I373" s="62"/>
      <c r="J373" s="7"/>
      <c r="K373" s="2"/>
      <c r="L373" s="2"/>
      <c r="M373" s="2"/>
      <c r="N373" s="2"/>
      <c r="O373" s="2"/>
      <c r="P373" s="2"/>
      <c r="Q373" s="2"/>
      <c r="R373" s="2"/>
      <c r="S373" s="2"/>
      <c r="T373" s="2"/>
      <c r="U373" s="2"/>
      <c r="V373" s="2"/>
      <c r="W373" s="2"/>
      <c r="X373" s="2"/>
      <c r="Y373" s="2"/>
      <c r="Z373" s="2"/>
    </row>
    <row r="374" ht="22.5" customHeight="1">
      <c r="A374" s="7"/>
      <c r="B374" s="7"/>
      <c r="C374" s="7"/>
      <c r="D374" s="7"/>
      <c r="E374" s="7"/>
      <c r="F374" s="7"/>
      <c r="G374" s="7"/>
      <c r="H374" s="2"/>
      <c r="I374" s="62"/>
      <c r="J374" s="7"/>
      <c r="K374" s="2"/>
      <c r="L374" s="2"/>
      <c r="M374" s="2"/>
      <c r="N374" s="2"/>
      <c r="O374" s="2"/>
      <c r="P374" s="2"/>
      <c r="Q374" s="2"/>
      <c r="R374" s="2"/>
      <c r="S374" s="2"/>
      <c r="T374" s="2"/>
      <c r="U374" s="2"/>
      <c r="V374" s="2"/>
      <c r="W374" s="2"/>
      <c r="X374" s="2"/>
      <c r="Y374" s="2"/>
      <c r="Z374" s="2"/>
    </row>
    <row r="375" ht="22.5" customHeight="1">
      <c r="A375" s="7"/>
      <c r="B375" s="7"/>
      <c r="C375" s="7"/>
      <c r="D375" s="7"/>
      <c r="E375" s="7"/>
      <c r="F375" s="7"/>
      <c r="G375" s="7"/>
      <c r="H375" s="2"/>
      <c r="I375" s="62"/>
      <c r="J375" s="7"/>
      <c r="K375" s="2"/>
      <c r="L375" s="2"/>
      <c r="M375" s="2"/>
      <c r="N375" s="2"/>
      <c r="O375" s="2"/>
      <c r="P375" s="2"/>
      <c r="Q375" s="2"/>
      <c r="R375" s="2"/>
      <c r="S375" s="2"/>
      <c r="T375" s="2"/>
      <c r="U375" s="2"/>
      <c r="V375" s="2"/>
      <c r="W375" s="2"/>
      <c r="X375" s="2"/>
      <c r="Y375" s="2"/>
      <c r="Z375" s="2"/>
    </row>
    <row r="376" ht="22.5" customHeight="1">
      <c r="A376" s="7"/>
      <c r="B376" s="7"/>
      <c r="C376" s="7"/>
      <c r="D376" s="7"/>
      <c r="E376" s="7"/>
      <c r="F376" s="7"/>
      <c r="G376" s="7"/>
      <c r="H376" s="2"/>
      <c r="I376" s="62"/>
      <c r="J376" s="7"/>
      <c r="K376" s="2"/>
      <c r="L376" s="2"/>
      <c r="M376" s="2"/>
      <c r="N376" s="2"/>
      <c r="O376" s="2"/>
      <c r="P376" s="2"/>
      <c r="Q376" s="2"/>
      <c r="R376" s="2"/>
      <c r="S376" s="2"/>
      <c r="T376" s="2"/>
      <c r="U376" s="2"/>
      <c r="V376" s="2"/>
      <c r="W376" s="2"/>
      <c r="X376" s="2"/>
      <c r="Y376" s="2"/>
      <c r="Z376" s="2"/>
    </row>
    <row r="377" ht="22.5" customHeight="1">
      <c r="A377" s="7"/>
      <c r="B377" s="7"/>
      <c r="C377" s="7"/>
      <c r="D377" s="7"/>
      <c r="E377" s="7"/>
      <c r="F377" s="7"/>
      <c r="G377" s="7"/>
      <c r="H377" s="2"/>
      <c r="I377" s="62"/>
      <c r="J377" s="7"/>
      <c r="K377" s="2"/>
      <c r="L377" s="2"/>
      <c r="M377" s="2"/>
      <c r="N377" s="2"/>
      <c r="O377" s="2"/>
      <c r="P377" s="2"/>
      <c r="Q377" s="2"/>
      <c r="R377" s="2"/>
      <c r="S377" s="2"/>
      <c r="T377" s="2"/>
      <c r="U377" s="2"/>
      <c r="V377" s="2"/>
      <c r="W377" s="2"/>
      <c r="X377" s="2"/>
      <c r="Y377" s="2"/>
      <c r="Z377" s="2"/>
    </row>
    <row r="378" ht="22.5" customHeight="1">
      <c r="A378" s="7"/>
      <c r="B378" s="7"/>
      <c r="C378" s="7"/>
      <c r="D378" s="7"/>
      <c r="E378" s="7"/>
      <c r="F378" s="7"/>
      <c r="G378" s="7"/>
      <c r="H378" s="2"/>
      <c r="I378" s="62"/>
      <c r="J378" s="7"/>
      <c r="K378" s="2"/>
      <c r="L378" s="2"/>
      <c r="M378" s="2"/>
      <c r="N378" s="2"/>
      <c r="O378" s="2"/>
      <c r="P378" s="2"/>
      <c r="Q378" s="2"/>
      <c r="R378" s="2"/>
      <c r="S378" s="2"/>
      <c r="T378" s="2"/>
      <c r="U378" s="2"/>
      <c r="V378" s="2"/>
      <c r="W378" s="2"/>
      <c r="X378" s="2"/>
      <c r="Y378" s="2"/>
      <c r="Z378" s="2"/>
    </row>
    <row r="379" ht="22.5" customHeight="1">
      <c r="A379" s="7"/>
      <c r="B379" s="7"/>
      <c r="C379" s="7"/>
      <c r="D379" s="7"/>
      <c r="E379" s="7"/>
      <c r="F379" s="7"/>
      <c r="G379" s="7"/>
      <c r="H379" s="2"/>
      <c r="I379" s="62"/>
      <c r="J379" s="7"/>
      <c r="K379" s="2"/>
      <c r="L379" s="2"/>
      <c r="M379" s="2"/>
      <c r="N379" s="2"/>
      <c r="O379" s="2"/>
      <c r="P379" s="2"/>
      <c r="Q379" s="2"/>
      <c r="R379" s="2"/>
      <c r="S379" s="2"/>
      <c r="T379" s="2"/>
      <c r="U379" s="2"/>
      <c r="V379" s="2"/>
      <c r="W379" s="2"/>
      <c r="X379" s="2"/>
      <c r="Y379" s="2"/>
      <c r="Z379" s="2"/>
    </row>
    <row r="380" ht="22.5" customHeight="1">
      <c r="A380" s="7"/>
      <c r="B380" s="7"/>
      <c r="C380" s="7"/>
      <c r="D380" s="7"/>
      <c r="E380" s="7"/>
      <c r="F380" s="7"/>
      <c r="G380" s="7"/>
      <c r="H380" s="2"/>
      <c r="I380" s="62"/>
      <c r="J380" s="7"/>
      <c r="K380" s="2"/>
      <c r="L380" s="2"/>
      <c r="M380" s="2"/>
      <c r="N380" s="2"/>
      <c r="O380" s="2"/>
      <c r="P380" s="2"/>
      <c r="Q380" s="2"/>
      <c r="R380" s="2"/>
      <c r="S380" s="2"/>
      <c r="T380" s="2"/>
      <c r="U380" s="2"/>
      <c r="V380" s="2"/>
      <c r="W380" s="2"/>
      <c r="X380" s="2"/>
      <c r="Y380" s="2"/>
      <c r="Z380" s="2"/>
    </row>
    <row r="381" ht="22.5" customHeight="1">
      <c r="A381" s="7"/>
      <c r="B381" s="7"/>
      <c r="C381" s="7"/>
      <c r="D381" s="7"/>
      <c r="E381" s="7"/>
      <c r="F381" s="7"/>
      <c r="G381" s="7"/>
      <c r="H381" s="2"/>
      <c r="I381" s="62"/>
      <c r="J381" s="7"/>
      <c r="K381" s="2"/>
      <c r="L381" s="2"/>
      <c r="M381" s="2"/>
      <c r="N381" s="2"/>
      <c r="O381" s="2"/>
      <c r="P381" s="2"/>
      <c r="Q381" s="2"/>
      <c r="R381" s="2"/>
      <c r="S381" s="2"/>
      <c r="T381" s="2"/>
      <c r="U381" s="2"/>
      <c r="V381" s="2"/>
      <c r="W381" s="2"/>
      <c r="X381" s="2"/>
      <c r="Y381" s="2"/>
      <c r="Z381" s="2"/>
    </row>
    <row r="382" ht="22.5" customHeight="1">
      <c r="A382" s="7"/>
      <c r="B382" s="7"/>
      <c r="C382" s="7"/>
      <c r="D382" s="7"/>
      <c r="E382" s="7"/>
      <c r="F382" s="7"/>
      <c r="G382" s="7"/>
      <c r="H382" s="2"/>
      <c r="I382" s="62"/>
      <c r="J382" s="7"/>
      <c r="K382" s="2"/>
      <c r="L382" s="2"/>
      <c r="M382" s="2"/>
      <c r="N382" s="2"/>
      <c r="O382" s="2"/>
      <c r="P382" s="2"/>
      <c r="Q382" s="2"/>
      <c r="R382" s="2"/>
      <c r="S382" s="2"/>
      <c r="T382" s="2"/>
      <c r="U382" s="2"/>
      <c r="V382" s="2"/>
      <c r="W382" s="2"/>
      <c r="X382" s="2"/>
      <c r="Y382" s="2"/>
      <c r="Z382" s="2"/>
    </row>
    <row r="383" ht="22.5" customHeight="1">
      <c r="A383" s="7"/>
      <c r="B383" s="7"/>
      <c r="C383" s="7"/>
      <c r="D383" s="7"/>
      <c r="E383" s="7"/>
      <c r="F383" s="7"/>
      <c r="G383" s="7"/>
      <c r="H383" s="2"/>
      <c r="I383" s="62"/>
      <c r="J383" s="7"/>
      <c r="K383" s="2"/>
      <c r="L383" s="2"/>
      <c r="M383" s="2"/>
      <c r="N383" s="2"/>
      <c r="O383" s="2"/>
      <c r="P383" s="2"/>
      <c r="Q383" s="2"/>
      <c r="R383" s="2"/>
      <c r="S383" s="2"/>
      <c r="T383" s="2"/>
      <c r="U383" s="2"/>
      <c r="V383" s="2"/>
      <c r="W383" s="2"/>
      <c r="X383" s="2"/>
      <c r="Y383" s="2"/>
      <c r="Z383" s="2"/>
    </row>
    <row r="384" ht="22.5" customHeight="1">
      <c r="A384" s="7"/>
      <c r="B384" s="7"/>
      <c r="C384" s="7"/>
      <c r="D384" s="7"/>
      <c r="E384" s="7"/>
      <c r="F384" s="7"/>
      <c r="G384" s="7"/>
      <c r="H384" s="2"/>
      <c r="I384" s="62"/>
      <c r="J384" s="7"/>
      <c r="K384" s="2"/>
      <c r="L384" s="2"/>
      <c r="M384" s="2"/>
      <c r="N384" s="2"/>
      <c r="O384" s="2"/>
      <c r="P384" s="2"/>
      <c r="Q384" s="2"/>
      <c r="R384" s="2"/>
      <c r="S384" s="2"/>
      <c r="T384" s="2"/>
      <c r="U384" s="2"/>
      <c r="V384" s="2"/>
      <c r="W384" s="2"/>
      <c r="X384" s="2"/>
      <c r="Y384" s="2"/>
      <c r="Z384" s="2"/>
    </row>
    <row r="385" ht="22.5" customHeight="1">
      <c r="A385" s="7"/>
      <c r="B385" s="7"/>
      <c r="C385" s="7"/>
      <c r="D385" s="7"/>
      <c r="E385" s="7"/>
      <c r="F385" s="7"/>
      <c r="G385" s="7"/>
      <c r="H385" s="2"/>
      <c r="I385" s="62"/>
      <c r="J385" s="7"/>
      <c r="K385" s="2"/>
      <c r="L385" s="2"/>
      <c r="M385" s="2"/>
      <c r="N385" s="2"/>
      <c r="O385" s="2"/>
      <c r="P385" s="2"/>
      <c r="Q385" s="2"/>
      <c r="R385" s="2"/>
      <c r="S385" s="2"/>
      <c r="T385" s="2"/>
      <c r="U385" s="2"/>
      <c r="V385" s="2"/>
      <c r="W385" s="2"/>
      <c r="X385" s="2"/>
      <c r="Y385" s="2"/>
      <c r="Z385" s="2"/>
    </row>
    <row r="386" ht="22.5" customHeight="1">
      <c r="A386" s="7"/>
      <c r="B386" s="7"/>
      <c r="C386" s="7"/>
      <c r="D386" s="7"/>
      <c r="E386" s="7"/>
      <c r="F386" s="7"/>
      <c r="G386" s="7"/>
      <c r="H386" s="2"/>
      <c r="I386" s="62"/>
      <c r="J386" s="7"/>
      <c r="K386" s="2"/>
      <c r="L386" s="2"/>
      <c r="M386" s="2"/>
      <c r="N386" s="2"/>
      <c r="O386" s="2"/>
      <c r="P386" s="2"/>
      <c r="Q386" s="2"/>
      <c r="R386" s="2"/>
      <c r="S386" s="2"/>
      <c r="T386" s="2"/>
      <c r="U386" s="2"/>
      <c r="V386" s="2"/>
      <c r="W386" s="2"/>
      <c r="X386" s="2"/>
      <c r="Y386" s="2"/>
      <c r="Z386" s="2"/>
    </row>
    <row r="387" ht="22.5" customHeight="1">
      <c r="A387" s="7"/>
      <c r="B387" s="7"/>
      <c r="C387" s="7"/>
      <c r="D387" s="7"/>
      <c r="E387" s="7"/>
      <c r="F387" s="7"/>
      <c r="G387" s="7"/>
      <c r="H387" s="2"/>
      <c r="I387" s="62"/>
      <c r="J387" s="7"/>
      <c r="K387" s="2"/>
      <c r="L387" s="2"/>
      <c r="M387" s="2"/>
      <c r="N387" s="2"/>
      <c r="O387" s="2"/>
      <c r="P387" s="2"/>
      <c r="Q387" s="2"/>
      <c r="R387" s="2"/>
      <c r="S387" s="2"/>
      <c r="T387" s="2"/>
      <c r="U387" s="2"/>
      <c r="V387" s="2"/>
      <c r="W387" s="2"/>
      <c r="X387" s="2"/>
      <c r="Y387" s="2"/>
      <c r="Z387" s="2"/>
    </row>
    <row r="388" ht="22.5" customHeight="1">
      <c r="A388" s="7"/>
      <c r="B388" s="7"/>
      <c r="C388" s="7"/>
      <c r="D388" s="7"/>
      <c r="E388" s="7"/>
      <c r="F388" s="7"/>
      <c r="G388" s="7"/>
      <c r="H388" s="2"/>
      <c r="I388" s="62"/>
      <c r="J388" s="7"/>
      <c r="K388" s="2"/>
      <c r="L388" s="2"/>
      <c r="M388" s="2"/>
      <c r="N388" s="2"/>
      <c r="O388" s="2"/>
      <c r="P388" s="2"/>
      <c r="Q388" s="2"/>
      <c r="R388" s="2"/>
      <c r="S388" s="2"/>
      <c r="T388" s="2"/>
      <c r="U388" s="2"/>
      <c r="V388" s="2"/>
      <c r="W388" s="2"/>
      <c r="X388" s="2"/>
      <c r="Y388" s="2"/>
      <c r="Z388" s="2"/>
    </row>
    <row r="389" ht="22.5" customHeight="1">
      <c r="A389" s="7"/>
      <c r="B389" s="7"/>
      <c r="C389" s="7"/>
      <c r="D389" s="7"/>
      <c r="E389" s="7"/>
      <c r="F389" s="7"/>
      <c r="G389" s="7"/>
      <c r="H389" s="2"/>
      <c r="I389" s="62"/>
      <c r="J389" s="7"/>
      <c r="K389" s="2"/>
      <c r="L389" s="2"/>
      <c r="M389" s="2"/>
      <c r="N389" s="2"/>
      <c r="O389" s="2"/>
      <c r="P389" s="2"/>
      <c r="Q389" s="2"/>
      <c r="R389" s="2"/>
      <c r="S389" s="2"/>
      <c r="T389" s="2"/>
      <c r="U389" s="2"/>
      <c r="V389" s="2"/>
      <c r="W389" s="2"/>
      <c r="X389" s="2"/>
      <c r="Y389" s="2"/>
      <c r="Z389" s="2"/>
    </row>
    <row r="390" ht="22.5" customHeight="1">
      <c r="A390" s="7"/>
      <c r="B390" s="7"/>
      <c r="C390" s="7"/>
      <c r="D390" s="7"/>
      <c r="E390" s="7"/>
      <c r="F390" s="7"/>
      <c r="G390" s="7"/>
      <c r="H390" s="2"/>
      <c r="I390" s="62"/>
      <c r="J390" s="7"/>
      <c r="K390" s="2"/>
      <c r="L390" s="2"/>
      <c r="M390" s="2"/>
      <c r="N390" s="2"/>
      <c r="O390" s="2"/>
      <c r="P390" s="2"/>
      <c r="Q390" s="2"/>
      <c r="R390" s="2"/>
      <c r="S390" s="2"/>
      <c r="T390" s="2"/>
      <c r="U390" s="2"/>
      <c r="V390" s="2"/>
      <c r="W390" s="2"/>
      <c r="X390" s="2"/>
      <c r="Y390" s="2"/>
      <c r="Z390" s="2"/>
    </row>
    <row r="391" ht="22.5" customHeight="1">
      <c r="A391" s="7"/>
      <c r="B391" s="7"/>
      <c r="C391" s="7"/>
      <c r="D391" s="7"/>
      <c r="E391" s="7"/>
      <c r="F391" s="7"/>
      <c r="G391" s="7"/>
      <c r="H391" s="2"/>
      <c r="I391" s="62"/>
      <c r="J391" s="7"/>
      <c r="K391" s="2"/>
      <c r="L391" s="2"/>
      <c r="M391" s="2"/>
      <c r="N391" s="2"/>
      <c r="O391" s="2"/>
      <c r="P391" s="2"/>
      <c r="Q391" s="2"/>
      <c r="R391" s="2"/>
      <c r="S391" s="2"/>
      <c r="T391" s="2"/>
      <c r="U391" s="2"/>
      <c r="V391" s="2"/>
      <c r="W391" s="2"/>
      <c r="X391" s="2"/>
      <c r="Y391" s="2"/>
      <c r="Z391" s="2"/>
    </row>
    <row r="392" ht="22.5" customHeight="1">
      <c r="A392" s="7"/>
      <c r="B392" s="7"/>
      <c r="C392" s="7"/>
      <c r="D392" s="7"/>
      <c r="E392" s="7"/>
      <c r="F392" s="7"/>
      <c r="G392" s="7"/>
      <c r="H392" s="2"/>
      <c r="I392" s="62"/>
      <c r="J392" s="7"/>
      <c r="K392" s="2"/>
      <c r="L392" s="2"/>
      <c r="M392" s="2"/>
      <c r="N392" s="2"/>
      <c r="O392" s="2"/>
      <c r="P392" s="2"/>
      <c r="Q392" s="2"/>
      <c r="R392" s="2"/>
      <c r="S392" s="2"/>
      <c r="T392" s="2"/>
      <c r="U392" s="2"/>
      <c r="V392" s="2"/>
      <c r="W392" s="2"/>
      <c r="X392" s="2"/>
      <c r="Y392" s="2"/>
      <c r="Z392" s="2"/>
    </row>
    <row r="393" ht="22.5" customHeight="1">
      <c r="A393" s="7"/>
      <c r="B393" s="7"/>
      <c r="C393" s="7"/>
      <c r="D393" s="7"/>
      <c r="E393" s="7"/>
      <c r="F393" s="7"/>
      <c r="G393" s="7"/>
      <c r="H393" s="2"/>
      <c r="I393" s="62"/>
      <c r="J393" s="7"/>
      <c r="K393" s="2"/>
      <c r="L393" s="2"/>
      <c r="M393" s="2"/>
      <c r="N393" s="2"/>
      <c r="O393" s="2"/>
      <c r="P393" s="2"/>
      <c r="Q393" s="2"/>
      <c r="R393" s="2"/>
      <c r="S393" s="2"/>
      <c r="T393" s="2"/>
      <c r="U393" s="2"/>
      <c r="V393" s="2"/>
      <c r="W393" s="2"/>
      <c r="X393" s="2"/>
      <c r="Y393" s="2"/>
      <c r="Z393" s="2"/>
    </row>
    <row r="394" ht="22.5" customHeight="1">
      <c r="A394" s="7"/>
      <c r="B394" s="7"/>
      <c r="C394" s="7"/>
      <c r="D394" s="7"/>
      <c r="E394" s="7"/>
      <c r="F394" s="7"/>
      <c r="G394" s="7"/>
      <c r="H394" s="2"/>
      <c r="I394" s="62"/>
      <c r="J394" s="7"/>
      <c r="K394" s="2"/>
      <c r="L394" s="2"/>
      <c r="M394" s="2"/>
      <c r="N394" s="2"/>
      <c r="O394" s="2"/>
      <c r="P394" s="2"/>
      <c r="Q394" s="2"/>
      <c r="R394" s="2"/>
      <c r="S394" s="2"/>
      <c r="T394" s="2"/>
      <c r="U394" s="2"/>
      <c r="V394" s="2"/>
      <c r="W394" s="2"/>
      <c r="X394" s="2"/>
      <c r="Y394" s="2"/>
      <c r="Z394" s="2"/>
    </row>
    <row r="395" ht="22.5" customHeight="1">
      <c r="A395" s="7"/>
      <c r="B395" s="7"/>
      <c r="C395" s="7"/>
      <c r="D395" s="7"/>
      <c r="E395" s="7"/>
      <c r="F395" s="7"/>
      <c r="G395" s="7"/>
      <c r="H395" s="2"/>
      <c r="I395" s="62"/>
      <c r="J395" s="7"/>
      <c r="K395" s="2"/>
      <c r="L395" s="2"/>
      <c r="M395" s="2"/>
      <c r="N395" s="2"/>
      <c r="O395" s="2"/>
      <c r="P395" s="2"/>
      <c r="Q395" s="2"/>
      <c r="R395" s="2"/>
      <c r="S395" s="2"/>
      <c r="T395" s="2"/>
      <c r="U395" s="2"/>
      <c r="V395" s="2"/>
      <c r="W395" s="2"/>
      <c r="X395" s="2"/>
      <c r="Y395" s="2"/>
      <c r="Z395" s="2"/>
    </row>
    <row r="396" ht="22.5" customHeight="1">
      <c r="A396" s="7"/>
      <c r="B396" s="7"/>
      <c r="C396" s="7"/>
      <c r="D396" s="7"/>
      <c r="E396" s="7"/>
      <c r="F396" s="7"/>
      <c r="G396" s="7"/>
      <c r="H396" s="2"/>
      <c r="I396" s="62"/>
      <c r="J396" s="7"/>
      <c r="K396" s="2"/>
      <c r="L396" s="2"/>
      <c r="M396" s="2"/>
      <c r="N396" s="2"/>
      <c r="O396" s="2"/>
      <c r="P396" s="2"/>
      <c r="Q396" s="2"/>
      <c r="R396" s="2"/>
      <c r="S396" s="2"/>
      <c r="T396" s="2"/>
      <c r="U396" s="2"/>
      <c r="V396" s="2"/>
      <c r="W396" s="2"/>
      <c r="X396" s="2"/>
      <c r="Y396" s="2"/>
      <c r="Z396" s="2"/>
    </row>
    <row r="397" ht="22.5" customHeight="1">
      <c r="A397" s="7"/>
      <c r="B397" s="7"/>
      <c r="C397" s="7"/>
      <c r="D397" s="7"/>
      <c r="E397" s="7"/>
      <c r="F397" s="7"/>
      <c r="G397" s="7"/>
      <c r="H397" s="2"/>
      <c r="I397" s="62"/>
      <c r="J397" s="7"/>
      <c r="K397" s="2"/>
      <c r="L397" s="2"/>
      <c r="M397" s="2"/>
      <c r="N397" s="2"/>
      <c r="O397" s="2"/>
      <c r="P397" s="2"/>
      <c r="Q397" s="2"/>
      <c r="R397" s="2"/>
      <c r="S397" s="2"/>
      <c r="T397" s="2"/>
      <c r="U397" s="2"/>
      <c r="V397" s="2"/>
      <c r="W397" s="2"/>
      <c r="X397" s="2"/>
      <c r="Y397" s="2"/>
      <c r="Z397" s="2"/>
    </row>
    <row r="398" ht="22.5" customHeight="1">
      <c r="A398" s="7"/>
      <c r="B398" s="7"/>
      <c r="C398" s="7"/>
      <c r="D398" s="7"/>
      <c r="E398" s="7"/>
      <c r="F398" s="7"/>
      <c r="G398" s="7"/>
      <c r="H398" s="2"/>
      <c r="I398" s="62"/>
      <c r="J398" s="7"/>
      <c r="K398" s="2"/>
      <c r="L398" s="2"/>
      <c r="M398" s="2"/>
      <c r="N398" s="2"/>
      <c r="O398" s="2"/>
      <c r="P398" s="2"/>
      <c r="Q398" s="2"/>
      <c r="R398" s="2"/>
      <c r="S398" s="2"/>
      <c r="T398" s="2"/>
      <c r="U398" s="2"/>
      <c r="V398" s="2"/>
      <c r="W398" s="2"/>
      <c r="X398" s="2"/>
      <c r="Y398" s="2"/>
      <c r="Z398" s="2"/>
    </row>
    <row r="399" ht="22.5" customHeight="1">
      <c r="A399" s="7"/>
      <c r="B399" s="7"/>
      <c r="C399" s="7"/>
      <c r="D399" s="7"/>
      <c r="E399" s="7"/>
      <c r="F399" s="7"/>
      <c r="G399" s="7"/>
      <c r="H399" s="2"/>
      <c r="I399" s="62"/>
      <c r="J399" s="7"/>
      <c r="K399" s="2"/>
      <c r="L399" s="2"/>
      <c r="M399" s="2"/>
      <c r="N399" s="2"/>
      <c r="O399" s="2"/>
      <c r="P399" s="2"/>
      <c r="Q399" s="2"/>
      <c r="R399" s="2"/>
      <c r="S399" s="2"/>
      <c r="T399" s="2"/>
      <c r="U399" s="2"/>
      <c r="V399" s="2"/>
      <c r="W399" s="2"/>
      <c r="X399" s="2"/>
      <c r="Y399" s="2"/>
      <c r="Z399" s="2"/>
    </row>
    <row r="400" ht="22.5" customHeight="1">
      <c r="A400" s="7"/>
      <c r="B400" s="7"/>
      <c r="C400" s="7"/>
      <c r="D400" s="7"/>
      <c r="E400" s="7"/>
      <c r="F400" s="7"/>
      <c r="G400" s="7"/>
      <c r="H400" s="2"/>
      <c r="I400" s="62"/>
      <c r="J400" s="7"/>
      <c r="K400" s="2"/>
      <c r="L400" s="2"/>
      <c r="M400" s="2"/>
      <c r="N400" s="2"/>
      <c r="O400" s="2"/>
      <c r="P400" s="2"/>
      <c r="Q400" s="2"/>
      <c r="R400" s="2"/>
      <c r="S400" s="2"/>
      <c r="T400" s="2"/>
      <c r="U400" s="2"/>
      <c r="V400" s="2"/>
      <c r="W400" s="2"/>
      <c r="X400" s="2"/>
      <c r="Y400" s="2"/>
      <c r="Z400" s="2"/>
    </row>
    <row r="401" ht="22.5" customHeight="1">
      <c r="A401" s="7"/>
      <c r="B401" s="7"/>
      <c r="C401" s="7"/>
      <c r="D401" s="7"/>
      <c r="E401" s="7"/>
      <c r="F401" s="7"/>
      <c r="G401" s="7"/>
      <c r="H401" s="2"/>
      <c r="I401" s="62"/>
      <c r="J401" s="7"/>
      <c r="K401" s="2"/>
      <c r="L401" s="2"/>
      <c r="M401" s="2"/>
      <c r="N401" s="2"/>
      <c r="O401" s="2"/>
      <c r="P401" s="2"/>
      <c r="Q401" s="2"/>
      <c r="R401" s="2"/>
      <c r="S401" s="2"/>
      <c r="T401" s="2"/>
      <c r="U401" s="2"/>
      <c r="V401" s="2"/>
      <c r="W401" s="2"/>
      <c r="X401" s="2"/>
      <c r="Y401" s="2"/>
      <c r="Z401" s="2"/>
    </row>
    <row r="402" ht="22.5" customHeight="1">
      <c r="A402" s="7"/>
      <c r="B402" s="7"/>
      <c r="C402" s="7"/>
      <c r="D402" s="7"/>
      <c r="E402" s="7"/>
      <c r="F402" s="7"/>
      <c r="G402" s="7"/>
      <c r="H402" s="2"/>
      <c r="I402" s="62"/>
      <c r="J402" s="7"/>
      <c r="K402" s="2"/>
      <c r="L402" s="2"/>
      <c r="M402" s="2"/>
      <c r="N402" s="2"/>
      <c r="O402" s="2"/>
      <c r="P402" s="2"/>
      <c r="Q402" s="2"/>
      <c r="R402" s="2"/>
      <c r="S402" s="2"/>
      <c r="T402" s="2"/>
      <c r="U402" s="2"/>
      <c r="V402" s="2"/>
      <c r="W402" s="2"/>
      <c r="X402" s="2"/>
      <c r="Y402" s="2"/>
      <c r="Z402" s="2"/>
    </row>
    <row r="403" ht="22.5" customHeight="1">
      <c r="A403" s="7"/>
      <c r="B403" s="7"/>
      <c r="C403" s="7"/>
      <c r="D403" s="7"/>
      <c r="E403" s="7"/>
      <c r="F403" s="7"/>
      <c r="G403" s="7"/>
      <c r="H403" s="2"/>
      <c r="I403" s="62"/>
      <c r="J403" s="7"/>
      <c r="K403" s="2"/>
      <c r="L403" s="2"/>
      <c r="M403" s="2"/>
      <c r="N403" s="2"/>
      <c r="O403" s="2"/>
      <c r="P403" s="2"/>
      <c r="Q403" s="2"/>
      <c r="R403" s="2"/>
      <c r="S403" s="2"/>
      <c r="T403" s="2"/>
      <c r="U403" s="2"/>
      <c r="V403" s="2"/>
      <c r="W403" s="2"/>
      <c r="X403" s="2"/>
      <c r="Y403" s="2"/>
      <c r="Z403" s="2"/>
    </row>
    <row r="404" ht="22.5" customHeight="1">
      <c r="A404" s="7"/>
      <c r="B404" s="7"/>
      <c r="C404" s="7"/>
      <c r="D404" s="7"/>
      <c r="E404" s="7"/>
      <c r="F404" s="7"/>
      <c r="G404" s="7"/>
      <c r="H404" s="2"/>
      <c r="I404" s="62"/>
      <c r="J404" s="7"/>
      <c r="K404" s="2"/>
      <c r="L404" s="2"/>
      <c r="M404" s="2"/>
      <c r="N404" s="2"/>
      <c r="O404" s="2"/>
      <c r="P404" s="2"/>
      <c r="Q404" s="2"/>
      <c r="R404" s="2"/>
      <c r="S404" s="2"/>
      <c r="T404" s="2"/>
      <c r="U404" s="2"/>
      <c r="V404" s="2"/>
      <c r="W404" s="2"/>
      <c r="X404" s="2"/>
      <c r="Y404" s="2"/>
      <c r="Z404" s="2"/>
    </row>
    <row r="405" ht="22.5" customHeight="1">
      <c r="A405" s="7"/>
      <c r="B405" s="7"/>
      <c r="C405" s="7"/>
      <c r="D405" s="7"/>
      <c r="E405" s="7"/>
      <c r="F405" s="7"/>
      <c r="G405" s="7"/>
      <c r="H405" s="2"/>
      <c r="I405" s="62"/>
      <c r="J405" s="7"/>
      <c r="K405" s="2"/>
      <c r="L405" s="2"/>
      <c r="M405" s="2"/>
      <c r="N405" s="2"/>
      <c r="O405" s="2"/>
      <c r="P405" s="2"/>
      <c r="Q405" s="2"/>
      <c r="R405" s="2"/>
      <c r="S405" s="2"/>
      <c r="T405" s="2"/>
      <c r="U405" s="2"/>
      <c r="V405" s="2"/>
      <c r="W405" s="2"/>
      <c r="X405" s="2"/>
      <c r="Y405" s="2"/>
      <c r="Z405" s="2"/>
    </row>
    <row r="406" ht="22.5" customHeight="1">
      <c r="A406" s="7"/>
      <c r="B406" s="7"/>
      <c r="C406" s="7"/>
      <c r="D406" s="7"/>
      <c r="E406" s="7"/>
      <c r="F406" s="7"/>
      <c r="G406" s="7"/>
      <c r="H406" s="2"/>
      <c r="I406" s="62"/>
      <c r="J406" s="7"/>
      <c r="K406" s="2"/>
      <c r="L406" s="2"/>
      <c r="M406" s="2"/>
      <c r="N406" s="2"/>
      <c r="O406" s="2"/>
      <c r="P406" s="2"/>
      <c r="Q406" s="2"/>
      <c r="R406" s="2"/>
      <c r="S406" s="2"/>
      <c r="T406" s="2"/>
      <c r="U406" s="2"/>
      <c r="V406" s="2"/>
      <c r="W406" s="2"/>
      <c r="X406" s="2"/>
      <c r="Y406" s="2"/>
      <c r="Z406" s="2"/>
    </row>
    <row r="407" ht="22.5" customHeight="1">
      <c r="A407" s="7"/>
      <c r="B407" s="7"/>
      <c r="C407" s="7"/>
      <c r="D407" s="7"/>
      <c r="E407" s="7"/>
      <c r="F407" s="7"/>
      <c r="G407" s="7"/>
      <c r="H407" s="2"/>
      <c r="I407" s="62"/>
      <c r="J407" s="7"/>
      <c r="K407" s="2"/>
      <c r="L407" s="2"/>
      <c r="M407" s="2"/>
      <c r="N407" s="2"/>
      <c r="O407" s="2"/>
      <c r="P407" s="2"/>
      <c r="Q407" s="2"/>
      <c r="R407" s="2"/>
      <c r="S407" s="2"/>
      <c r="T407" s="2"/>
      <c r="U407" s="2"/>
      <c r="V407" s="2"/>
      <c r="W407" s="2"/>
      <c r="X407" s="2"/>
      <c r="Y407" s="2"/>
      <c r="Z407" s="2"/>
    </row>
    <row r="408" ht="22.5" customHeight="1">
      <c r="A408" s="7"/>
      <c r="B408" s="7"/>
      <c r="C408" s="7"/>
      <c r="D408" s="7"/>
      <c r="E408" s="7"/>
      <c r="F408" s="7"/>
      <c r="G408" s="7"/>
      <c r="H408" s="2"/>
      <c r="I408" s="62"/>
      <c r="J408" s="7"/>
      <c r="K408" s="2"/>
      <c r="L408" s="2"/>
      <c r="M408" s="2"/>
      <c r="N408" s="2"/>
      <c r="O408" s="2"/>
      <c r="P408" s="2"/>
      <c r="Q408" s="2"/>
      <c r="R408" s="2"/>
      <c r="S408" s="2"/>
      <c r="T408" s="2"/>
      <c r="U408" s="2"/>
      <c r="V408" s="2"/>
      <c r="W408" s="2"/>
      <c r="X408" s="2"/>
      <c r="Y408" s="2"/>
      <c r="Z408" s="2"/>
    </row>
    <row r="409" ht="22.5" customHeight="1">
      <c r="A409" s="7"/>
      <c r="B409" s="7"/>
      <c r="C409" s="7"/>
      <c r="D409" s="7"/>
      <c r="E409" s="7"/>
      <c r="F409" s="7"/>
      <c r="G409" s="7"/>
      <c r="H409" s="2"/>
      <c r="I409" s="62"/>
      <c r="J409" s="7"/>
      <c r="K409" s="2"/>
      <c r="L409" s="2"/>
      <c r="M409" s="2"/>
      <c r="N409" s="2"/>
      <c r="O409" s="2"/>
      <c r="P409" s="2"/>
      <c r="Q409" s="2"/>
      <c r="R409" s="2"/>
      <c r="S409" s="2"/>
      <c r="T409" s="2"/>
      <c r="U409" s="2"/>
      <c r="V409" s="2"/>
      <c r="W409" s="2"/>
      <c r="X409" s="2"/>
      <c r="Y409" s="2"/>
      <c r="Z409" s="2"/>
    </row>
    <row r="410" ht="22.5" customHeight="1">
      <c r="A410" s="7"/>
      <c r="B410" s="7"/>
      <c r="C410" s="7"/>
      <c r="D410" s="7"/>
      <c r="E410" s="7"/>
      <c r="F410" s="7"/>
      <c r="G410" s="7"/>
      <c r="H410" s="2"/>
      <c r="I410" s="62"/>
      <c r="J410" s="7"/>
      <c r="K410" s="2"/>
      <c r="L410" s="2"/>
      <c r="M410" s="2"/>
      <c r="N410" s="2"/>
      <c r="O410" s="2"/>
      <c r="P410" s="2"/>
      <c r="Q410" s="2"/>
      <c r="R410" s="2"/>
      <c r="S410" s="2"/>
      <c r="T410" s="2"/>
      <c r="U410" s="2"/>
      <c r="V410" s="2"/>
      <c r="W410" s="2"/>
      <c r="X410" s="2"/>
      <c r="Y410" s="2"/>
      <c r="Z410" s="2"/>
    </row>
    <row r="411" ht="22.5" customHeight="1">
      <c r="A411" s="7"/>
      <c r="B411" s="7"/>
      <c r="C411" s="7"/>
      <c r="D411" s="7"/>
      <c r="E411" s="7"/>
      <c r="F411" s="7"/>
      <c r="G411" s="7"/>
      <c r="H411" s="2"/>
      <c r="I411" s="62"/>
      <c r="J411" s="7"/>
      <c r="K411" s="2"/>
      <c r="L411" s="2"/>
      <c r="M411" s="2"/>
      <c r="N411" s="2"/>
      <c r="O411" s="2"/>
      <c r="P411" s="2"/>
      <c r="Q411" s="2"/>
      <c r="R411" s="2"/>
      <c r="S411" s="2"/>
      <c r="T411" s="2"/>
      <c r="U411" s="2"/>
      <c r="V411" s="2"/>
      <c r="W411" s="2"/>
      <c r="X411" s="2"/>
      <c r="Y411" s="2"/>
      <c r="Z411" s="2"/>
    </row>
    <row r="412" ht="22.5" customHeight="1">
      <c r="A412" s="7"/>
      <c r="B412" s="7"/>
      <c r="C412" s="7"/>
      <c r="D412" s="7"/>
      <c r="E412" s="7"/>
      <c r="F412" s="7"/>
      <c r="G412" s="7"/>
      <c r="H412" s="2"/>
      <c r="I412" s="62"/>
      <c r="J412" s="7"/>
      <c r="K412" s="2"/>
      <c r="L412" s="2"/>
      <c r="M412" s="2"/>
      <c r="N412" s="2"/>
      <c r="O412" s="2"/>
      <c r="P412" s="2"/>
      <c r="Q412" s="2"/>
      <c r="R412" s="2"/>
      <c r="S412" s="2"/>
      <c r="T412" s="2"/>
      <c r="U412" s="2"/>
      <c r="V412" s="2"/>
      <c r="W412" s="2"/>
      <c r="X412" s="2"/>
      <c r="Y412" s="2"/>
      <c r="Z412" s="2"/>
    </row>
    <row r="413" ht="22.5" customHeight="1">
      <c r="A413" s="7"/>
      <c r="B413" s="7"/>
      <c r="C413" s="7"/>
      <c r="D413" s="7"/>
      <c r="E413" s="7"/>
      <c r="F413" s="7"/>
      <c r="G413" s="7"/>
      <c r="H413" s="2"/>
      <c r="I413" s="62"/>
      <c r="J413" s="7"/>
      <c r="K413" s="2"/>
      <c r="L413" s="2"/>
      <c r="M413" s="2"/>
      <c r="N413" s="2"/>
      <c r="O413" s="2"/>
      <c r="P413" s="2"/>
      <c r="Q413" s="2"/>
      <c r="R413" s="2"/>
      <c r="S413" s="2"/>
      <c r="T413" s="2"/>
      <c r="U413" s="2"/>
      <c r="V413" s="2"/>
      <c r="W413" s="2"/>
      <c r="X413" s="2"/>
      <c r="Y413" s="2"/>
      <c r="Z413" s="2"/>
    </row>
    <row r="414" ht="22.5" customHeight="1">
      <c r="A414" s="7"/>
      <c r="B414" s="7"/>
      <c r="C414" s="7"/>
      <c r="D414" s="7"/>
      <c r="E414" s="7"/>
      <c r="F414" s="7"/>
      <c r="G414" s="7"/>
      <c r="H414" s="2"/>
      <c r="I414" s="62"/>
      <c r="J414" s="7"/>
      <c r="K414" s="2"/>
      <c r="L414" s="2"/>
      <c r="M414" s="2"/>
      <c r="N414" s="2"/>
      <c r="O414" s="2"/>
      <c r="P414" s="2"/>
      <c r="Q414" s="2"/>
      <c r="R414" s="2"/>
      <c r="S414" s="2"/>
      <c r="T414" s="2"/>
      <c r="U414" s="2"/>
      <c r="V414" s="2"/>
      <c r="W414" s="2"/>
      <c r="X414" s="2"/>
      <c r="Y414" s="2"/>
      <c r="Z414" s="2"/>
    </row>
    <row r="415" ht="22.5" customHeight="1">
      <c r="A415" s="7"/>
      <c r="B415" s="7"/>
      <c r="C415" s="7"/>
      <c r="D415" s="7"/>
      <c r="E415" s="7"/>
      <c r="F415" s="7"/>
      <c r="G415" s="7"/>
      <c r="H415" s="2"/>
      <c r="I415" s="62"/>
      <c r="J415" s="7"/>
      <c r="K415" s="2"/>
      <c r="L415" s="2"/>
      <c r="M415" s="2"/>
      <c r="N415" s="2"/>
      <c r="O415" s="2"/>
      <c r="P415" s="2"/>
      <c r="Q415" s="2"/>
      <c r="R415" s="2"/>
      <c r="S415" s="2"/>
      <c r="T415" s="2"/>
      <c r="U415" s="2"/>
      <c r="V415" s="2"/>
      <c r="W415" s="2"/>
      <c r="X415" s="2"/>
      <c r="Y415" s="2"/>
      <c r="Z415" s="2"/>
    </row>
    <row r="416" ht="22.5" customHeight="1">
      <c r="A416" s="7"/>
      <c r="B416" s="7"/>
      <c r="C416" s="7"/>
      <c r="D416" s="7"/>
      <c r="E416" s="7"/>
      <c r="F416" s="7"/>
      <c r="G416" s="7"/>
      <c r="H416" s="2"/>
      <c r="I416" s="62"/>
      <c r="J416" s="7"/>
      <c r="K416" s="2"/>
      <c r="L416" s="2"/>
      <c r="M416" s="2"/>
      <c r="N416" s="2"/>
      <c r="O416" s="2"/>
      <c r="P416" s="2"/>
      <c r="Q416" s="2"/>
      <c r="R416" s="2"/>
      <c r="S416" s="2"/>
      <c r="T416" s="2"/>
      <c r="U416" s="2"/>
      <c r="V416" s="2"/>
      <c r="W416" s="2"/>
      <c r="X416" s="2"/>
      <c r="Y416" s="2"/>
      <c r="Z416" s="2"/>
    </row>
    <row r="417" ht="22.5" customHeight="1">
      <c r="A417" s="7"/>
      <c r="B417" s="7"/>
      <c r="C417" s="7"/>
      <c r="D417" s="7"/>
      <c r="E417" s="7"/>
      <c r="F417" s="7"/>
      <c r="G417" s="7"/>
      <c r="H417" s="2"/>
      <c r="I417" s="62"/>
      <c r="J417" s="7"/>
      <c r="K417" s="2"/>
      <c r="L417" s="2"/>
      <c r="M417" s="2"/>
      <c r="N417" s="2"/>
      <c r="O417" s="2"/>
      <c r="P417" s="2"/>
      <c r="Q417" s="2"/>
      <c r="R417" s="2"/>
      <c r="S417" s="2"/>
      <c r="T417" s="2"/>
      <c r="U417" s="2"/>
      <c r="V417" s="2"/>
      <c r="W417" s="2"/>
      <c r="X417" s="2"/>
      <c r="Y417" s="2"/>
      <c r="Z417" s="2"/>
    </row>
    <row r="418" ht="22.5" customHeight="1">
      <c r="A418" s="7"/>
      <c r="B418" s="7"/>
      <c r="C418" s="7"/>
      <c r="D418" s="7"/>
      <c r="E418" s="7"/>
      <c r="F418" s="7"/>
      <c r="G418" s="7"/>
      <c r="H418" s="2"/>
      <c r="I418" s="62"/>
      <c r="J418" s="7"/>
      <c r="K418" s="2"/>
      <c r="L418" s="2"/>
      <c r="M418" s="2"/>
      <c r="N418" s="2"/>
      <c r="O418" s="2"/>
      <c r="P418" s="2"/>
      <c r="Q418" s="2"/>
      <c r="R418" s="2"/>
      <c r="S418" s="2"/>
      <c r="T418" s="2"/>
      <c r="U418" s="2"/>
      <c r="V418" s="2"/>
      <c r="W418" s="2"/>
      <c r="X418" s="2"/>
      <c r="Y418" s="2"/>
      <c r="Z418" s="2"/>
    </row>
    <row r="419" ht="22.5" customHeight="1">
      <c r="A419" s="7"/>
      <c r="B419" s="7"/>
      <c r="C419" s="7"/>
      <c r="D419" s="7"/>
      <c r="E419" s="7"/>
      <c r="F419" s="7"/>
      <c r="G419" s="7"/>
      <c r="H419" s="2"/>
      <c r="I419" s="62"/>
      <c r="J419" s="7"/>
      <c r="K419" s="2"/>
      <c r="L419" s="2"/>
      <c r="M419" s="2"/>
      <c r="N419" s="2"/>
      <c r="O419" s="2"/>
      <c r="P419" s="2"/>
      <c r="Q419" s="2"/>
      <c r="R419" s="2"/>
      <c r="S419" s="2"/>
      <c r="T419" s="2"/>
      <c r="U419" s="2"/>
      <c r="V419" s="2"/>
      <c r="W419" s="2"/>
      <c r="X419" s="2"/>
      <c r="Y419" s="2"/>
      <c r="Z419" s="2"/>
    </row>
    <row r="420" ht="22.5" customHeight="1">
      <c r="A420" s="7"/>
      <c r="B420" s="7"/>
      <c r="C420" s="7"/>
      <c r="D420" s="7"/>
      <c r="E420" s="7"/>
      <c r="F420" s="7"/>
      <c r="G420" s="7"/>
      <c r="H420" s="2"/>
      <c r="I420" s="62"/>
      <c r="J420" s="7"/>
      <c r="K420" s="2"/>
      <c r="L420" s="2"/>
      <c r="M420" s="2"/>
      <c r="N420" s="2"/>
      <c r="O420" s="2"/>
      <c r="P420" s="2"/>
      <c r="Q420" s="2"/>
      <c r="R420" s="2"/>
      <c r="S420" s="2"/>
      <c r="T420" s="2"/>
      <c r="U420" s="2"/>
      <c r="V420" s="2"/>
      <c r="W420" s="2"/>
      <c r="X420" s="2"/>
      <c r="Y420" s="2"/>
      <c r="Z420" s="2"/>
    </row>
    <row r="421" ht="22.5" customHeight="1">
      <c r="A421" s="7"/>
      <c r="B421" s="7"/>
      <c r="C421" s="7"/>
      <c r="D421" s="7"/>
      <c r="E421" s="7"/>
      <c r="F421" s="7"/>
      <c r="G421" s="7"/>
      <c r="H421" s="2"/>
      <c r="I421" s="62"/>
      <c r="J421" s="7"/>
      <c r="K421" s="2"/>
      <c r="L421" s="2"/>
      <c r="M421" s="2"/>
      <c r="N421" s="2"/>
      <c r="O421" s="2"/>
      <c r="P421" s="2"/>
      <c r="Q421" s="2"/>
      <c r="R421" s="2"/>
      <c r="S421" s="2"/>
      <c r="T421" s="2"/>
      <c r="U421" s="2"/>
      <c r="V421" s="2"/>
      <c r="W421" s="2"/>
      <c r="X421" s="2"/>
      <c r="Y421" s="2"/>
      <c r="Z421" s="2"/>
    </row>
    <row r="422" ht="22.5" customHeight="1">
      <c r="A422" s="7"/>
      <c r="B422" s="7"/>
      <c r="C422" s="7"/>
      <c r="D422" s="7"/>
      <c r="E422" s="7"/>
      <c r="F422" s="7"/>
      <c r="G422" s="7"/>
      <c r="H422" s="2"/>
      <c r="I422" s="62"/>
      <c r="J422" s="7"/>
      <c r="K422" s="2"/>
      <c r="L422" s="2"/>
      <c r="M422" s="2"/>
      <c r="N422" s="2"/>
      <c r="O422" s="2"/>
      <c r="P422" s="2"/>
      <c r="Q422" s="2"/>
      <c r="R422" s="2"/>
      <c r="S422" s="2"/>
      <c r="T422" s="2"/>
      <c r="U422" s="2"/>
      <c r="V422" s="2"/>
      <c r="W422" s="2"/>
      <c r="X422" s="2"/>
      <c r="Y422" s="2"/>
      <c r="Z422" s="2"/>
    </row>
    <row r="423" ht="22.5" customHeight="1">
      <c r="A423" s="7"/>
      <c r="B423" s="7"/>
      <c r="C423" s="7"/>
      <c r="D423" s="7"/>
      <c r="E423" s="7"/>
      <c r="F423" s="7"/>
      <c r="G423" s="7"/>
      <c r="H423" s="2"/>
      <c r="I423" s="62"/>
      <c r="J423" s="7"/>
      <c r="K423" s="2"/>
      <c r="L423" s="2"/>
      <c r="M423" s="2"/>
      <c r="N423" s="2"/>
      <c r="O423" s="2"/>
      <c r="P423" s="2"/>
      <c r="Q423" s="2"/>
      <c r="R423" s="2"/>
      <c r="S423" s="2"/>
      <c r="T423" s="2"/>
      <c r="U423" s="2"/>
      <c r="V423" s="2"/>
      <c r="W423" s="2"/>
      <c r="X423" s="2"/>
      <c r="Y423" s="2"/>
      <c r="Z423" s="2"/>
    </row>
    <row r="424" ht="22.5" customHeight="1">
      <c r="A424" s="7"/>
      <c r="B424" s="7"/>
      <c r="C424" s="7"/>
      <c r="D424" s="7"/>
      <c r="E424" s="7"/>
      <c r="F424" s="7"/>
      <c r="G424" s="7"/>
      <c r="H424" s="2"/>
      <c r="I424" s="62"/>
      <c r="J424" s="7"/>
      <c r="K424" s="2"/>
      <c r="L424" s="2"/>
      <c r="M424" s="2"/>
      <c r="N424" s="2"/>
      <c r="O424" s="2"/>
      <c r="P424" s="2"/>
      <c r="Q424" s="2"/>
      <c r="R424" s="2"/>
      <c r="S424" s="2"/>
      <c r="T424" s="2"/>
      <c r="U424" s="2"/>
      <c r="V424" s="2"/>
      <c r="W424" s="2"/>
      <c r="X424" s="2"/>
      <c r="Y424" s="2"/>
      <c r="Z424" s="2"/>
    </row>
    <row r="425" ht="22.5" customHeight="1">
      <c r="A425" s="7"/>
      <c r="B425" s="7"/>
      <c r="C425" s="7"/>
      <c r="D425" s="7"/>
      <c r="E425" s="7"/>
      <c r="F425" s="7"/>
      <c r="G425" s="7"/>
      <c r="H425" s="2"/>
      <c r="I425" s="62"/>
      <c r="J425" s="7"/>
      <c r="K425" s="2"/>
      <c r="L425" s="2"/>
      <c r="M425" s="2"/>
      <c r="N425" s="2"/>
      <c r="O425" s="2"/>
      <c r="P425" s="2"/>
      <c r="Q425" s="2"/>
      <c r="R425" s="2"/>
      <c r="S425" s="2"/>
      <c r="T425" s="2"/>
      <c r="U425" s="2"/>
      <c r="V425" s="2"/>
      <c r="W425" s="2"/>
      <c r="X425" s="2"/>
      <c r="Y425" s="2"/>
      <c r="Z425" s="2"/>
    </row>
    <row r="426" ht="22.5" customHeight="1">
      <c r="A426" s="7"/>
      <c r="B426" s="7"/>
      <c r="C426" s="7"/>
      <c r="D426" s="7"/>
      <c r="E426" s="7"/>
      <c r="F426" s="7"/>
      <c r="G426" s="7"/>
      <c r="H426" s="2"/>
      <c r="I426" s="62"/>
      <c r="J426" s="7"/>
      <c r="K426" s="2"/>
      <c r="L426" s="2"/>
      <c r="M426" s="2"/>
      <c r="N426" s="2"/>
      <c r="O426" s="2"/>
      <c r="P426" s="2"/>
      <c r="Q426" s="2"/>
      <c r="R426" s="2"/>
      <c r="S426" s="2"/>
      <c r="T426" s="2"/>
      <c r="U426" s="2"/>
      <c r="V426" s="2"/>
      <c r="W426" s="2"/>
      <c r="X426" s="2"/>
      <c r="Y426" s="2"/>
      <c r="Z426" s="2"/>
    </row>
    <row r="427" ht="22.5" customHeight="1">
      <c r="A427" s="7"/>
      <c r="B427" s="7"/>
      <c r="C427" s="7"/>
      <c r="D427" s="7"/>
      <c r="E427" s="7"/>
      <c r="F427" s="7"/>
      <c r="G427" s="7"/>
      <c r="H427" s="2"/>
      <c r="I427" s="62"/>
      <c r="J427" s="7"/>
      <c r="K427" s="2"/>
      <c r="L427" s="2"/>
      <c r="M427" s="2"/>
      <c r="N427" s="2"/>
      <c r="O427" s="2"/>
      <c r="P427" s="2"/>
      <c r="Q427" s="2"/>
      <c r="R427" s="2"/>
      <c r="S427" s="2"/>
      <c r="T427" s="2"/>
      <c r="U427" s="2"/>
      <c r="V427" s="2"/>
      <c r="W427" s="2"/>
      <c r="X427" s="2"/>
      <c r="Y427" s="2"/>
      <c r="Z427" s="2"/>
    </row>
    <row r="428" ht="22.5" customHeight="1">
      <c r="A428" s="7"/>
      <c r="B428" s="7"/>
      <c r="C428" s="7"/>
      <c r="D428" s="7"/>
      <c r="E428" s="7"/>
      <c r="F428" s="7"/>
      <c r="G428" s="7"/>
      <c r="H428" s="2"/>
      <c r="I428" s="62"/>
      <c r="J428" s="7"/>
      <c r="K428" s="2"/>
      <c r="L428" s="2"/>
      <c r="M428" s="2"/>
      <c r="N428" s="2"/>
      <c r="O428" s="2"/>
      <c r="P428" s="2"/>
      <c r="Q428" s="2"/>
      <c r="R428" s="2"/>
      <c r="S428" s="2"/>
      <c r="T428" s="2"/>
      <c r="U428" s="2"/>
      <c r="V428" s="2"/>
      <c r="W428" s="2"/>
      <c r="X428" s="2"/>
      <c r="Y428" s="2"/>
      <c r="Z428" s="2"/>
    </row>
    <row r="429" ht="22.5" customHeight="1">
      <c r="A429" s="7"/>
      <c r="B429" s="7"/>
      <c r="C429" s="7"/>
      <c r="D429" s="7"/>
      <c r="E429" s="7"/>
      <c r="F429" s="7"/>
      <c r="G429" s="7"/>
      <c r="H429" s="2"/>
      <c r="I429" s="62"/>
      <c r="J429" s="7"/>
      <c r="K429" s="2"/>
      <c r="L429" s="2"/>
      <c r="M429" s="2"/>
      <c r="N429" s="2"/>
      <c r="O429" s="2"/>
      <c r="P429" s="2"/>
      <c r="Q429" s="2"/>
      <c r="R429" s="2"/>
      <c r="S429" s="2"/>
      <c r="T429" s="2"/>
      <c r="U429" s="2"/>
      <c r="V429" s="2"/>
      <c r="W429" s="2"/>
      <c r="X429" s="2"/>
      <c r="Y429" s="2"/>
      <c r="Z429" s="2"/>
    </row>
    <row r="430" ht="22.5" customHeight="1">
      <c r="A430" s="7"/>
      <c r="B430" s="7"/>
      <c r="C430" s="7"/>
      <c r="D430" s="7"/>
      <c r="E430" s="7"/>
      <c r="F430" s="7"/>
      <c r="G430" s="7"/>
      <c r="H430" s="2"/>
      <c r="I430" s="62"/>
      <c r="J430" s="7"/>
      <c r="K430" s="2"/>
      <c r="L430" s="2"/>
      <c r="M430" s="2"/>
      <c r="N430" s="2"/>
      <c r="O430" s="2"/>
      <c r="P430" s="2"/>
      <c r="Q430" s="2"/>
      <c r="R430" s="2"/>
      <c r="S430" s="2"/>
      <c r="T430" s="2"/>
      <c r="U430" s="2"/>
      <c r="V430" s="2"/>
      <c r="W430" s="2"/>
      <c r="X430" s="2"/>
      <c r="Y430" s="2"/>
      <c r="Z430" s="2"/>
    </row>
    <row r="431" ht="22.5" customHeight="1">
      <c r="A431" s="7"/>
      <c r="B431" s="7"/>
      <c r="C431" s="7"/>
      <c r="D431" s="7"/>
      <c r="E431" s="7"/>
      <c r="F431" s="7"/>
      <c r="G431" s="7"/>
      <c r="H431" s="2"/>
      <c r="I431" s="62"/>
      <c r="J431" s="7"/>
      <c r="K431" s="2"/>
      <c r="L431" s="2"/>
      <c r="M431" s="2"/>
      <c r="N431" s="2"/>
      <c r="O431" s="2"/>
      <c r="P431" s="2"/>
      <c r="Q431" s="2"/>
      <c r="R431" s="2"/>
      <c r="S431" s="2"/>
      <c r="T431" s="2"/>
      <c r="U431" s="2"/>
      <c r="V431" s="2"/>
      <c r="W431" s="2"/>
      <c r="X431" s="2"/>
      <c r="Y431" s="2"/>
      <c r="Z431" s="2"/>
    </row>
    <row r="432" ht="22.5" customHeight="1">
      <c r="A432" s="7"/>
      <c r="B432" s="7"/>
      <c r="C432" s="7"/>
      <c r="D432" s="7"/>
      <c r="E432" s="7"/>
      <c r="F432" s="7"/>
      <c r="G432" s="7"/>
      <c r="H432" s="2"/>
      <c r="I432" s="62"/>
      <c r="J432" s="7"/>
      <c r="K432" s="2"/>
      <c r="L432" s="2"/>
      <c r="M432" s="2"/>
      <c r="N432" s="2"/>
      <c r="O432" s="2"/>
      <c r="P432" s="2"/>
      <c r="Q432" s="2"/>
      <c r="R432" s="2"/>
      <c r="S432" s="2"/>
      <c r="T432" s="2"/>
      <c r="U432" s="2"/>
      <c r="V432" s="2"/>
      <c r="W432" s="2"/>
      <c r="X432" s="2"/>
      <c r="Y432" s="2"/>
      <c r="Z432" s="2"/>
    </row>
    <row r="433" ht="22.5" customHeight="1">
      <c r="A433" s="7"/>
      <c r="B433" s="7"/>
      <c r="C433" s="7"/>
      <c r="D433" s="7"/>
      <c r="E433" s="7"/>
      <c r="F433" s="7"/>
      <c r="G433" s="7"/>
      <c r="H433" s="2"/>
      <c r="I433" s="62"/>
      <c r="J433" s="7"/>
      <c r="K433" s="2"/>
      <c r="L433" s="2"/>
      <c r="M433" s="2"/>
      <c r="N433" s="2"/>
      <c r="O433" s="2"/>
      <c r="P433" s="2"/>
      <c r="Q433" s="2"/>
      <c r="R433" s="2"/>
      <c r="S433" s="2"/>
      <c r="T433" s="2"/>
      <c r="U433" s="2"/>
      <c r="V433" s="2"/>
      <c r="W433" s="2"/>
      <c r="X433" s="2"/>
      <c r="Y433" s="2"/>
      <c r="Z433" s="2"/>
    </row>
    <row r="434" ht="22.5" customHeight="1">
      <c r="A434" s="7"/>
      <c r="B434" s="7"/>
      <c r="C434" s="7"/>
      <c r="D434" s="7"/>
      <c r="E434" s="7"/>
      <c r="F434" s="7"/>
      <c r="G434" s="7"/>
      <c r="H434" s="2"/>
      <c r="I434" s="62"/>
      <c r="J434" s="7"/>
      <c r="K434" s="2"/>
      <c r="L434" s="2"/>
      <c r="M434" s="2"/>
      <c r="N434" s="2"/>
      <c r="O434" s="2"/>
      <c r="P434" s="2"/>
      <c r="Q434" s="2"/>
      <c r="R434" s="2"/>
      <c r="S434" s="2"/>
      <c r="T434" s="2"/>
      <c r="U434" s="2"/>
      <c r="V434" s="2"/>
      <c r="W434" s="2"/>
      <c r="X434" s="2"/>
      <c r="Y434" s="2"/>
      <c r="Z434" s="2"/>
    </row>
    <row r="435" ht="22.5" customHeight="1">
      <c r="A435" s="7"/>
      <c r="B435" s="7"/>
      <c r="C435" s="7"/>
      <c r="D435" s="7"/>
      <c r="E435" s="7"/>
      <c r="F435" s="7"/>
      <c r="G435" s="7"/>
      <c r="H435" s="2"/>
      <c r="I435" s="62"/>
      <c r="J435" s="7"/>
      <c r="K435" s="2"/>
      <c r="L435" s="2"/>
      <c r="M435" s="2"/>
      <c r="N435" s="2"/>
      <c r="O435" s="2"/>
      <c r="P435" s="2"/>
      <c r="Q435" s="2"/>
      <c r="R435" s="2"/>
      <c r="S435" s="2"/>
      <c r="T435" s="2"/>
      <c r="U435" s="2"/>
      <c r="V435" s="2"/>
      <c r="W435" s="2"/>
      <c r="X435" s="2"/>
      <c r="Y435" s="2"/>
      <c r="Z435" s="2"/>
    </row>
    <row r="436" ht="22.5" customHeight="1">
      <c r="A436" s="7"/>
      <c r="B436" s="7"/>
      <c r="C436" s="7"/>
      <c r="D436" s="7"/>
      <c r="E436" s="7"/>
      <c r="F436" s="7"/>
      <c r="G436" s="7"/>
      <c r="H436" s="2"/>
      <c r="I436" s="62"/>
      <c r="J436" s="7"/>
      <c r="K436" s="2"/>
      <c r="L436" s="2"/>
      <c r="M436" s="2"/>
      <c r="N436" s="2"/>
      <c r="O436" s="2"/>
      <c r="P436" s="2"/>
      <c r="Q436" s="2"/>
      <c r="R436" s="2"/>
      <c r="S436" s="2"/>
      <c r="T436" s="2"/>
      <c r="U436" s="2"/>
      <c r="V436" s="2"/>
      <c r="W436" s="2"/>
      <c r="X436" s="2"/>
      <c r="Y436" s="2"/>
      <c r="Z436" s="2"/>
    </row>
    <row r="437" ht="22.5" customHeight="1">
      <c r="A437" s="7"/>
      <c r="B437" s="7"/>
      <c r="C437" s="7"/>
      <c r="D437" s="7"/>
      <c r="E437" s="7"/>
      <c r="F437" s="7"/>
      <c r="G437" s="7"/>
      <c r="H437" s="2"/>
      <c r="I437" s="62"/>
      <c r="J437" s="7"/>
      <c r="K437" s="2"/>
      <c r="L437" s="2"/>
      <c r="M437" s="2"/>
      <c r="N437" s="2"/>
      <c r="O437" s="2"/>
      <c r="P437" s="2"/>
      <c r="Q437" s="2"/>
      <c r="R437" s="2"/>
      <c r="S437" s="2"/>
      <c r="T437" s="2"/>
      <c r="U437" s="2"/>
      <c r="V437" s="2"/>
      <c r="W437" s="2"/>
      <c r="X437" s="2"/>
      <c r="Y437" s="2"/>
      <c r="Z437" s="2"/>
    </row>
    <row r="438" ht="22.5" customHeight="1">
      <c r="A438" s="7"/>
      <c r="B438" s="7"/>
      <c r="C438" s="7"/>
      <c r="D438" s="7"/>
      <c r="E438" s="7"/>
      <c r="F438" s="7"/>
      <c r="G438" s="7"/>
      <c r="H438" s="2"/>
      <c r="I438" s="62"/>
      <c r="J438" s="7"/>
      <c r="K438" s="2"/>
      <c r="L438" s="2"/>
      <c r="M438" s="2"/>
      <c r="N438" s="2"/>
      <c r="O438" s="2"/>
      <c r="P438" s="2"/>
      <c r="Q438" s="2"/>
      <c r="R438" s="2"/>
      <c r="S438" s="2"/>
      <c r="T438" s="2"/>
      <c r="U438" s="2"/>
      <c r="V438" s="2"/>
      <c r="W438" s="2"/>
      <c r="X438" s="2"/>
      <c r="Y438" s="2"/>
      <c r="Z438" s="2"/>
    </row>
    <row r="439" ht="22.5" customHeight="1">
      <c r="A439" s="7"/>
      <c r="B439" s="7"/>
      <c r="C439" s="7"/>
      <c r="D439" s="7"/>
      <c r="E439" s="7"/>
      <c r="F439" s="7"/>
      <c r="G439" s="7"/>
      <c r="H439" s="2"/>
      <c r="I439" s="62"/>
      <c r="J439" s="7"/>
      <c r="K439" s="2"/>
      <c r="L439" s="2"/>
      <c r="M439" s="2"/>
      <c r="N439" s="2"/>
      <c r="O439" s="2"/>
      <c r="P439" s="2"/>
      <c r="Q439" s="2"/>
      <c r="R439" s="2"/>
      <c r="S439" s="2"/>
      <c r="T439" s="2"/>
      <c r="U439" s="2"/>
      <c r="V439" s="2"/>
      <c r="W439" s="2"/>
      <c r="X439" s="2"/>
      <c r="Y439" s="2"/>
      <c r="Z439" s="2"/>
    </row>
    <row r="440" ht="22.5" customHeight="1">
      <c r="A440" s="7"/>
      <c r="B440" s="7"/>
      <c r="C440" s="7"/>
      <c r="D440" s="7"/>
      <c r="E440" s="7"/>
      <c r="F440" s="7"/>
      <c r="G440" s="7"/>
      <c r="H440" s="2"/>
      <c r="I440" s="62"/>
      <c r="J440" s="7"/>
      <c r="K440" s="2"/>
      <c r="L440" s="2"/>
      <c r="M440" s="2"/>
      <c r="N440" s="2"/>
      <c r="O440" s="2"/>
      <c r="P440" s="2"/>
      <c r="Q440" s="2"/>
      <c r="R440" s="2"/>
      <c r="S440" s="2"/>
      <c r="T440" s="2"/>
      <c r="U440" s="2"/>
      <c r="V440" s="2"/>
      <c r="W440" s="2"/>
      <c r="X440" s="2"/>
      <c r="Y440" s="2"/>
      <c r="Z440" s="2"/>
    </row>
    <row r="441" ht="22.5" customHeight="1">
      <c r="A441" s="7"/>
      <c r="B441" s="7"/>
      <c r="C441" s="7"/>
      <c r="D441" s="7"/>
      <c r="E441" s="7"/>
      <c r="F441" s="7"/>
      <c r="G441" s="7"/>
      <c r="H441" s="2"/>
      <c r="I441" s="62"/>
      <c r="J441" s="7"/>
      <c r="K441" s="2"/>
      <c r="L441" s="2"/>
      <c r="M441" s="2"/>
      <c r="N441" s="2"/>
      <c r="O441" s="2"/>
      <c r="P441" s="2"/>
      <c r="Q441" s="2"/>
      <c r="R441" s="2"/>
      <c r="S441" s="2"/>
      <c r="T441" s="2"/>
      <c r="U441" s="2"/>
      <c r="V441" s="2"/>
      <c r="W441" s="2"/>
      <c r="X441" s="2"/>
      <c r="Y441" s="2"/>
      <c r="Z441" s="2"/>
    </row>
    <row r="442" ht="22.5" customHeight="1">
      <c r="A442" s="7"/>
      <c r="B442" s="7"/>
      <c r="C442" s="7"/>
      <c r="D442" s="7"/>
      <c r="E442" s="7"/>
      <c r="F442" s="7"/>
      <c r="G442" s="7"/>
      <c r="H442" s="2"/>
      <c r="I442" s="62"/>
      <c r="J442" s="7"/>
      <c r="K442" s="2"/>
      <c r="L442" s="2"/>
      <c r="M442" s="2"/>
      <c r="N442" s="2"/>
      <c r="O442" s="2"/>
      <c r="P442" s="2"/>
      <c r="Q442" s="2"/>
      <c r="R442" s="2"/>
      <c r="S442" s="2"/>
      <c r="T442" s="2"/>
      <c r="U442" s="2"/>
      <c r="V442" s="2"/>
      <c r="W442" s="2"/>
      <c r="X442" s="2"/>
      <c r="Y442" s="2"/>
      <c r="Z442" s="2"/>
    </row>
    <row r="443" ht="22.5" customHeight="1">
      <c r="A443" s="7"/>
      <c r="B443" s="7"/>
      <c r="C443" s="7"/>
      <c r="D443" s="7"/>
      <c r="E443" s="7"/>
      <c r="F443" s="7"/>
      <c r="G443" s="7"/>
      <c r="H443" s="2"/>
      <c r="I443" s="62"/>
      <c r="J443" s="7"/>
      <c r="K443" s="2"/>
      <c r="L443" s="2"/>
      <c r="M443" s="2"/>
      <c r="N443" s="2"/>
      <c r="O443" s="2"/>
      <c r="P443" s="2"/>
      <c r="Q443" s="2"/>
      <c r="R443" s="2"/>
      <c r="S443" s="2"/>
      <c r="T443" s="2"/>
      <c r="U443" s="2"/>
      <c r="V443" s="2"/>
      <c r="W443" s="2"/>
      <c r="X443" s="2"/>
      <c r="Y443" s="2"/>
      <c r="Z443" s="2"/>
    </row>
    <row r="444" ht="22.5" customHeight="1">
      <c r="A444" s="7"/>
      <c r="B444" s="7"/>
      <c r="C444" s="7"/>
      <c r="D444" s="7"/>
      <c r="E444" s="7"/>
      <c r="F444" s="7"/>
      <c r="G444" s="7"/>
      <c r="H444" s="2"/>
      <c r="I444" s="62"/>
      <c r="J444" s="7"/>
      <c r="K444" s="2"/>
      <c r="L444" s="2"/>
      <c r="M444" s="2"/>
      <c r="N444" s="2"/>
      <c r="O444" s="2"/>
      <c r="P444" s="2"/>
      <c r="Q444" s="2"/>
      <c r="R444" s="2"/>
      <c r="S444" s="2"/>
      <c r="T444" s="2"/>
      <c r="U444" s="2"/>
      <c r="V444" s="2"/>
      <c r="W444" s="2"/>
      <c r="X444" s="2"/>
      <c r="Y444" s="2"/>
      <c r="Z444" s="2"/>
    </row>
    <row r="445" ht="22.5" customHeight="1">
      <c r="A445" s="7"/>
      <c r="B445" s="7"/>
      <c r="C445" s="7"/>
      <c r="D445" s="7"/>
      <c r="E445" s="7"/>
      <c r="F445" s="7"/>
      <c r="G445" s="7"/>
      <c r="H445" s="2"/>
      <c r="I445" s="62"/>
      <c r="J445" s="7"/>
      <c r="K445" s="2"/>
      <c r="L445" s="2"/>
      <c r="M445" s="2"/>
      <c r="N445" s="2"/>
      <c r="O445" s="2"/>
      <c r="P445" s="2"/>
      <c r="Q445" s="2"/>
      <c r="R445" s="2"/>
      <c r="S445" s="2"/>
      <c r="T445" s="2"/>
      <c r="U445" s="2"/>
      <c r="V445" s="2"/>
      <c r="W445" s="2"/>
      <c r="X445" s="2"/>
      <c r="Y445" s="2"/>
      <c r="Z445" s="2"/>
    </row>
    <row r="446" ht="22.5" customHeight="1">
      <c r="A446" s="7"/>
      <c r="B446" s="7"/>
      <c r="C446" s="7"/>
      <c r="D446" s="7"/>
      <c r="E446" s="7"/>
      <c r="F446" s="7"/>
      <c r="G446" s="7"/>
      <c r="H446" s="2"/>
      <c r="I446" s="62"/>
      <c r="J446" s="7"/>
      <c r="K446" s="2"/>
      <c r="L446" s="2"/>
      <c r="M446" s="2"/>
      <c r="N446" s="2"/>
      <c r="O446" s="2"/>
      <c r="P446" s="2"/>
      <c r="Q446" s="2"/>
      <c r="R446" s="2"/>
      <c r="S446" s="2"/>
      <c r="T446" s="2"/>
      <c r="U446" s="2"/>
      <c r="V446" s="2"/>
      <c r="W446" s="2"/>
      <c r="X446" s="2"/>
      <c r="Y446" s="2"/>
      <c r="Z446" s="2"/>
    </row>
    <row r="447" ht="22.5" customHeight="1">
      <c r="A447" s="7"/>
      <c r="B447" s="7"/>
      <c r="C447" s="7"/>
      <c r="D447" s="7"/>
      <c r="E447" s="7"/>
      <c r="F447" s="7"/>
      <c r="G447" s="7"/>
      <c r="H447" s="2"/>
      <c r="I447" s="62"/>
      <c r="J447" s="7"/>
      <c r="K447" s="2"/>
      <c r="L447" s="2"/>
      <c r="M447" s="2"/>
      <c r="N447" s="2"/>
      <c r="O447" s="2"/>
      <c r="P447" s="2"/>
      <c r="Q447" s="2"/>
      <c r="R447" s="2"/>
      <c r="S447" s="2"/>
      <c r="T447" s="2"/>
      <c r="U447" s="2"/>
      <c r="V447" s="2"/>
      <c r="W447" s="2"/>
      <c r="X447" s="2"/>
      <c r="Y447" s="2"/>
      <c r="Z447" s="2"/>
    </row>
    <row r="448" ht="22.5" customHeight="1">
      <c r="A448" s="7"/>
      <c r="B448" s="7"/>
      <c r="C448" s="7"/>
      <c r="D448" s="7"/>
      <c r="E448" s="7"/>
      <c r="F448" s="7"/>
      <c r="G448" s="7"/>
      <c r="H448" s="2"/>
      <c r="I448" s="62"/>
      <c r="J448" s="7"/>
      <c r="K448" s="2"/>
      <c r="L448" s="2"/>
      <c r="M448" s="2"/>
      <c r="N448" s="2"/>
      <c r="O448" s="2"/>
      <c r="P448" s="2"/>
      <c r="Q448" s="2"/>
      <c r="R448" s="2"/>
      <c r="S448" s="2"/>
      <c r="T448" s="2"/>
      <c r="U448" s="2"/>
      <c r="V448" s="2"/>
      <c r="W448" s="2"/>
      <c r="X448" s="2"/>
      <c r="Y448" s="2"/>
      <c r="Z448" s="2"/>
    </row>
    <row r="449" ht="22.5" customHeight="1">
      <c r="A449" s="7"/>
      <c r="B449" s="7"/>
      <c r="C449" s="7"/>
      <c r="D449" s="7"/>
      <c r="E449" s="7"/>
      <c r="F449" s="7"/>
      <c r="G449" s="7"/>
      <c r="H449" s="2"/>
      <c r="I449" s="62"/>
      <c r="J449" s="7"/>
      <c r="K449" s="2"/>
      <c r="L449" s="2"/>
      <c r="M449" s="2"/>
      <c r="N449" s="2"/>
      <c r="O449" s="2"/>
      <c r="P449" s="2"/>
      <c r="Q449" s="2"/>
      <c r="R449" s="2"/>
      <c r="S449" s="2"/>
      <c r="T449" s="2"/>
      <c r="U449" s="2"/>
      <c r="V449" s="2"/>
      <c r="W449" s="2"/>
      <c r="X449" s="2"/>
      <c r="Y449" s="2"/>
      <c r="Z449" s="2"/>
    </row>
    <row r="450" ht="22.5" customHeight="1">
      <c r="A450" s="7"/>
      <c r="B450" s="7"/>
      <c r="C450" s="7"/>
      <c r="D450" s="7"/>
      <c r="E450" s="7"/>
      <c r="F450" s="7"/>
      <c r="G450" s="7"/>
      <c r="H450" s="2"/>
      <c r="I450" s="62"/>
      <c r="J450" s="7"/>
      <c r="K450" s="2"/>
      <c r="L450" s="2"/>
      <c r="M450" s="2"/>
      <c r="N450" s="2"/>
      <c r="O450" s="2"/>
      <c r="P450" s="2"/>
      <c r="Q450" s="2"/>
      <c r="R450" s="2"/>
      <c r="S450" s="2"/>
      <c r="T450" s="2"/>
      <c r="U450" s="2"/>
      <c r="V450" s="2"/>
      <c r="W450" s="2"/>
      <c r="X450" s="2"/>
      <c r="Y450" s="2"/>
      <c r="Z450" s="2"/>
    </row>
    <row r="451" ht="22.5" customHeight="1">
      <c r="A451" s="7"/>
      <c r="B451" s="7"/>
      <c r="C451" s="7"/>
      <c r="D451" s="7"/>
      <c r="E451" s="7"/>
      <c r="F451" s="7"/>
      <c r="G451" s="7"/>
      <c r="H451" s="2"/>
      <c r="I451" s="62"/>
      <c r="J451" s="7"/>
      <c r="K451" s="2"/>
      <c r="L451" s="2"/>
      <c r="M451" s="2"/>
      <c r="N451" s="2"/>
      <c r="O451" s="2"/>
      <c r="P451" s="2"/>
      <c r="Q451" s="2"/>
      <c r="R451" s="2"/>
      <c r="S451" s="2"/>
      <c r="T451" s="2"/>
      <c r="U451" s="2"/>
      <c r="V451" s="2"/>
      <c r="W451" s="2"/>
      <c r="X451" s="2"/>
      <c r="Y451" s="2"/>
      <c r="Z451" s="2"/>
    </row>
    <row r="452" ht="22.5" customHeight="1">
      <c r="A452" s="7"/>
      <c r="B452" s="7"/>
      <c r="C452" s="7"/>
      <c r="D452" s="7"/>
      <c r="E452" s="7"/>
      <c r="F452" s="7"/>
      <c r="G452" s="7"/>
      <c r="H452" s="2"/>
      <c r="I452" s="62"/>
      <c r="J452" s="7"/>
      <c r="K452" s="2"/>
      <c r="L452" s="2"/>
      <c r="M452" s="2"/>
      <c r="N452" s="2"/>
      <c r="O452" s="2"/>
      <c r="P452" s="2"/>
      <c r="Q452" s="2"/>
      <c r="R452" s="2"/>
      <c r="S452" s="2"/>
      <c r="T452" s="2"/>
      <c r="U452" s="2"/>
      <c r="V452" s="2"/>
      <c r="W452" s="2"/>
      <c r="X452" s="2"/>
      <c r="Y452" s="2"/>
      <c r="Z452" s="2"/>
    </row>
    <row r="453" ht="22.5" customHeight="1">
      <c r="A453" s="7"/>
      <c r="B453" s="7"/>
      <c r="C453" s="7"/>
      <c r="D453" s="7"/>
      <c r="E453" s="7"/>
      <c r="F453" s="7"/>
      <c r="G453" s="7"/>
      <c r="H453" s="2"/>
      <c r="I453" s="62"/>
      <c r="J453" s="7"/>
      <c r="K453" s="2"/>
      <c r="L453" s="2"/>
      <c r="M453" s="2"/>
      <c r="N453" s="2"/>
      <c r="O453" s="2"/>
      <c r="P453" s="2"/>
      <c r="Q453" s="2"/>
      <c r="R453" s="2"/>
      <c r="S453" s="2"/>
      <c r="T453" s="2"/>
      <c r="U453" s="2"/>
      <c r="V453" s="2"/>
      <c r="W453" s="2"/>
      <c r="X453" s="2"/>
      <c r="Y453" s="2"/>
      <c r="Z453" s="2"/>
    </row>
    <row r="454" ht="22.5" customHeight="1">
      <c r="A454" s="7"/>
      <c r="B454" s="7"/>
      <c r="C454" s="7"/>
      <c r="D454" s="7"/>
      <c r="E454" s="7"/>
      <c r="F454" s="7"/>
      <c r="G454" s="7"/>
      <c r="H454" s="2"/>
      <c r="I454" s="62"/>
      <c r="J454" s="7"/>
      <c r="K454" s="2"/>
      <c r="L454" s="2"/>
      <c r="M454" s="2"/>
      <c r="N454" s="2"/>
      <c r="O454" s="2"/>
      <c r="P454" s="2"/>
      <c r="Q454" s="2"/>
      <c r="R454" s="2"/>
      <c r="S454" s="2"/>
      <c r="T454" s="2"/>
      <c r="U454" s="2"/>
      <c r="V454" s="2"/>
      <c r="W454" s="2"/>
      <c r="X454" s="2"/>
      <c r="Y454" s="2"/>
      <c r="Z454" s="2"/>
    </row>
    <row r="455" ht="22.5" customHeight="1">
      <c r="A455" s="7"/>
      <c r="B455" s="7"/>
      <c r="C455" s="7"/>
      <c r="D455" s="7"/>
      <c r="E455" s="7"/>
      <c r="F455" s="7"/>
      <c r="G455" s="7"/>
      <c r="H455" s="2"/>
      <c r="I455" s="62"/>
      <c r="J455" s="7"/>
      <c r="K455" s="2"/>
      <c r="L455" s="2"/>
      <c r="M455" s="2"/>
      <c r="N455" s="2"/>
      <c r="O455" s="2"/>
      <c r="P455" s="2"/>
      <c r="Q455" s="2"/>
      <c r="R455" s="2"/>
      <c r="S455" s="2"/>
      <c r="T455" s="2"/>
      <c r="U455" s="2"/>
      <c r="V455" s="2"/>
      <c r="W455" s="2"/>
      <c r="X455" s="2"/>
      <c r="Y455" s="2"/>
      <c r="Z455" s="2"/>
    </row>
    <row r="456" ht="22.5" customHeight="1">
      <c r="A456" s="7"/>
      <c r="B456" s="7"/>
      <c r="C456" s="7"/>
      <c r="D456" s="7"/>
      <c r="E456" s="7"/>
      <c r="F456" s="7"/>
      <c r="G456" s="7"/>
      <c r="H456" s="2"/>
      <c r="I456" s="62"/>
      <c r="J456" s="7"/>
      <c r="K456" s="2"/>
      <c r="L456" s="2"/>
      <c r="M456" s="2"/>
      <c r="N456" s="2"/>
      <c r="O456" s="2"/>
      <c r="P456" s="2"/>
      <c r="Q456" s="2"/>
      <c r="R456" s="2"/>
      <c r="S456" s="2"/>
      <c r="T456" s="2"/>
      <c r="U456" s="2"/>
      <c r="V456" s="2"/>
      <c r="W456" s="2"/>
      <c r="X456" s="2"/>
      <c r="Y456" s="2"/>
      <c r="Z456" s="2"/>
    </row>
    <row r="457" ht="22.5" customHeight="1">
      <c r="A457" s="7"/>
      <c r="B457" s="7"/>
      <c r="C457" s="7"/>
      <c r="D457" s="7"/>
      <c r="E457" s="7"/>
      <c r="F457" s="7"/>
      <c r="G457" s="7"/>
      <c r="H457" s="2"/>
      <c r="I457" s="62"/>
      <c r="J457" s="7"/>
      <c r="K457" s="2"/>
      <c r="L457" s="2"/>
      <c r="M457" s="2"/>
      <c r="N457" s="2"/>
      <c r="O457" s="2"/>
      <c r="P457" s="2"/>
      <c r="Q457" s="2"/>
      <c r="R457" s="2"/>
      <c r="S457" s="2"/>
      <c r="T457" s="2"/>
      <c r="U457" s="2"/>
      <c r="V457" s="2"/>
      <c r="W457" s="2"/>
      <c r="X457" s="2"/>
      <c r="Y457" s="2"/>
      <c r="Z457" s="2"/>
    </row>
    <row r="458" ht="22.5" customHeight="1">
      <c r="A458" s="7"/>
      <c r="B458" s="7"/>
      <c r="C458" s="7"/>
      <c r="D458" s="7"/>
      <c r="E458" s="7"/>
      <c r="F458" s="7"/>
      <c r="G458" s="7"/>
      <c r="H458" s="2"/>
      <c r="I458" s="62"/>
      <c r="J458" s="7"/>
      <c r="K458" s="2"/>
      <c r="L458" s="2"/>
      <c r="M458" s="2"/>
      <c r="N458" s="2"/>
      <c r="O458" s="2"/>
      <c r="P458" s="2"/>
      <c r="Q458" s="2"/>
      <c r="R458" s="2"/>
      <c r="S458" s="2"/>
      <c r="T458" s="2"/>
      <c r="U458" s="2"/>
      <c r="V458" s="2"/>
      <c r="W458" s="2"/>
      <c r="X458" s="2"/>
      <c r="Y458" s="2"/>
      <c r="Z458" s="2"/>
    </row>
    <row r="459" ht="22.5" customHeight="1">
      <c r="A459" s="7"/>
      <c r="B459" s="7"/>
      <c r="C459" s="7"/>
      <c r="D459" s="7"/>
      <c r="E459" s="7"/>
      <c r="F459" s="7"/>
      <c r="G459" s="7"/>
      <c r="H459" s="2"/>
      <c r="I459" s="62"/>
      <c r="J459" s="7"/>
      <c r="K459" s="2"/>
      <c r="L459" s="2"/>
      <c r="M459" s="2"/>
      <c r="N459" s="2"/>
      <c r="O459" s="2"/>
      <c r="P459" s="2"/>
      <c r="Q459" s="2"/>
      <c r="R459" s="2"/>
      <c r="S459" s="2"/>
      <c r="T459" s="2"/>
      <c r="U459" s="2"/>
      <c r="V459" s="2"/>
      <c r="W459" s="2"/>
      <c r="X459" s="2"/>
      <c r="Y459" s="2"/>
      <c r="Z459" s="2"/>
    </row>
    <row r="460" ht="22.5" customHeight="1">
      <c r="A460" s="7"/>
      <c r="B460" s="7"/>
      <c r="C460" s="7"/>
      <c r="D460" s="7"/>
      <c r="E460" s="7"/>
      <c r="F460" s="7"/>
      <c r="G460" s="7"/>
      <c r="H460" s="2"/>
      <c r="I460" s="62"/>
      <c r="J460" s="7"/>
      <c r="K460" s="2"/>
      <c r="L460" s="2"/>
      <c r="M460" s="2"/>
      <c r="N460" s="2"/>
      <c r="O460" s="2"/>
      <c r="P460" s="2"/>
      <c r="Q460" s="2"/>
      <c r="R460" s="2"/>
      <c r="S460" s="2"/>
      <c r="T460" s="2"/>
      <c r="U460" s="2"/>
      <c r="V460" s="2"/>
      <c r="W460" s="2"/>
      <c r="X460" s="2"/>
      <c r="Y460" s="2"/>
      <c r="Z460" s="2"/>
    </row>
    <row r="461" ht="22.5" customHeight="1">
      <c r="A461" s="7"/>
      <c r="B461" s="7"/>
      <c r="C461" s="7"/>
      <c r="D461" s="7"/>
      <c r="E461" s="7"/>
      <c r="F461" s="7"/>
      <c r="G461" s="7"/>
      <c r="H461" s="2"/>
      <c r="I461" s="62"/>
      <c r="J461" s="7"/>
      <c r="K461" s="2"/>
      <c r="L461" s="2"/>
      <c r="M461" s="2"/>
      <c r="N461" s="2"/>
      <c r="O461" s="2"/>
      <c r="P461" s="2"/>
      <c r="Q461" s="2"/>
      <c r="R461" s="2"/>
      <c r="S461" s="2"/>
      <c r="T461" s="2"/>
      <c r="U461" s="2"/>
      <c r="V461" s="2"/>
      <c r="W461" s="2"/>
      <c r="X461" s="2"/>
      <c r="Y461" s="2"/>
      <c r="Z461" s="2"/>
    </row>
    <row r="462" ht="22.5" customHeight="1">
      <c r="A462" s="7"/>
      <c r="B462" s="7"/>
      <c r="C462" s="7"/>
      <c r="D462" s="7"/>
      <c r="E462" s="7"/>
      <c r="F462" s="7"/>
      <c r="G462" s="7"/>
      <c r="H462" s="2"/>
      <c r="I462" s="62"/>
      <c r="J462" s="7"/>
      <c r="K462" s="2"/>
      <c r="L462" s="2"/>
      <c r="M462" s="2"/>
      <c r="N462" s="2"/>
      <c r="O462" s="2"/>
      <c r="P462" s="2"/>
      <c r="Q462" s="2"/>
      <c r="R462" s="2"/>
      <c r="S462" s="2"/>
      <c r="T462" s="2"/>
      <c r="U462" s="2"/>
      <c r="V462" s="2"/>
      <c r="W462" s="2"/>
      <c r="X462" s="2"/>
      <c r="Y462" s="2"/>
      <c r="Z462" s="2"/>
    </row>
    <row r="463" ht="22.5" customHeight="1">
      <c r="A463" s="7"/>
      <c r="B463" s="7"/>
      <c r="C463" s="7"/>
      <c r="D463" s="7"/>
      <c r="E463" s="7"/>
      <c r="F463" s="7"/>
      <c r="G463" s="7"/>
      <c r="H463" s="2"/>
      <c r="I463" s="62"/>
      <c r="J463" s="7"/>
      <c r="K463" s="2"/>
      <c r="L463" s="2"/>
      <c r="M463" s="2"/>
      <c r="N463" s="2"/>
      <c r="O463" s="2"/>
      <c r="P463" s="2"/>
      <c r="Q463" s="2"/>
      <c r="R463" s="2"/>
      <c r="S463" s="2"/>
      <c r="T463" s="2"/>
      <c r="U463" s="2"/>
      <c r="V463" s="2"/>
      <c r="W463" s="2"/>
      <c r="X463" s="2"/>
      <c r="Y463" s="2"/>
      <c r="Z463" s="2"/>
    </row>
    <row r="464" ht="22.5" customHeight="1">
      <c r="A464" s="7"/>
      <c r="B464" s="7"/>
      <c r="C464" s="7"/>
      <c r="D464" s="7"/>
      <c r="E464" s="7"/>
      <c r="F464" s="7"/>
      <c r="G464" s="7"/>
      <c r="H464" s="2"/>
      <c r="I464" s="62"/>
      <c r="J464" s="7"/>
      <c r="K464" s="2"/>
      <c r="L464" s="2"/>
      <c r="M464" s="2"/>
      <c r="N464" s="2"/>
      <c r="O464" s="2"/>
      <c r="P464" s="2"/>
      <c r="Q464" s="2"/>
      <c r="R464" s="2"/>
      <c r="S464" s="2"/>
      <c r="T464" s="2"/>
      <c r="U464" s="2"/>
      <c r="V464" s="2"/>
      <c r="W464" s="2"/>
      <c r="X464" s="2"/>
      <c r="Y464" s="2"/>
      <c r="Z464" s="2"/>
    </row>
    <row r="465" ht="22.5" customHeight="1">
      <c r="A465" s="7"/>
      <c r="B465" s="7"/>
      <c r="C465" s="7"/>
      <c r="D465" s="7"/>
      <c r="E465" s="7"/>
      <c r="F465" s="7"/>
      <c r="G465" s="7"/>
      <c r="H465" s="2"/>
      <c r="I465" s="62"/>
      <c r="J465" s="7"/>
      <c r="K465" s="2"/>
      <c r="L465" s="2"/>
      <c r="M465" s="2"/>
      <c r="N465" s="2"/>
      <c r="O465" s="2"/>
      <c r="P465" s="2"/>
      <c r="Q465" s="2"/>
      <c r="R465" s="2"/>
      <c r="S465" s="2"/>
      <c r="T465" s="2"/>
      <c r="U465" s="2"/>
      <c r="V465" s="2"/>
      <c r="W465" s="2"/>
      <c r="X465" s="2"/>
      <c r="Y465" s="2"/>
      <c r="Z465" s="2"/>
    </row>
    <row r="466" ht="22.5" customHeight="1">
      <c r="A466" s="7"/>
      <c r="B466" s="7"/>
      <c r="C466" s="7"/>
      <c r="D466" s="7"/>
      <c r="E466" s="7"/>
      <c r="F466" s="7"/>
      <c r="G466" s="7"/>
      <c r="H466" s="2"/>
      <c r="I466" s="62"/>
      <c r="J466" s="7"/>
      <c r="K466" s="2"/>
      <c r="L466" s="2"/>
      <c r="M466" s="2"/>
      <c r="N466" s="2"/>
      <c r="O466" s="2"/>
      <c r="P466" s="2"/>
      <c r="Q466" s="2"/>
      <c r="R466" s="2"/>
      <c r="S466" s="2"/>
      <c r="T466" s="2"/>
      <c r="U466" s="2"/>
      <c r="V466" s="2"/>
      <c r="W466" s="2"/>
      <c r="X466" s="2"/>
      <c r="Y466" s="2"/>
      <c r="Z466" s="2"/>
    </row>
    <row r="467" ht="22.5" customHeight="1">
      <c r="A467" s="7"/>
      <c r="B467" s="7"/>
      <c r="C467" s="7"/>
      <c r="D467" s="7"/>
      <c r="E467" s="7"/>
      <c r="F467" s="7"/>
      <c r="G467" s="7"/>
      <c r="H467" s="2"/>
      <c r="I467" s="62"/>
      <c r="J467" s="7"/>
      <c r="K467" s="2"/>
      <c r="L467" s="2"/>
      <c r="M467" s="2"/>
      <c r="N467" s="2"/>
      <c r="O467" s="2"/>
      <c r="P467" s="2"/>
      <c r="Q467" s="2"/>
      <c r="R467" s="2"/>
      <c r="S467" s="2"/>
      <c r="T467" s="2"/>
      <c r="U467" s="2"/>
      <c r="V467" s="2"/>
      <c r="W467" s="2"/>
      <c r="X467" s="2"/>
      <c r="Y467" s="2"/>
      <c r="Z467" s="2"/>
    </row>
    <row r="468" ht="22.5" customHeight="1">
      <c r="A468" s="7"/>
      <c r="B468" s="7"/>
      <c r="C468" s="7"/>
      <c r="D468" s="7"/>
      <c r="E468" s="7"/>
      <c r="F468" s="7"/>
      <c r="G468" s="7"/>
      <c r="H468" s="2"/>
      <c r="I468" s="62"/>
      <c r="J468" s="7"/>
      <c r="K468" s="2"/>
      <c r="L468" s="2"/>
      <c r="M468" s="2"/>
      <c r="N468" s="2"/>
      <c r="O468" s="2"/>
      <c r="P468" s="2"/>
      <c r="Q468" s="2"/>
      <c r="R468" s="2"/>
      <c r="S468" s="2"/>
      <c r="T468" s="2"/>
      <c r="U468" s="2"/>
      <c r="V468" s="2"/>
      <c r="W468" s="2"/>
      <c r="X468" s="2"/>
      <c r="Y468" s="2"/>
      <c r="Z468" s="2"/>
    </row>
    <row r="469" ht="22.5" customHeight="1">
      <c r="A469" s="7"/>
      <c r="B469" s="7"/>
      <c r="C469" s="7"/>
      <c r="D469" s="7"/>
      <c r="E469" s="7"/>
      <c r="F469" s="7"/>
      <c r="G469" s="7"/>
      <c r="H469" s="2"/>
      <c r="I469" s="62"/>
      <c r="J469" s="7"/>
      <c r="K469" s="2"/>
      <c r="L469" s="2"/>
      <c r="M469" s="2"/>
      <c r="N469" s="2"/>
      <c r="O469" s="2"/>
      <c r="P469" s="2"/>
      <c r="Q469" s="2"/>
      <c r="R469" s="2"/>
      <c r="S469" s="2"/>
      <c r="T469" s="2"/>
      <c r="U469" s="2"/>
      <c r="V469" s="2"/>
      <c r="W469" s="2"/>
      <c r="X469" s="2"/>
      <c r="Y469" s="2"/>
      <c r="Z469" s="2"/>
    </row>
    <row r="470" ht="22.5" customHeight="1">
      <c r="A470" s="7"/>
      <c r="B470" s="7"/>
      <c r="C470" s="7"/>
      <c r="D470" s="7"/>
      <c r="E470" s="7"/>
      <c r="F470" s="7"/>
      <c r="G470" s="7"/>
      <c r="H470" s="2"/>
      <c r="I470" s="62"/>
      <c r="J470" s="7"/>
      <c r="K470" s="2"/>
      <c r="L470" s="2"/>
      <c r="M470" s="2"/>
      <c r="N470" s="2"/>
      <c r="O470" s="2"/>
      <c r="P470" s="2"/>
      <c r="Q470" s="2"/>
      <c r="R470" s="2"/>
      <c r="S470" s="2"/>
      <c r="T470" s="2"/>
      <c r="U470" s="2"/>
      <c r="V470" s="2"/>
      <c r="W470" s="2"/>
      <c r="X470" s="2"/>
      <c r="Y470" s="2"/>
      <c r="Z470" s="2"/>
    </row>
    <row r="471" ht="22.5" customHeight="1">
      <c r="A471" s="7"/>
      <c r="B471" s="7"/>
      <c r="C471" s="7"/>
      <c r="D471" s="7"/>
      <c r="E471" s="7"/>
      <c r="F471" s="7"/>
      <c r="G471" s="7"/>
      <c r="H471" s="2"/>
      <c r="I471" s="62"/>
      <c r="J471" s="7"/>
      <c r="K471" s="2"/>
      <c r="L471" s="2"/>
      <c r="M471" s="2"/>
      <c r="N471" s="2"/>
      <c r="O471" s="2"/>
      <c r="P471" s="2"/>
      <c r="Q471" s="2"/>
      <c r="R471" s="2"/>
      <c r="S471" s="2"/>
      <c r="T471" s="2"/>
      <c r="U471" s="2"/>
      <c r="V471" s="2"/>
      <c r="W471" s="2"/>
      <c r="X471" s="2"/>
      <c r="Y471" s="2"/>
      <c r="Z471" s="2"/>
    </row>
    <row r="472" ht="22.5" customHeight="1">
      <c r="A472" s="7"/>
      <c r="B472" s="7"/>
      <c r="C472" s="7"/>
      <c r="D472" s="7"/>
      <c r="E472" s="7"/>
      <c r="F472" s="7"/>
      <c r="G472" s="7"/>
      <c r="H472" s="2"/>
      <c r="I472" s="62"/>
      <c r="J472" s="7"/>
      <c r="K472" s="2"/>
      <c r="L472" s="2"/>
      <c r="M472" s="2"/>
      <c r="N472" s="2"/>
      <c r="O472" s="2"/>
      <c r="P472" s="2"/>
      <c r="Q472" s="2"/>
      <c r="R472" s="2"/>
      <c r="S472" s="2"/>
      <c r="T472" s="2"/>
      <c r="U472" s="2"/>
      <c r="V472" s="2"/>
      <c r="W472" s="2"/>
      <c r="X472" s="2"/>
      <c r="Y472" s="2"/>
      <c r="Z472" s="2"/>
    </row>
    <row r="473" ht="22.5" customHeight="1">
      <c r="A473" s="7"/>
      <c r="B473" s="7"/>
      <c r="C473" s="7"/>
      <c r="D473" s="7"/>
      <c r="E473" s="7"/>
      <c r="F473" s="7"/>
      <c r="G473" s="7"/>
      <c r="H473" s="2"/>
      <c r="I473" s="62"/>
      <c r="J473" s="7"/>
      <c r="K473" s="2"/>
      <c r="L473" s="2"/>
      <c r="M473" s="2"/>
      <c r="N473" s="2"/>
      <c r="O473" s="2"/>
      <c r="P473" s="2"/>
      <c r="Q473" s="2"/>
      <c r="R473" s="2"/>
      <c r="S473" s="2"/>
      <c r="T473" s="2"/>
      <c r="U473" s="2"/>
      <c r="V473" s="2"/>
      <c r="W473" s="2"/>
      <c r="X473" s="2"/>
      <c r="Y473" s="2"/>
      <c r="Z473" s="2"/>
    </row>
    <row r="474" ht="22.5" customHeight="1">
      <c r="A474" s="7"/>
      <c r="B474" s="7"/>
      <c r="C474" s="7"/>
      <c r="D474" s="7"/>
      <c r="E474" s="7"/>
      <c r="F474" s="7"/>
      <c r="G474" s="7"/>
      <c r="H474" s="2"/>
      <c r="I474" s="62"/>
      <c r="J474" s="7"/>
      <c r="K474" s="2"/>
      <c r="L474" s="2"/>
      <c r="M474" s="2"/>
      <c r="N474" s="2"/>
      <c r="O474" s="2"/>
      <c r="P474" s="2"/>
      <c r="Q474" s="2"/>
      <c r="R474" s="2"/>
      <c r="S474" s="2"/>
      <c r="T474" s="2"/>
      <c r="U474" s="2"/>
      <c r="V474" s="2"/>
      <c r="W474" s="2"/>
      <c r="X474" s="2"/>
      <c r="Y474" s="2"/>
      <c r="Z474" s="2"/>
    </row>
    <row r="475" ht="22.5" customHeight="1">
      <c r="A475" s="7"/>
      <c r="B475" s="7"/>
      <c r="C475" s="7"/>
      <c r="D475" s="7"/>
      <c r="E475" s="7"/>
      <c r="F475" s="7"/>
      <c r="G475" s="7"/>
      <c r="H475" s="2"/>
      <c r="I475" s="62"/>
      <c r="J475" s="7"/>
      <c r="K475" s="2"/>
      <c r="L475" s="2"/>
      <c r="M475" s="2"/>
      <c r="N475" s="2"/>
      <c r="O475" s="2"/>
      <c r="P475" s="2"/>
      <c r="Q475" s="2"/>
      <c r="R475" s="2"/>
      <c r="S475" s="2"/>
      <c r="T475" s="2"/>
      <c r="U475" s="2"/>
      <c r="V475" s="2"/>
      <c r="W475" s="2"/>
      <c r="X475" s="2"/>
      <c r="Y475" s="2"/>
      <c r="Z475" s="2"/>
    </row>
    <row r="476" ht="22.5" customHeight="1">
      <c r="A476" s="7"/>
      <c r="B476" s="7"/>
      <c r="C476" s="7"/>
      <c r="D476" s="7"/>
      <c r="E476" s="7"/>
      <c r="F476" s="7"/>
      <c r="G476" s="7"/>
      <c r="H476" s="2"/>
      <c r="I476" s="62"/>
      <c r="J476" s="7"/>
      <c r="K476" s="2"/>
      <c r="L476" s="2"/>
      <c r="M476" s="2"/>
      <c r="N476" s="2"/>
      <c r="O476" s="2"/>
      <c r="P476" s="2"/>
      <c r="Q476" s="2"/>
      <c r="R476" s="2"/>
      <c r="S476" s="2"/>
      <c r="T476" s="2"/>
      <c r="U476" s="2"/>
      <c r="V476" s="2"/>
      <c r="W476" s="2"/>
      <c r="X476" s="2"/>
      <c r="Y476" s="2"/>
      <c r="Z476" s="2"/>
    </row>
    <row r="477" ht="22.5" customHeight="1">
      <c r="A477" s="7"/>
      <c r="B477" s="7"/>
      <c r="C477" s="7"/>
      <c r="D477" s="7"/>
      <c r="E477" s="7"/>
      <c r="F477" s="7"/>
      <c r="G477" s="7"/>
      <c r="H477" s="2"/>
      <c r="I477" s="62"/>
      <c r="J477" s="7"/>
      <c r="K477" s="2"/>
      <c r="L477" s="2"/>
      <c r="M477" s="2"/>
      <c r="N477" s="2"/>
      <c r="O477" s="2"/>
      <c r="P477" s="2"/>
      <c r="Q477" s="2"/>
      <c r="R477" s="2"/>
      <c r="S477" s="2"/>
      <c r="T477" s="2"/>
      <c r="U477" s="2"/>
      <c r="V477" s="2"/>
      <c r="W477" s="2"/>
      <c r="X477" s="2"/>
      <c r="Y477" s="2"/>
      <c r="Z477" s="2"/>
    </row>
    <row r="478" ht="22.5" customHeight="1">
      <c r="A478" s="7"/>
      <c r="B478" s="7"/>
      <c r="C478" s="7"/>
      <c r="D478" s="7"/>
      <c r="E478" s="7"/>
      <c r="F478" s="7"/>
      <c r="G478" s="7"/>
      <c r="H478" s="2"/>
      <c r="I478" s="62"/>
      <c r="J478" s="7"/>
      <c r="K478" s="2"/>
      <c r="L478" s="2"/>
      <c r="M478" s="2"/>
      <c r="N478" s="2"/>
      <c r="O478" s="2"/>
      <c r="P478" s="2"/>
      <c r="Q478" s="2"/>
      <c r="R478" s="2"/>
      <c r="S478" s="2"/>
      <c r="T478" s="2"/>
      <c r="U478" s="2"/>
      <c r="V478" s="2"/>
      <c r="W478" s="2"/>
      <c r="X478" s="2"/>
      <c r="Y478" s="2"/>
      <c r="Z478" s="2"/>
    </row>
    <row r="479" ht="22.5" customHeight="1">
      <c r="A479" s="7"/>
      <c r="B479" s="7"/>
      <c r="C479" s="7"/>
      <c r="D479" s="7"/>
      <c r="E479" s="7"/>
      <c r="F479" s="7"/>
      <c r="G479" s="7"/>
      <c r="H479" s="2"/>
      <c r="I479" s="62"/>
      <c r="J479" s="7"/>
      <c r="K479" s="2"/>
      <c r="L479" s="2"/>
      <c r="M479" s="2"/>
      <c r="N479" s="2"/>
      <c r="O479" s="2"/>
      <c r="P479" s="2"/>
      <c r="Q479" s="2"/>
      <c r="R479" s="2"/>
      <c r="S479" s="2"/>
      <c r="T479" s="2"/>
      <c r="U479" s="2"/>
      <c r="V479" s="2"/>
      <c r="W479" s="2"/>
      <c r="X479" s="2"/>
      <c r="Y479" s="2"/>
      <c r="Z479" s="2"/>
    </row>
    <row r="480" ht="22.5" customHeight="1">
      <c r="A480" s="7"/>
      <c r="B480" s="7"/>
      <c r="C480" s="7"/>
      <c r="D480" s="7"/>
      <c r="E480" s="7"/>
      <c r="F480" s="7"/>
      <c r="G480" s="7"/>
      <c r="H480" s="2"/>
      <c r="I480" s="62"/>
      <c r="J480" s="7"/>
      <c r="K480" s="2"/>
      <c r="L480" s="2"/>
      <c r="M480" s="2"/>
      <c r="N480" s="2"/>
      <c r="O480" s="2"/>
      <c r="P480" s="2"/>
      <c r="Q480" s="2"/>
      <c r="R480" s="2"/>
      <c r="S480" s="2"/>
      <c r="T480" s="2"/>
      <c r="U480" s="2"/>
      <c r="V480" s="2"/>
      <c r="W480" s="2"/>
      <c r="X480" s="2"/>
      <c r="Y480" s="2"/>
      <c r="Z480" s="2"/>
    </row>
    <row r="481" ht="22.5" customHeight="1">
      <c r="A481" s="7"/>
      <c r="B481" s="7"/>
      <c r="C481" s="7"/>
      <c r="D481" s="7"/>
      <c r="E481" s="7"/>
      <c r="F481" s="7"/>
      <c r="G481" s="7"/>
      <c r="H481" s="2"/>
      <c r="I481" s="62"/>
      <c r="J481" s="7"/>
      <c r="K481" s="2"/>
      <c r="L481" s="2"/>
      <c r="M481" s="2"/>
      <c r="N481" s="2"/>
      <c r="O481" s="2"/>
      <c r="P481" s="2"/>
      <c r="Q481" s="2"/>
      <c r="R481" s="2"/>
      <c r="S481" s="2"/>
      <c r="T481" s="2"/>
      <c r="U481" s="2"/>
      <c r="V481" s="2"/>
      <c r="W481" s="2"/>
      <c r="X481" s="2"/>
      <c r="Y481" s="2"/>
      <c r="Z481" s="2"/>
    </row>
    <row r="482" ht="22.5" customHeight="1">
      <c r="A482" s="7"/>
      <c r="B482" s="7"/>
      <c r="C482" s="7"/>
      <c r="D482" s="7"/>
      <c r="E482" s="7"/>
      <c r="F482" s="7"/>
      <c r="G482" s="7"/>
      <c r="H482" s="2"/>
      <c r="I482" s="62"/>
      <c r="J482" s="7"/>
      <c r="K482" s="2"/>
      <c r="L482" s="2"/>
      <c r="M482" s="2"/>
      <c r="N482" s="2"/>
      <c r="O482" s="2"/>
      <c r="P482" s="2"/>
      <c r="Q482" s="2"/>
      <c r="R482" s="2"/>
      <c r="S482" s="2"/>
      <c r="T482" s="2"/>
      <c r="U482" s="2"/>
      <c r="V482" s="2"/>
      <c r="W482" s="2"/>
      <c r="X482" s="2"/>
      <c r="Y482" s="2"/>
      <c r="Z482" s="2"/>
    </row>
    <row r="483" ht="22.5" customHeight="1">
      <c r="A483" s="7"/>
      <c r="B483" s="7"/>
      <c r="C483" s="7"/>
      <c r="D483" s="7"/>
      <c r="E483" s="7"/>
      <c r="F483" s="7"/>
      <c r="G483" s="7"/>
      <c r="H483" s="2"/>
      <c r="I483" s="62"/>
      <c r="J483" s="7"/>
      <c r="K483" s="2"/>
      <c r="L483" s="2"/>
      <c r="M483" s="2"/>
      <c r="N483" s="2"/>
      <c r="O483" s="2"/>
      <c r="P483" s="2"/>
      <c r="Q483" s="2"/>
      <c r="R483" s="2"/>
      <c r="S483" s="2"/>
      <c r="T483" s="2"/>
      <c r="U483" s="2"/>
      <c r="V483" s="2"/>
      <c r="W483" s="2"/>
      <c r="X483" s="2"/>
      <c r="Y483" s="2"/>
      <c r="Z483" s="2"/>
    </row>
    <row r="484" ht="22.5" customHeight="1">
      <c r="A484" s="7"/>
      <c r="B484" s="7"/>
      <c r="C484" s="7"/>
      <c r="D484" s="7"/>
      <c r="E484" s="7"/>
      <c r="F484" s="7"/>
      <c r="G484" s="7"/>
      <c r="H484" s="2"/>
      <c r="I484" s="62"/>
      <c r="J484" s="7"/>
      <c r="K484" s="2"/>
      <c r="L484" s="2"/>
      <c r="M484" s="2"/>
      <c r="N484" s="2"/>
      <c r="O484" s="2"/>
      <c r="P484" s="2"/>
      <c r="Q484" s="2"/>
      <c r="R484" s="2"/>
      <c r="S484" s="2"/>
      <c r="T484" s="2"/>
      <c r="U484" s="2"/>
      <c r="V484" s="2"/>
      <c r="W484" s="2"/>
      <c r="X484" s="2"/>
      <c r="Y484" s="2"/>
      <c r="Z484" s="2"/>
    </row>
    <row r="485" ht="22.5" customHeight="1">
      <c r="A485" s="7"/>
      <c r="B485" s="7"/>
      <c r="C485" s="7"/>
      <c r="D485" s="7"/>
      <c r="E485" s="7"/>
      <c r="F485" s="7"/>
      <c r="G485" s="7"/>
      <c r="H485" s="2"/>
      <c r="I485" s="62"/>
      <c r="J485" s="7"/>
      <c r="K485" s="2"/>
      <c r="L485" s="2"/>
      <c r="M485" s="2"/>
      <c r="N485" s="2"/>
      <c r="O485" s="2"/>
      <c r="P485" s="2"/>
      <c r="Q485" s="2"/>
      <c r="R485" s="2"/>
      <c r="S485" s="2"/>
      <c r="T485" s="2"/>
      <c r="U485" s="2"/>
      <c r="V485" s="2"/>
      <c r="W485" s="2"/>
      <c r="X485" s="2"/>
      <c r="Y485" s="2"/>
      <c r="Z485" s="2"/>
    </row>
    <row r="486" ht="22.5" customHeight="1">
      <c r="A486" s="7"/>
      <c r="B486" s="7"/>
      <c r="C486" s="7"/>
      <c r="D486" s="7"/>
      <c r="E486" s="7"/>
      <c r="F486" s="7"/>
      <c r="G486" s="7"/>
      <c r="H486" s="2"/>
      <c r="I486" s="62"/>
      <c r="J486" s="7"/>
      <c r="K486" s="2"/>
      <c r="L486" s="2"/>
      <c r="M486" s="2"/>
      <c r="N486" s="2"/>
      <c r="O486" s="2"/>
      <c r="P486" s="2"/>
      <c r="Q486" s="2"/>
      <c r="R486" s="2"/>
      <c r="S486" s="2"/>
      <c r="T486" s="2"/>
      <c r="U486" s="2"/>
      <c r="V486" s="2"/>
      <c r="W486" s="2"/>
      <c r="X486" s="2"/>
      <c r="Y486" s="2"/>
      <c r="Z486" s="2"/>
    </row>
    <row r="487" ht="22.5" customHeight="1">
      <c r="A487" s="7"/>
      <c r="B487" s="7"/>
      <c r="C487" s="7"/>
      <c r="D487" s="7"/>
      <c r="E487" s="7"/>
      <c r="F487" s="7"/>
      <c r="G487" s="7"/>
      <c r="H487" s="2"/>
      <c r="I487" s="62"/>
      <c r="J487" s="7"/>
      <c r="K487" s="2"/>
      <c r="L487" s="2"/>
      <c r="M487" s="2"/>
      <c r="N487" s="2"/>
      <c r="O487" s="2"/>
      <c r="P487" s="2"/>
      <c r="Q487" s="2"/>
      <c r="R487" s="2"/>
      <c r="S487" s="2"/>
      <c r="T487" s="2"/>
      <c r="U487" s="2"/>
      <c r="V487" s="2"/>
      <c r="W487" s="2"/>
      <c r="X487" s="2"/>
      <c r="Y487" s="2"/>
      <c r="Z487" s="2"/>
    </row>
    <row r="488" ht="22.5" customHeight="1">
      <c r="A488" s="7"/>
      <c r="B488" s="7"/>
      <c r="C488" s="7"/>
      <c r="D488" s="7"/>
      <c r="E488" s="7"/>
      <c r="F488" s="7"/>
      <c r="G488" s="7"/>
      <c r="H488" s="2"/>
      <c r="I488" s="62"/>
      <c r="J488" s="7"/>
      <c r="K488" s="2"/>
      <c r="L488" s="2"/>
      <c r="M488" s="2"/>
      <c r="N488" s="2"/>
      <c r="O488" s="2"/>
      <c r="P488" s="2"/>
      <c r="Q488" s="2"/>
      <c r="R488" s="2"/>
      <c r="S488" s="2"/>
      <c r="T488" s="2"/>
      <c r="U488" s="2"/>
      <c r="V488" s="2"/>
      <c r="W488" s="2"/>
      <c r="X488" s="2"/>
      <c r="Y488" s="2"/>
      <c r="Z488" s="2"/>
    </row>
    <row r="489" ht="22.5" customHeight="1">
      <c r="A489" s="7"/>
      <c r="B489" s="7"/>
      <c r="C489" s="7"/>
      <c r="D489" s="7"/>
      <c r="E489" s="7"/>
      <c r="F489" s="7"/>
      <c r="G489" s="7"/>
      <c r="H489" s="2"/>
      <c r="I489" s="62"/>
      <c r="J489" s="7"/>
      <c r="K489" s="2"/>
      <c r="L489" s="2"/>
      <c r="M489" s="2"/>
      <c r="N489" s="2"/>
      <c r="O489" s="2"/>
      <c r="P489" s="2"/>
      <c r="Q489" s="2"/>
      <c r="R489" s="2"/>
      <c r="S489" s="2"/>
      <c r="T489" s="2"/>
      <c r="U489" s="2"/>
      <c r="V489" s="2"/>
      <c r="W489" s="2"/>
      <c r="X489" s="2"/>
      <c r="Y489" s="2"/>
      <c r="Z489" s="2"/>
    </row>
    <row r="490" ht="22.5" customHeight="1">
      <c r="A490" s="7"/>
      <c r="B490" s="7"/>
      <c r="C490" s="7"/>
      <c r="D490" s="7"/>
      <c r="E490" s="7"/>
      <c r="F490" s="7"/>
      <c r="G490" s="7"/>
      <c r="H490" s="2"/>
      <c r="I490" s="62"/>
      <c r="J490" s="7"/>
      <c r="K490" s="2"/>
      <c r="L490" s="2"/>
      <c r="M490" s="2"/>
      <c r="N490" s="2"/>
      <c r="O490" s="2"/>
      <c r="P490" s="2"/>
      <c r="Q490" s="2"/>
      <c r="R490" s="2"/>
      <c r="S490" s="2"/>
      <c r="T490" s="2"/>
      <c r="U490" s="2"/>
      <c r="V490" s="2"/>
      <c r="W490" s="2"/>
      <c r="X490" s="2"/>
      <c r="Y490" s="2"/>
      <c r="Z490" s="2"/>
    </row>
    <row r="491" ht="22.5" customHeight="1">
      <c r="A491" s="7"/>
      <c r="B491" s="7"/>
      <c r="C491" s="7"/>
      <c r="D491" s="7"/>
      <c r="E491" s="7"/>
      <c r="F491" s="7"/>
      <c r="G491" s="7"/>
      <c r="H491" s="2"/>
      <c r="I491" s="62"/>
      <c r="J491" s="7"/>
      <c r="K491" s="2"/>
      <c r="L491" s="2"/>
      <c r="M491" s="2"/>
      <c r="N491" s="2"/>
      <c r="O491" s="2"/>
      <c r="P491" s="2"/>
      <c r="Q491" s="2"/>
      <c r="R491" s="2"/>
      <c r="S491" s="2"/>
      <c r="T491" s="2"/>
      <c r="U491" s="2"/>
      <c r="V491" s="2"/>
      <c r="W491" s="2"/>
      <c r="X491" s="2"/>
      <c r="Y491" s="2"/>
      <c r="Z491" s="2"/>
    </row>
    <row r="492" ht="22.5" customHeight="1">
      <c r="A492" s="7"/>
      <c r="B492" s="7"/>
      <c r="C492" s="7"/>
      <c r="D492" s="7"/>
      <c r="E492" s="7"/>
      <c r="F492" s="7"/>
      <c r="G492" s="7"/>
      <c r="H492" s="2"/>
      <c r="I492" s="62"/>
      <c r="J492" s="7"/>
      <c r="K492" s="2"/>
      <c r="L492" s="2"/>
      <c r="M492" s="2"/>
      <c r="N492" s="2"/>
      <c r="O492" s="2"/>
      <c r="P492" s="2"/>
      <c r="Q492" s="2"/>
      <c r="R492" s="2"/>
      <c r="S492" s="2"/>
      <c r="T492" s="2"/>
      <c r="U492" s="2"/>
      <c r="V492" s="2"/>
      <c r="W492" s="2"/>
      <c r="X492" s="2"/>
      <c r="Y492" s="2"/>
      <c r="Z492" s="2"/>
    </row>
    <row r="493" ht="22.5" customHeight="1">
      <c r="A493" s="7"/>
      <c r="B493" s="7"/>
      <c r="C493" s="7"/>
      <c r="D493" s="7"/>
      <c r="E493" s="7"/>
      <c r="F493" s="7"/>
      <c r="G493" s="7"/>
      <c r="H493" s="2"/>
      <c r="I493" s="62"/>
      <c r="J493" s="7"/>
      <c r="K493" s="2"/>
      <c r="L493" s="2"/>
      <c r="M493" s="2"/>
      <c r="N493" s="2"/>
      <c r="O493" s="2"/>
      <c r="P493" s="2"/>
      <c r="Q493" s="2"/>
      <c r="R493" s="2"/>
      <c r="S493" s="2"/>
      <c r="T493" s="2"/>
      <c r="U493" s="2"/>
      <c r="V493" s="2"/>
      <c r="W493" s="2"/>
      <c r="X493" s="2"/>
      <c r="Y493" s="2"/>
      <c r="Z493" s="2"/>
    </row>
    <row r="494" ht="22.5" customHeight="1">
      <c r="A494" s="7"/>
      <c r="B494" s="7"/>
      <c r="C494" s="7"/>
      <c r="D494" s="7"/>
      <c r="E494" s="7"/>
      <c r="F494" s="7"/>
      <c r="G494" s="7"/>
      <c r="H494" s="2"/>
      <c r="I494" s="62"/>
      <c r="J494" s="7"/>
      <c r="K494" s="2"/>
      <c r="L494" s="2"/>
      <c r="M494" s="2"/>
      <c r="N494" s="2"/>
      <c r="O494" s="2"/>
      <c r="P494" s="2"/>
      <c r="Q494" s="2"/>
      <c r="R494" s="2"/>
      <c r="S494" s="2"/>
      <c r="T494" s="2"/>
      <c r="U494" s="2"/>
      <c r="V494" s="2"/>
      <c r="W494" s="2"/>
      <c r="X494" s="2"/>
      <c r="Y494" s="2"/>
      <c r="Z494" s="2"/>
    </row>
    <row r="495" ht="22.5" customHeight="1">
      <c r="A495" s="7"/>
      <c r="B495" s="7"/>
      <c r="C495" s="7"/>
      <c r="D495" s="7"/>
      <c r="E495" s="7"/>
      <c r="F495" s="7"/>
      <c r="G495" s="7"/>
      <c r="H495" s="2"/>
      <c r="I495" s="62"/>
      <c r="J495" s="7"/>
      <c r="K495" s="2"/>
      <c r="L495" s="2"/>
      <c r="M495" s="2"/>
      <c r="N495" s="2"/>
      <c r="O495" s="2"/>
      <c r="P495" s="2"/>
      <c r="Q495" s="2"/>
      <c r="R495" s="2"/>
      <c r="S495" s="2"/>
      <c r="T495" s="2"/>
      <c r="U495" s="2"/>
      <c r="V495" s="2"/>
      <c r="W495" s="2"/>
      <c r="X495" s="2"/>
      <c r="Y495" s="2"/>
      <c r="Z495" s="2"/>
    </row>
    <row r="496" ht="22.5" customHeight="1">
      <c r="A496" s="7"/>
      <c r="B496" s="7"/>
      <c r="C496" s="7"/>
      <c r="D496" s="7"/>
      <c r="E496" s="7"/>
      <c r="F496" s="7"/>
      <c r="G496" s="7"/>
      <c r="H496" s="2"/>
      <c r="I496" s="62"/>
      <c r="J496" s="7"/>
      <c r="K496" s="2"/>
      <c r="L496" s="2"/>
      <c r="M496" s="2"/>
      <c r="N496" s="2"/>
      <c r="O496" s="2"/>
      <c r="P496" s="2"/>
      <c r="Q496" s="2"/>
      <c r="R496" s="2"/>
      <c r="S496" s="2"/>
      <c r="T496" s="2"/>
      <c r="U496" s="2"/>
      <c r="V496" s="2"/>
      <c r="W496" s="2"/>
      <c r="X496" s="2"/>
      <c r="Y496" s="2"/>
      <c r="Z496" s="2"/>
    </row>
    <row r="497" ht="22.5" customHeight="1">
      <c r="A497" s="7"/>
      <c r="B497" s="7"/>
      <c r="C497" s="7"/>
      <c r="D497" s="7"/>
      <c r="E497" s="7"/>
      <c r="F497" s="7"/>
      <c r="G497" s="7"/>
      <c r="H497" s="2"/>
      <c r="I497" s="62"/>
      <c r="J497" s="7"/>
      <c r="K497" s="2"/>
      <c r="L497" s="2"/>
      <c r="M497" s="2"/>
      <c r="N497" s="2"/>
      <c r="O497" s="2"/>
      <c r="P497" s="2"/>
      <c r="Q497" s="2"/>
      <c r="R497" s="2"/>
      <c r="S497" s="2"/>
      <c r="T497" s="2"/>
      <c r="U497" s="2"/>
      <c r="V497" s="2"/>
      <c r="W497" s="2"/>
      <c r="X497" s="2"/>
      <c r="Y497" s="2"/>
      <c r="Z497" s="2"/>
    </row>
    <row r="498" ht="22.5" customHeight="1">
      <c r="A498" s="7"/>
      <c r="B498" s="7"/>
      <c r="C498" s="7"/>
      <c r="D498" s="7"/>
      <c r="E498" s="7"/>
      <c r="F498" s="7"/>
      <c r="G498" s="7"/>
      <c r="H498" s="2"/>
      <c r="I498" s="62"/>
      <c r="J498" s="7"/>
      <c r="K498" s="2"/>
      <c r="L498" s="2"/>
      <c r="M498" s="2"/>
      <c r="N498" s="2"/>
      <c r="O498" s="2"/>
      <c r="P498" s="2"/>
      <c r="Q498" s="2"/>
      <c r="R498" s="2"/>
      <c r="S498" s="2"/>
      <c r="T498" s="2"/>
      <c r="U498" s="2"/>
      <c r="V498" s="2"/>
      <c r="W498" s="2"/>
      <c r="X498" s="2"/>
      <c r="Y498" s="2"/>
      <c r="Z498" s="2"/>
    </row>
    <row r="499" ht="22.5" customHeight="1">
      <c r="A499" s="7"/>
      <c r="B499" s="7"/>
      <c r="C499" s="7"/>
      <c r="D499" s="7"/>
      <c r="E499" s="7"/>
      <c r="F499" s="7"/>
      <c r="G499" s="7"/>
      <c r="H499" s="2"/>
      <c r="I499" s="62"/>
      <c r="J499" s="7"/>
      <c r="K499" s="2"/>
      <c r="L499" s="2"/>
      <c r="M499" s="2"/>
      <c r="N499" s="2"/>
      <c r="O499" s="2"/>
      <c r="P499" s="2"/>
      <c r="Q499" s="2"/>
      <c r="R499" s="2"/>
      <c r="S499" s="2"/>
      <c r="T499" s="2"/>
      <c r="U499" s="2"/>
      <c r="V499" s="2"/>
      <c r="W499" s="2"/>
      <c r="X499" s="2"/>
      <c r="Y499" s="2"/>
      <c r="Z499" s="2"/>
    </row>
    <row r="500" ht="22.5" customHeight="1">
      <c r="A500" s="7"/>
      <c r="B500" s="7"/>
      <c r="C500" s="7"/>
      <c r="D500" s="7"/>
      <c r="E500" s="7"/>
      <c r="F500" s="7"/>
      <c r="G500" s="7"/>
      <c r="H500" s="2"/>
      <c r="I500" s="62"/>
      <c r="J500" s="7"/>
      <c r="K500" s="2"/>
      <c r="L500" s="2"/>
      <c r="M500" s="2"/>
      <c r="N500" s="2"/>
      <c r="O500" s="2"/>
      <c r="P500" s="2"/>
      <c r="Q500" s="2"/>
      <c r="R500" s="2"/>
      <c r="S500" s="2"/>
      <c r="T500" s="2"/>
      <c r="U500" s="2"/>
      <c r="V500" s="2"/>
      <c r="W500" s="2"/>
      <c r="X500" s="2"/>
      <c r="Y500" s="2"/>
      <c r="Z500" s="2"/>
    </row>
    <row r="501" ht="22.5" customHeight="1">
      <c r="A501" s="7"/>
      <c r="B501" s="7"/>
      <c r="C501" s="7"/>
      <c r="D501" s="7"/>
      <c r="E501" s="7"/>
      <c r="F501" s="7"/>
      <c r="G501" s="7"/>
      <c r="H501" s="2"/>
      <c r="I501" s="62"/>
      <c r="J501" s="7"/>
      <c r="K501" s="2"/>
      <c r="L501" s="2"/>
      <c r="M501" s="2"/>
      <c r="N501" s="2"/>
      <c r="O501" s="2"/>
      <c r="P501" s="2"/>
      <c r="Q501" s="2"/>
      <c r="R501" s="2"/>
      <c r="S501" s="2"/>
      <c r="T501" s="2"/>
      <c r="U501" s="2"/>
      <c r="V501" s="2"/>
      <c r="W501" s="2"/>
      <c r="X501" s="2"/>
      <c r="Y501" s="2"/>
      <c r="Z501" s="2"/>
    </row>
    <row r="502" ht="22.5" customHeight="1">
      <c r="A502" s="7"/>
      <c r="B502" s="7"/>
      <c r="C502" s="7"/>
      <c r="D502" s="7"/>
      <c r="E502" s="7"/>
      <c r="F502" s="7"/>
      <c r="G502" s="7"/>
      <c r="H502" s="2"/>
      <c r="I502" s="62"/>
      <c r="J502" s="7"/>
      <c r="K502" s="2"/>
      <c r="L502" s="2"/>
      <c r="M502" s="2"/>
      <c r="N502" s="2"/>
      <c r="O502" s="2"/>
      <c r="P502" s="2"/>
      <c r="Q502" s="2"/>
      <c r="R502" s="2"/>
      <c r="S502" s="2"/>
      <c r="T502" s="2"/>
      <c r="U502" s="2"/>
      <c r="V502" s="2"/>
      <c r="W502" s="2"/>
      <c r="X502" s="2"/>
      <c r="Y502" s="2"/>
      <c r="Z502" s="2"/>
    </row>
    <row r="503" ht="22.5" customHeight="1">
      <c r="A503" s="7"/>
      <c r="B503" s="7"/>
      <c r="C503" s="7"/>
      <c r="D503" s="7"/>
      <c r="E503" s="7"/>
      <c r="F503" s="7"/>
      <c r="G503" s="7"/>
      <c r="H503" s="2"/>
      <c r="I503" s="62"/>
      <c r="J503" s="7"/>
      <c r="K503" s="2"/>
      <c r="L503" s="2"/>
      <c r="M503" s="2"/>
      <c r="N503" s="2"/>
      <c r="O503" s="2"/>
      <c r="P503" s="2"/>
      <c r="Q503" s="2"/>
      <c r="R503" s="2"/>
      <c r="S503" s="2"/>
      <c r="T503" s="2"/>
      <c r="U503" s="2"/>
      <c r="V503" s="2"/>
      <c r="W503" s="2"/>
      <c r="X503" s="2"/>
      <c r="Y503" s="2"/>
      <c r="Z503" s="2"/>
    </row>
    <row r="504" ht="22.5" customHeight="1">
      <c r="A504" s="7"/>
      <c r="B504" s="7"/>
      <c r="C504" s="7"/>
      <c r="D504" s="7"/>
      <c r="E504" s="7"/>
      <c r="F504" s="7"/>
      <c r="G504" s="7"/>
      <c r="H504" s="2"/>
      <c r="I504" s="62"/>
      <c r="J504" s="7"/>
      <c r="K504" s="2"/>
      <c r="L504" s="2"/>
      <c r="M504" s="2"/>
      <c r="N504" s="2"/>
      <c r="O504" s="2"/>
      <c r="P504" s="2"/>
      <c r="Q504" s="2"/>
      <c r="R504" s="2"/>
      <c r="S504" s="2"/>
      <c r="T504" s="2"/>
      <c r="U504" s="2"/>
      <c r="V504" s="2"/>
      <c r="W504" s="2"/>
      <c r="X504" s="2"/>
      <c r="Y504" s="2"/>
      <c r="Z504" s="2"/>
    </row>
    <row r="505" ht="22.5" customHeight="1">
      <c r="A505" s="7"/>
      <c r="B505" s="7"/>
      <c r="C505" s="7"/>
      <c r="D505" s="7"/>
      <c r="E505" s="7"/>
      <c r="F505" s="7"/>
      <c r="G505" s="7"/>
      <c r="H505" s="2"/>
      <c r="I505" s="62"/>
      <c r="J505" s="7"/>
      <c r="K505" s="2"/>
      <c r="L505" s="2"/>
      <c r="M505" s="2"/>
      <c r="N505" s="2"/>
      <c r="O505" s="2"/>
      <c r="P505" s="2"/>
      <c r="Q505" s="2"/>
      <c r="R505" s="2"/>
      <c r="S505" s="2"/>
      <c r="T505" s="2"/>
      <c r="U505" s="2"/>
      <c r="V505" s="2"/>
      <c r="W505" s="2"/>
      <c r="X505" s="2"/>
      <c r="Y505" s="2"/>
      <c r="Z505" s="2"/>
    </row>
    <row r="506" ht="22.5" customHeight="1">
      <c r="A506" s="7"/>
      <c r="B506" s="7"/>
      <c r="C506" s="7"/>
      <c r="D506" s="7"/>
      <c r="E506" s="7"/>
      <c r="F506" s="7"/>
      <c r="G506" s="7"/>
      <c r="H506" s="2"/>
      <c r="I506" s="62"/>
      <c r="J506" s="7"/>
      <c r="K506" s="2"/>
      <c r="L506" s="2"/>
      <c r="M506" s="2"/>
      <c r="N506" s="2"/>
      <c r="O506" s="2"/>
      <c r="P506" s="2"/>
      <c r="Q506" s="2"/>
      <c r="R506" s="2"/>
      <c r="S506" s="2"/>
      <c r="T506" s="2"/>
      <c r="U506" s="2"/>
      <c r="V506" s="2"/>
      <c r="W506" s="2"/>
      <c r="X506" s="2"/>
      <c r="Y506" s="2"/>
      <c r="Z506" s="2"/>
    </row>
    <row r="507" ht="22.5" customHeight="1">
      <c r="A507" s="7"/>
      <c r="B507" s="7"/>
      <c r="C507" s="7"/>
      <c r="D507" s="7"/>
      <c r="E507" s="7"/>
      <c r="F507" s="7"/>
      <c r="G507" s="7"/>
      <c r="H507" s="2"/>
      <c r="I507" s="62"/>
      <c r="J507" s="7"/>
      <c r="K507" s="2"/>
      <c r="L507" s="2"/>
      <c r="M507" s="2"/>
      <c r="N507" s="2"/>
      <c r="O507" s="2"/>
      <c r="P507" s="2"/>
      <c r="Q507" s="2"/>
      <c r="R507" s="2"/>
      <c r="S507" s="2"/>
      <c r="T507" s="2"/>
      <c r="U507" s="2"/>
      <c r="V507" s="2"/>
      <c r="W507" s="2"/>
      <c r="X507" s="2"/>
      <c r="Y507" s="2"/>
      <c r="Z507" s="2"/>
    </row>
    <row r="508" ht="22.5" customHeight="1">
      <c r="A508" s="7"/>
      <c r="B508" s="7"/>
      <c r="C508" s="7"/>
      <c r="D508" s="7"/>
      <c r="E508" s="7"/>
      <c r="F508" s="7"/>
      <c r="G508" s="7"/>
      <c r="H508" s="2"/>
      <c r="I508" s="62"/>
      <c r="J508" s="7"/>
      <c r="K508" s="2"/>
      <c r="L508" s="2"/>
      <c r="M508" s="2"/>
      <c r="N508" s="2"/>
      <c r="O508" s="2"/>
      <c r="P508" s="2"/>
      <c r="Q508" s="2"/>
      <c r="R508" s="2"/>
      <c r="S508" s="2"/>
      <c r="T508" s="2"/>
      <c r="U508" s="2"/>
      <c r="V508" s="2"/>
      <c r="W508" s="2"/>
      <c r="X508" s="2"/>
      <c r="Y508" s="2"/>
      <c r="Z508" s="2"/>
    </row>
    <row r="509" ht="22.5" customHeight="1">
      <c r="A509" s="7"/>
      <c r="B509" s="7"/>
      <c r="C509" s="7"/>
      <c r="D509" s="7"/>
      <c r="E509" s="7"/>
      <c r="F509" s="7"/>
      <c r="G509" s="7"/>
      <c r="H509" s="2"/>
      <c r="I509" s="62"/>
      <c r="J509" s="7"/>
      <c r="K509" s="2"/>
      <c r="L509" s="2"/>
      <c r="M509" s="2"/>
      <c r="N509" s="2"/>
      <c r="O509" s="2"/>
      <c r="P509" s="2"/>
      <c r="Q509" s="2"/>
      <c r="R509" s="2"/>
      <c r="S509" s="2"/>
      <c r="T509" s="2"/>
      <c r="U509" s="2"/>
      <c r="V509" s="2"/>
      <c r="W509" s="2"/>
      <c r="X509" s="2"/>
      <c r="Y509" s="2"/>
      <c r="Z509" s="2"/>
    </row>
    <row r="510" ht="22.5" customHeight="1">
      <c r="A510" s="7"/>
      <c r="B510" s="7"/>
      <c r="C510" s="7"/>
      <c r="D510" s="7"/>
      <c r="E510" s="7"/>
      <c r="F510" s="7"/>
      <c r="G510" s="7"/>
      <c r="H510" s="2"/>
      <c r="I510" s="62"/>
      <c r="J510" s="7"/>
      <c r="K510" s="2"/>
      <c r="L510" s="2"/>
      <c r="M510" s="2"/>
      <c r="N510" s="2"/>
      <c r="O510" s="2"/>
      <c r="P510" s="2"/>
      <c r="Q510" s="2"/>
      <c r="R510" s="2"/>
      <c r="S510" s="2"/>
      <c r="T510" s="2"/>
      <c r="U510" s="2"/>
      <c r="V510" s="2"/>
      <c r="W510" s="2"/>
      <c r="X510" s="2"/>
      <c r="Y510" s="2"/>
      <c r="Z510" s="2"/>
    </row>
    <row r="511" ht="22.5" customHeight="1">
      <c r="A511" s="7"/>
      <c r="B511" s="7"/>
      <c r="C511" s="7"/>
      <c r="D511" s="7"/>
      <c r="E511" s="7"/>
      <c r="F511" s="7"/>
      <c r="G511" s="7"/>
      <c r="H511" s="2"/>
      <c r="I511" s="62"/>
      <c r="J511" s="7"/>
      <c r="K511" s="2"/>
      <c r="L511" s="2"/>
      <c r="M511" s="2"/>
      <c r="N511" s="2"/>
      <c r="O511" s="2"/>
      <c r="P511" s="2"/>
      <c r="Q511" s="2"/>
      <c r="R511" s="2"/>
      <c r="S511" s="2"/>
      <c r="T511" s="2"/>
      <c r="U511" s="2"/>
      <c r="V511" s="2"/>
      <c r="W511" s="2"/>
      <c r="X511" s="2"/>
      <c r="Y511" s="2"/>
      <c r="Z511" s="2"/>
    </row>
    <row r="512" ht="22.5" customHeight="1">
      <c r="A512" s="7"/>
      <c r="B512" s="7"/>
      <c r="C512" s="7"/>
      <c r="D512" s="7"/>
      <c r="E512" s="7"/>
      <c r="F512" s="7"/>
      <c r="G512" s="7"/>
      <c r="H512" s="2"/>
      <c r="I512" s="62"/>
      <c r="J512" s="7"/>
      <c r="K512" s="2"/>
      <c r="L512" s="2"/>
      <c r="M512" s="2"/>
      <c r="N512" s="2"/>
      <c r="O512" s="2"/>
      <c r="P512" s="2"/>
      <c r="Q512" s="2"/>
      <c r="R512" s="2"/>
      <c r="S512" s="2"/>
      <c r="T512" s="2"/>
      <c r="U512" s="2"/>
      <c r="V512" s="2"/>
      <c r="W512" s="2"/>
      <c r="X512" s="2"/>
      <c r="Y512" s="2"/>
      <c r="Z512" s="2"/>
    </row>
    <row r="513" ht="22.5" customHeight="1">
      <c r="A513" s="7"/>
      <c r="B513" s="7"/>
      <c r="C513" s="7"/>
      <c r="D513" s="7"/>
      <c r="E513" s="7"/>
      <c r="F513" s="7"/>
      <c r="G513" s="7"/>
      <c r="H513" s="2"/>
      <c r="I513" s="62"/>
      <c r="J513" s="7"/>
      <c r="K513" s="2"/>
      <c r="L513" s="2"/>
      <c r="M513" s="2"/>
      <c r="N513" s="2"/>
      <c r="O513" s="2"/>
      <c r="P513" s="2"/>
      <c r="Q513" s="2"/>
      <c r="R513" s="2"/>
      <c r="S513" s="2"/>
      <c r="T513" s="2"/>
      <c r="U513" s="2"/>
      <c r="V513" s="2"/>
      <c r="W513" s="2"/>
      <c r="X513" s="2"/>
      <c r="Y513" s="2"/>
      <c r="Z513" s="2"/>
    </row>
    <row r="514" ht="22.5" customHeight="1">
      <c r="A514" s="7"/>
      <c r="B514" s="7"/>
      <c r="C514" s="7"/>
      <c r="D514" s="7"/>
      <c r="E514" s="7"/>
      <c r="F514" s="7"/>
      <c r="G514" s="7"/>
      <c r="H514" s="2"/>
      <c r="I514" s="62"/>
      <c r="J514" s="7"/>
      <c r="K514" s="2"/>
      <c r="L514" s="2"/>
      <c r="M514" s="2"/>
      <c r="N514" s="2"/>
      <c r="O514" s="2"/>
      <c r="P514" s="2"/>
      <c r="Q514" s="2"/>
      <c r="R514" s="2"/>
      <c r="S514" s="2"/>
      <c r="T514" s="2"/>
      <c r="U514" s="2"/>
      <c r="V514" s="2"/>
      <c r="W514" s="2"/>
      <c r="X514" s="2"/>
      <c r="Y514" s="2"/>
      <c r="Z514" s="2"/>
    </row>
    <row r="515" ht="22.5" customHeight="1">
      <c r="A515" s="7"/>
      <c r="B515" s="7"/>
      <c r="C515" s="7"/>
      <c r="D515" s="7"/>
      <c r="E515" s="7"/>
      <c r="F515" s="7"/>
      <c r="G515" s="7"/>
      <c r="H515" s="2"/>
      <c r="I515" s="62"/>
      <c r="J515" s="7"/>
      <c r="K515" s="2"/>
      <c r="L515" s="2"/>
      <c r="M515" s="2"/>
      <c r="N515" s="2"/>
      <c r="O515" s="2"/>
      <c r="P515" s="2"/>
      <c r="Q515" s="2"/>
      <c r="R515" s="2"/>
      <c r="S515" s="2"/>
      <c r="T515" s="2"/>
      <c r="U515" s="2"/>
      <c r="V515" s="2"/>
      <c r="W515" s="2"/>
      <c r="X515" s="2"/>
      <c r="Y515" s="2"/>
      <c r="Z515" s="2"/>
    </row>
    <row r="516" ht="22.5" customHeight="1">
      <c r="A516" s="7"/>
      <c r="B516" s="7"/>
      <c r="C516" s="7"/>
      <c r="D516" s="7"/>
      <c r="E516" s="7"/>
      <c r="F516" s="7"/>
      <c r="G516" s="7"/>
      <c r="H516" s="2"/>
      <c r="I516" s="62"/>
      <c r="J516" s="7"/>
      <c r="K516" s="2"/>
      <c r="L516" s="2"/>
      <c r="M516" s="2"/>
      <c r="N516" s="2"/>
      <c r="O516" s="2"/>
      <c r="P516" s="2"/>
      <c r="Q516" s="2"/>
      <c r="R516" s="2"/>
      <c r="S516" s="2"/>
      <c r="T516" s="2"/>
      <c r="U516" s="2"/>
      <c r="V516" s="2"/>
      <c r="W516" s="2"/>
      <c r="X516" s="2"/>
      <c r="Y516" s="2"/>
      <c r="Z516" s="2"/>
    </row>
    <row r="517" ht="22.5" customHeight="1">
      <c r="A517" s="7"/>
      <c r="B517" s="7"/>
      <c r="C517" s="7"/>
      <c r="D517" s="7"/>
      <c r="E517" s="7"/>
      <c r="F517" s="7"/>
      <c r="G517" s="7"/>
      <c r="H517" s="2"/>
      <c r="I517" s="62"/>
      <c r="J517" s="7"/>
      <c r="K517" s="2"/>
      <c r="L517" s="2"/>
      <c r="M517" s="2"/>
      <c r="N517" s="2"/>
      <c r="O517" s="2"/>
      <c r="P517" s="2"/>
      <c r="Q517" s="2"/>
      <c r="R517" s="2"/>
      <c r="S517" s="2"/>
      <c r="T517" s="2"/>
      <c r="U517" s="2"/>
      <c r="V517" s="2"/>
      <c r="W517" s="2"/>
      <c r="X517" s="2"/>
      <c r="Y517" s="2"/>
      <c r="Z517" s="2"/>
    </row>
    <row r="518" ht="22.5" customHeight="1">
      <c r="A518" s="7"/>
      <c r="B518" s="7"/>
      <c r="C518" s="7"/>
      <c r="D518" s="7"/>
      <c r="E518" s="7"/>
      <c r="F518" s="7"/>
      <c r="G518" s="7"/>
      <c r="H518" s="2"/>
      <c r="I518" s="62"/>
      <c r="J518" s="7"/>
      <c r="K518" s="2"/>
      <c r="L518" s="2"/>
      <c r="M518" s="2"/>
      <c r="N518" s="2"/>
      <c r="O518" s="2"/>
      <c r="P518" s="2"/>
      <c r="Q518" s="2"/>
      <c r="R518" s="2"/>
      <c r="S518" s="2"/>
      <c r="T518" s="2"/>
      <c r="U518" s="2"/>
      <c r="V518" s="2"/>
      <c r="W518" s="2"/>
      <c r="X518" s="2"/>
      <c r="Y518" s="2"/>
      <c r="Z518" s="2"/>
    </row>
    <row r="519" ht="22.5" customHeight="1">
      <c r="A519" s="7"/>
      <c r="B519" s="7"/>
      <c r="C519" s="7"/>
      <c r="D519" s="7"/>
      <c r="E519" s="7"/>
      <c r="F519" s="7"/>
      <c r="G519" s="7"/>
      <c r="H519" s="2"/>
      <c r="I519" s="62"/>
      <c r="J519" s="7"/>
      <c r="K519" s="2"/>
      <c r="L519" s="2"/>
      <c r="M519" s="2"/>
      <c r="N519" s="2"/>
      <c r="O519" s="2"/>
      <c r="P519" s="2"/>
      <c r="Q519" s="2"/>
      <c r="R519" s="2"/>
      <c r="S519" s="2"/>
      <c r="T519" s="2"/>
      <c r="U519" s="2"/>
      <c r="V519" s="2"/>
      <c r="W519" s="2"/>
      <c r="X519" s="2"/>
      <c r="Y519" s="2"/>
      <c r="Z519" s="2"/>
    </row>
    <row r="520" ht="22.5" customHeight="1">
      <c r="A520" s="7"/>
      <c r="B520" s="7"/>
      <c r="C520" s="7"/>
      <c r="D520" s="7"/>
      <c r="E520" s="7"/>
      <c r="F520" s="7"/>
      <c r="G520" s="7"/>
      <c r="H520" s="2"/>
      <c r="I520" s="62"/>
      <c r="J520" s="7"/>
      <c r="K520" s="2"/>
      <c r="L520" s="2"/>
      <c r="M520" s="2"/>
      <c r="N520" s="2"/>
      <c r="O520" s="2"/>
      <c r="P520" s="2"/>
      <c r="Q520" s="2"/>
      <c r="R520" s="2"/>
      <c r="S520" s="2"/>
      <c r="T520" s="2"/>
      <c r="U520" s="2"/>
      <c r="V520" s="2"/>
      <c r="W520" s="2"/>
      <c r="X520" s="2"/>
      <c r="Y520" s="2"/>
      <c r="Z520" s="2"/>
    </row>
    <row r="521" ht="22.5" customHeight="1">
      <c r="A521" s="7"/>
      <c r="B521" s="7"/>
      <c r="C521" s="7"/>
      <c r="D521" s="7"/>
      <c r="E521" s="7"/>
      <c r="F521" s="7"/>
      <c r="G521" s="7"/>
      <c r="H521" s="2"/>
      <c r="I521" s="62"/>
      <c r="J521" s="7"/>
      <c r="K521" s="2"/>
      <c r="L521" s="2"/>
      <c r="M521" s="2"/>
      <c r="N521" s="2"/>
      <c r="O521" s="2"/>
      <c r="P521" s="2"/>
      <c r="Q521" s="2"/>
      <c r="R521" s="2"/>
      <c r="S521" s="2"/>
      <c r="T521" s="2"/>
      <c r="U521" s="2"/>
      <c r="V521" s="2"/>
      <c r="W521" s="2"/>
      <c r="X521" s="2"/>
      <c r="Y521" s="2"/>
      <c r="Z521" s="2"/>
    </row>
    <row r="522" ht="22.5" customHeight="1">
      <c r="A522" s="7"/>
      <c r="B522" s="7"/>
      <c r="C522" s="7"/>
      <c r="D522" s="7"/>
      <c r="E522" s="7"/>
      <c r="F522" s="7"/>
      <c r="G522" s="7"/>
      <c r="H522" s="2"/>
      <c r="I522" s="62"/>
      <c r="J522" s="7"/>
      <c r="K522" s="2"/>
      <c r="L522" s="2"/>
      <c r="M522" s="2"/>
      <c r="N522" s="2"/>
      <c r="O522" s="2"/>
      <c r="P522" s="2"/>
      <c r="Q522" s="2"/>
      <c r="R522" s="2"/>
      <c r="S522" s="2"/>
      <c r="T522" s="2"/>
      <c r="U522" s="2"/>
      <c r="V522" s="2"/>
      <c r="W522" s="2"/>
      <c r="X522" s="2"/>
      <c r="Y522" s="2"/>
      <c r="Z522" s="2"/>
    </row>
    <row r="523" ht="22.5" customHeight="1">
      <c r="A523" s="7"/>
      <c r="B523" s="7"/>
      <c r="C523" s="7"/>
      <c r="D523" s="7"/>
      <c r="E523" s="7"/>
      <c r="F523" s="7"/>
      <c r="G523" s="7"/>
      <c r="H523" s="2"/>
      <c r="I523" s="62"/>
      <c r="J523" s="7"/>
      <c r="K523" s="2"/>
      <c r="L523" s="2"/>
      <c r="M523" s="2"/>
      <c r="N523" s="2"/>
      <c r="O523" s="2"/>
      <c r="P523" s="2"/>
      <c r="Q523" s="2"/>
      <c r="R523" s="2"/>
      <c r="S523" s="2"/>
      <c r="T523" s="2"/>
      <c r="U523" s="2"/>
      <c r="V523" s="2"/>
      <c r="W523" s="2"/>
      <c r="X523" s="2"/>
      <c r="Y523" s="2"/>
      <c r="Z523" s="2"/>
    </row>
    <row r="524" ht="22.5" customHeight="1">
      <c r="A524" s="7"/>
      <c r="B524" s="7"/>
      <c r="C524" s="7"/>
      <c r="D524" s="7"/>
      <c r="E524" s="7"/>
      <c r="F524" s="7"/>
      <c r="G524" s="7"/>
      <c r="H524" s="2"/>
      <c r="I524" s="62"/>
      <c r="J524" s="7"/>
      <c r="K524" s="2"/>
      <c r="L524" s="2"/>
      <c r="M524" s="2"/>
      <c r="N524" s="2"/>
      <c r="O524" s="2"/>
      <c r="P524" s="2"/>
      <c r="Q524" s="2"/>
      <c r="R524" s="2"/>
      <c r="S524" s="2"/>
      <c r="T524" s="2"/>
      <c r="U524" s="2"/>
      <c r="V524" s="2"/>
      <c r="W524" s="2"/>
      <c r="X524" s="2"/>
      <c r="Y524" s="2"/>
      <c r="Z524" s="2"/>
    </row>
    <row r="525" ht="22.5" customHeight="1">
      <c r="A525" s="7"/>
      <c r="B525" s="7"/>
      <c r="C525" s="7"/>
      <c r="D525" s="7"/>
      <c r="E525" s="7"/>
      <c r="F525" s="7"/>
      <c r="G525" s="7"/>
      <c r="H525" s="2"/>
      <c r="I525" s="62"/>
      <c r="J525" s="7"/>
      <c r="K525" s="2"/>
      <c r="L525" s="2"/>
      <c r="M525" s="2"/>
      <c r="N525" s="2"/>
      <c r="O525" s="2"/>
      <c r="P525" s="2"/>
      <c r="Q525" s="2"/>
      <c r="R525" s="2"/>
      <c r="S525" s="2"/>
      <c r="T525" s="2"/>
      <c r="U525" s="2"/>
      <c r="V525" s="2"/>
      <c r="W525" s="2"/>
      <c r="X525" s="2"/>
      <c r="Y525" s="2"/>
      <c r="Z525" s="2"/>
    </row>
    <row r="526" ht="22.5" customHeight="1">
      <c r="A526" s="7"/>
      <c r="B526" s="7"/>
      <c r="C526" s="7"/>
      <c r="D526" s="7"/>
      <c r="E526" s="7"/>
      <c r="F526" s="7"/>
      <c r="G526" s="7"/>
      <c r="H526" s="2"/>
      <c r="I526" s="62"/>
      <c r="J526" s="7"/>
      <c r="K526" s="2"/>
      <c r="L526" s="2"/>
      <c r="M526" s="2"/>
      <c r="N526" s="2"/>
      <c r="O526" s="2"/>
      <c r="P526" s="2"/>
      <c r="Q526" s="2"/>
      <c r="R526" s="2"/>
      <c r="S526" s="2"/>
      <c r="T526" s="2"/>
      <c r="U526" s="2"/>
      <c r="V526" s="2"/>
      <c r="W526" s="2"/>
      <c r="X526" s="2"/>
      <c r="Y526" s="2"/>
      <c r="Z526" s="2"/>
    </row>
    <row r="527" ht="22.5" customHeight="1">
      <c r="A527" s="7"/>
      <c r="B527" s="7"/>
      <c r="C527" s="7"/>
      <c r="D527" s="7"/>
      <c r="E527" s="7"/>
      <c r="F527" s="7"/>
      <c r="G527" s="7"/>
      <c r="H527" s="2"/>
      <c r="I527" s="62"/>
      <c r="J527" s="7"/>
      <c r="K527" s="2"/>
      <c r="L527" s="2"/>
      <c r="M527" s="2"/>
      <c r="N527" s="2"/>
      <c r="O527" s="2"/>
      <c r="P527" s="2"/>
      <c r="Q527" s="2"/>
      <c r="R527" s="2"/>
      <c r="S527" s="2"/>
      <c r="T527" s="2"/>
      <c r="U527" s="2"/>
      <c r="V527" s="2"/>
      <c r="W527" s="2"/>
      <c r="X527" s="2"/>
      <c r="Y527" s="2"/>
      <c r="Z527" s="2"/>
    </row>
    <row r="528" ht="22.5" customHeight="1">
      <c r="A528" s="7"/>
      <c r="B528" s="7"/>
      <c r="C528" s="7"/>
      <c r="D528" s="7"/>
      <c r="E528" s="7"/>
      <c r="F528" s="7"/>
      <c r="G528" s="7"/>
      <c r="H528" s="2"/>
      <c r="I528" s="62"/>
      <c r="J528" s="7"/>
      <c r="K528" s="2"/>
      <c r="L528" s="2"/>
      <c r="M528" s="2"/>
      <c r="N528" s="2"/>
      <c r="O528" s="2"/>
      <c r="P528" s="2"/>
      <c r="Q528" s="2"/>
      <c r="R528" s="2"/>
      <c r="S528" s="2"/>
      <c r="T528" s="2"/>
      <c r="U528" s="2"/>
      <c r="V528" s="2"/>
      <c r="W528" s="2"/>
      <c r="X528" s="2"/>
      <c r="Y528" s="2"/>
      <c r="Z528" s="2"/>
    </row>
    <row r="529" ht="22.5" customHeight="1">
      <c r="A529" s="7"/>
      <c r="B529" s="7"/>
      <c r="C529" s="7"/>
      <c r="D529" s="7"/>
      <c r="E529" s="7"/>
      <c r="F529" s="7"/>
      <c r="G529" s="7"/>
      <c r="H529" s="2"/>
      <c r="I529" s="62"/>
      <c r="J529" s="7"/>
      <c r="K529" s="2"/>
      <c r="L529" s="2"/>
      <c r="M529" s="2"/>
      <c r="N529" s="2"/>
      <c r="O529" s="2"/>
      <c r="P529" s="2"/>
      <c r="Q529" s="2"/>
      <c r="R529" s="2"/>
      <c r="S529" s="2"/>
      <c r="T529" s="2"/>
      <c r="U529" s="2"/>
      <c r="V529" s="2"/>
      <c r="W529" s="2"/>
      <c r="X529" s="2"/>
      <c r="Y529" s="2"/>
      <c r="Z529" s="2"/>
    </row>
    <row r="530" ht="22.5" customHeight="1">
      <c r="A530" s="7"/>
      <c r="B530" s="7"/>
      <c r="C530" s="7"/>
      <c r="D530" s="7"/>
      <c r="E530" s="7"/>
      <c r="F530" s="7"/>
      <c r="G530" s="7"/>
      <c r="H530" s="2"/>
      <c r="I530" s="62"/>
      <c r="J530" s="7"/>
      <c r="K530" s="2"/>
      <c r="L530" s="2"/>
      <c r="M530" s="2"/>
      <c r="N530" s="2"/>
      <c r="O530" s="2"/>
      <c r="P530" s="2"/>
      <c r="Q530" s="2"/>
      <c r="R530" s="2"/>
      <c r="S530" s="2"/>
      <c r="T530" s="2"/>
      <c r="U530" s="2"/>
      <c r="V530" s="2"/>
      <c r="W530" s="2"/>
      <c r="X530" s="2"/>
      <c r="Y530" s="2"/>
      <c r="Z530" s="2"/>
    </row>
    <row r="531" ht="22.5" customHeight="1">
      <c r="A531" s="7"/>
      <c r="B531" s="7"/>
      <c r="C531" s="7"/>
      <c r="D531" s="7"/>
      <c r="E531" s="7"/>
      <c r="F531" s="7"/>
      <c r="G531" s="7"/>
      <c r="H531" s="2"/>
      <c r="I531" s="62"/>
      <c r="J531" s="7"/>
      <c r="K531" s="2"/>
      <c r="L531" s="2"/>
      <c r="M531" s="2"/>
      <c r="N531" s="2"/>
      <c r="O531" s="2"/>
      <c r="P531" s="2"/>
      <c r="Q531" s="2"/>
      <c r="R531" s="2"/>
      <c r="S531" s="2"/>
      <c r="T531" s="2"/>
      <c r="U531" s="2"/>
      <c r="V531" s="2"/>
      <c r="W531" s="2"/>
      <c r="X531" s="2"/>
      <c r="Y531" s="2"/>
      <c r="Z531" s="2"/>
    </row>
    <row r="532" ht="22.5" customHeight="1">
      <c r="A532" s="7"/>
      <c r="B532" s="7"/>
      <c r="C532" s="7"/>
      <c r="D532" s="7"/>
      <c r="E532" s="7"/>
      <c r="F532" s="7"/>
      <c r="G532" s="7"/>
      <c r="H532" s="2"/>
      <c r="I532" s="62"/>
      <c r="J532" s="7"/>
      <c r="K532" s="2"/>
      <c r="L532" s="2"/>
      <c r="M532" s="2"/>
      <c r="N532" s="2"/>
      <c r="O532" s="2"/>
      <c r="P532" s="2"/>
      <c r="Q532" s="2"/>
      <c r="R532" s="2"/>
      <c r="S532" s="2"/>
      <c r="T532" s="2"/>
      <c r="U532" s="2"/>
      <c r="V532" s="2"/>
      <c r="W532" s="2"/>
      <c r="X532" s="2"/>
      <c r="Y532" s="2"/>
      <c r="Z532" s="2"/>
    </row>
    <row r="533" ht="22.5" customHeight="1">
      <c r="A533" s="7"/>
      <c r="B533" s="7"/>
      <c r="C533" s="7"/>
      <c r="D533" s="7"/>
      <c r="E533" s="7"/>
      <c r="F533" s="7"/>
      <c r="G533" s="7"/>
      <c r="H533" s="2"/>
      <c r="I533" s="62"/>
      <c r="J533" s="7"/>
      <c r="K533" s="2"/>
      <c r="L533" s="2"/>
      <c r="M533" s="2"/>
      <c r="N533" s="2"/>
      <c r="O533" s="2"/>
      <c r="P533" s="2"/>
      <c r="Q533" s="2"/>
      <c r="R533" s="2"/>
      <c r="S533" s="2"/>
      <c r="T533" s="2"/>
      <c r="U533" s="2"/>
      <c r="V533" s="2"/>
      <c r="W533" s="2"/>
      <c r="X533" s="2"/>
      <c r="Y533" s="2"/>
      <c r="Z533" s="2"/>
    </row>
    <row r="534" ht="22.5" customHeight="1">
      <c r="A534" s="7"/>
      <c r="B534" s="7"/>
      <c r="C534" s="7"/>
      <c r="D534" s="7"/>
      <c r="E534" s="7"/>
      <c r="F534" s="7"/>
      <c r="G534" s="7"/>
      <c r="H534" s="2"/>
      <c r="I534" s="62"/>
      <c r="J534" s="7"/>
      <c r="K534" s="2"/>
      <c r="L534" s="2"/>
      <c r="M534" s="2"/>
      <c r="N534" s="2"/>
      <c r="O534" s="2"/>
      <c r="P534" s="2"/>
      <c r="Q534" s="2"/>
      <c r="R534" s="2"/>
      <c r="S534" s="2"/>
      <c r="T534" s="2"/>
      <c r="U534" s="2"/>
      <c r="V534" s="2"/>
      <c r="W534" s="2"/>
      <c r="X534" s="2"/>
      <c r="Y534" s="2"/>
      <c r="Z534" s="2"/>
    </row>
    <row r="535" ht="22.5" customHeight="1">
      <c r="A535" s="7"/>
      <c r="B535" s="7"/>
      <c r="C535" s="7"/>
      <c r="D535" s="7"/>
      <c r="E535" s="7"/>
      <c r="F535" s="7"/>
      <c r="G535" s="7"/>
      <c r="H535" s="2"/>
      <c r="I535" s="62"/>
      <c r="J535" s="7"/>
      <c r="K535" s="2"/>
      <c r="L535" s="2"/>
      <c r="M535" s="2"/>
      <c r="N535" s="2"/>
      <c r="O535" s="2"/>
      <c r="P535" s="2"/>
      <c r="Q535" s="2"/>
      <c r="R535" s="2"/>
      <c r="S535" s="2"/>
      <c r="T535" s="2"/>
      <c r="U535" s="2"/>
      <c r="V535" s="2"/>
      <c r="W535" s="2"/>
      <c r="X535" s="2"/>
      <c r="Y535" s="2"/>
      <c r="Z535" s="2"/>
    </row>
    <row r="536" ht="22.5" customHeight="1">
      <c r="A536" s="7"/>
      <c r="B536" s="7"/>
      <c r="C536" s="7"/>
      <c r="D536" s="7"/>
      <c r="E536" s="7"/>
      <c r="F536" s="7"/>
      <c r="G536" s="7"/>
      <c r="H536" s="2"/>
      <c r="I536" s="62"/>
      <c r="J536" s="7"/>
      <c r="K536" s="2"/>
      <c r="L536" s="2"/>
      <c r="M536" s="2"/>
      <c r="N536" s="2"/>
      <c r="O536" s="2"/>
      <c r="P536" s="2"/>
      <c r="Q536" s="2"/>
      <c r="R536" s="2"/>
      <c r="S536" s="2"/>
      <c r="T536" s="2"/>
      <c r="U536" s="2"/>
      <c r="V536" s="2"/>
      <c r="W536" s="2"/>
      <c r="X536" s="2"/>
      <c r="Y536" s="2"/>
      <c r="Z536" s="2"/>
    </row>
    <row r="537" ht="22.5" customHeight="1">
      <c r="A537" s="7"/>
      <c r="B537" s="7"/>
      <c r="C537" s="7"/>
      <c r="D537" s="7"/>
      <c r="E537" s="7"/>
      <c r="F537" s="7"/>
      <c r="G537" s="7"/>
      <c r="H537" s="2"/>
      <c r="I537" s="62"/>
      <c r="J537" s="7"/>
      <c r="K537" s="2"/>
      <c r="L537" s="2"/>
      <c r="M537" s="2"/>
      <c r="N537" s="2"/>
      <c r="O537" s="2"/>
      <c r="P537" s="2"/>
      <c r="Q537" s="2"/>
      <c r="R537" s="2"/>
      <c r="S537" s="2"/>
      <c r="T537" s="2"/>
      <c r="U537" s="2"/>
      <c r="V537" s="2"/>
      <c r="W537" s="2"/>
      <c r="X537" s="2"/>
      <c r="Y537" s="2"/>
      <c r="Z537" s="2"/>
    </row>
    <row r="538" ht="22.5" customHeight="1">
      <c r="A538" s="7"/>
      <c r="B538" s="7"/>
      <c r="C538" s="7"/>
      <c r="D538" s="7"/>
      <c r="E538" s="7"/>
      <c r="F538" s="7"/>
      <c r="G538" s="7"/>
      <c r="H538" s="2"/>
      <c r="I538" s="62"/>
      <c r="J538" s="7"/>
      <c r="K538" s="2"/>
      <c r="L538" s="2"/>
      <c r="M538" s="2"/>
      <c r="N538" s="2"/>
      <c r="O538" s="2"/>
      <c r="P538" s="2"/>
      <c r="Q538" s="2"/>
      <c r="R538" s="2"/>
      <c r="S538" s="2"/>
      <c r="T538" s="2"/>
      <c r="U538" s="2"/>
      <c r="V538" s="2"/>
      <c r="W538" s="2"/>
      <c r="X538" s="2"/>
      <c r="Y538" s="2"/>
      <c r="Z538" s="2"/>
    </row>
    <row r="539" ht="22.5" customHeight="1">
      <c r="A539" s="7"/>
      <c r="B539" s="7"/>
      <c r="C539" s="7"/>
      <c r="D539" s="7"/>
      <c r="E539" s="7"/>
      <c r="F539" s="7"/>
      <c r="G539" s="7"/>
      <c r="H539" s="2"/>
      <c r="I539" s="62"/>
      <c r="J539" s="7"/>
      <c r="K539" s="2"/>
      <c r="L539" s="2"/>
      <c r="M539" s="2"/>
      <c r="N539" s="2"/>
      <c r="O539" s="2"/>
      <c r="P539" s="2"/>
      <c r="Q539" s="2"/>
      <c r="R539" s="2"/>
      <c r="S539" s="2"/>
      <c r="T539" s="2"/>
      <c r="U539" s="2"/>
      <c r="V539" s="2"/>
      <c r="W539" s="2"/>
      <c r="X539" s="2"/>
      <c r="Y539" s="2"/>
      <c r="Z539" s="2"/>
    </row>
    <row r="540" ht="22.5" customHeight="1">
      <c r="A540" s="7"/>
      <c r="B540" s="7"/>
      <c r="C540" s="7"/>
      <c r="D540" s="7"/>
      <c r="E540" s="7"/>
      <c r="F540" s="7"/>
      <c r="G540" s="7"/>
      <c r="H540" s="2"/>
      <c r="I540" s="62"/>
      <c r="J540" s="7"/>
      <c r="K540" s="2"/>
      <c r="L540" s="2"/>
      <c r="M540" s="2"/>
      <c r="N540" s="2"/>
      <c r="O540" s="2"/>
      <c r="P540" s="2"/>
      <c r="Q540" s="2"/>
      <c r="R540" s="2"/>
      <c r="S540" s="2"/>
      <c r="T540" s="2"/>
      <c r="U540" s="2"/>
      <c r="V540" s="2"/>
      <c r="W540" s="2"/>
      <c r="X540" s="2"/>
      <c r="Y540" s="2"/>
      <c r="Z540" s="2"/>
    </row>
    <row r="541" ht="22.5" customHeight="1">
      <c r="A541" s="7"/>
      <c r="B541" s="7"/>
      <c r="C541" s="7"/>
      <c r="D541" s="7"/>
      <c r="E541" s="7"/>
      <c r="F541" s="7"/>
      <c r="G541" s="7"/>
      <c r="H541" s="2"/>
      <c r="I541" s="62"/>
      <c r="J541" s="7"/>
      <c r="K541" s="2"/>
      <c r="L541" s="2"/>
      <c r="M541" s="2"/>
      <c r="N541" s="2"/>
      <c r="O541" s="2"/>
      <c r="P541" s="2"/>
      <c r="Q541" s="2"/>
      <c r="R541" s="2"/>
      <c r="S541" s="2"/>
      <c r="T541" s="2"/>
      <c r="U541" s="2"/>
      <c r="V541" s="2"/>
      <c r="W541" s="2"/>
      <c r="X541" s="2"/>
      <c r="Y541" s="2"/>
      <c r="Z541" s="2"/>
    </row>
    <row r="542" ht="22.5" customHeight="1">
      <c r="A542" s="7"/>
      <c r="B542" s="7"/>
      <c r="C542" s="7"/>
      <c r="D542" s="7"/>
      <c r="E542" s="7"/>
      <c r="F542" s="7"/>
      <c r="G542" s="7"/>
      <c r="H542" s="2"/>
      <c r="I542" s="62"/>
      <c r="J542" s="7"/>
      <c r="K542" s="2"/>
      <c r="L542" s="2"/>
      <c r="M542" s="2"/>
      <c r="N542" s="2"/>
      <c r="O542" s="2"/>
      <c r="P542" s="2"/>
      <c r="Q542" s="2"/>
      <c r="R542" s="2"/>
      <c r="S542" s="2"/>
      <c r="T542" s="2"/>
      <c r="U542" s="2"/>
      <c r="V542" s="2"/>
      <c r="W542" s="2"/>
      <c r="X542" s="2"/>
      <c r="Y542" s="2"/>
      <c r="Z542" s="2"/>
    </row>
    <row r="543" ht="22.5" customHeight="1">
      <c r="A543" s="7"/>
      <c r="B543" s="7"/>
      <c r="C543" s="7"/>
      <c r="D543" s="7"/>
      <c r="E543" s="7"/>
      <c r="F543" s="7"/>
      <c r="G543" s="7"/>
      <c r="H543" s="2"/>
      <c r="I543" s="62"/>
      <c r="J543" s="7"/>
      <c r="K543" s="2"/>
      <c r="L543" s="2"/>
      <c r="M543" s="2"/>
      <c r="N543" s="2"/>
      <c r="O543" s="2"/>
      <c r="P543" s="2"/>
      <c r="Q543" s="2"/>
      <c r="R543" s="2"/>
      <c r="S543" s="2"/>
      <c r="T543" s="2"/>
      <c r="U543" s="2"/>
      <c r="V543" s="2"/>
      <c r="W543" s="2"/>
      <c r="X543" s="2"/>
      <c r="Y543" s="2"/>
      <c r="Z543" s="2"/>
    </row>
    <row r="544" ht="22.5" customHeight="1">
      <c r="A544" s="7"/>
      <c r="B544" s="7"/>
      <c r="C544" s="7"/>
      <c r="D544" s="7"/>
      <c r="E544" s="7"/>
      <c r="F544" s="7"/>
      <c r="G544" s="7"/>
      <c r="H544" s="2"/>
      <c r="I544" s="62"/>
      <c r="J544" s="7"/>
      <c r="K544" s="2"/>
      <c r="L544" s="2"/>
      <c r="M544" s="2"/>
      <c r="N544" s="2"/>
      <c r="O544" s="2"/>
      <c r="P544" s="2"/>
      <c r="Q544" s="2"/>
      <c r="R544" s="2"/>
      <c r="S544" s="2"/>
      <c r="T544" s="2"/>
      <c r="U544" s="2"/>
      <c r="V544" s="2"/>
      <c r="W544" s="2"/>
      <c r="X544" s="2"/>
      <c r="Y544" s="2"/>
      <c r="Z544" s="2"/>
    </row>
    <row r="545" ht="22.5" customHeight="1">
      <c r="A545" s="7"/>
      <c r="B545" s="7"/>
      <c r="C545" s="7"/>
      <c r="D545" s="7"/>
      <c r="E545" s="7"/>
      <c r="F545" s="7"/>
      <c r="G545" s="7"/>
      <c r="H545" s="2"/>
      <c r="I545" s="62"/>
      <c r="J545" s="7"/>
      <c r="K545" s="2"/>
      <c r="L545" s="2"/>
      <c r="M545" s="2"/>
      <c r="N545" s="2"/>
      <c r="O545" s="2"/>
      <c r="P545" s="2"/>
      <c r="Q545" s="2"/>
      <c r="R545" s="2"/>
      <c r="S545" s="2"/>
      <c r="T545" s="2"/>
      <c r="U545" s="2"/>
      <c r="V545" s="2"/>
      <c r="W545" s="2"/>
      <c r="X545" s="2"/>
      <c r="Y545" s="2"/>
      <c r="Z545" s="2"/>
    </row>
    <row r="546" ht="22.5" customHeight="1">
      <c r="A546" s="7"/>
      <c r="B546" s="7"/>
      <c r="C546" s="7"/>
      <c r="D546" s="7"/>
      <c r="E546" s="7"/>
      <c r="F546" s="7"/>
      <c r="G546" s="7"/>
      <c r="H546" s="2"/>
      <c r="I546" s="62"/>
      <c r="J546" s="7"/>
      <c r="K546" s="2"/>
      <c r="L546" s="2"/>
      <c r="M546" s="2"/>
      <c r="N546" s="2"/>
      <c r="O546" s="2"/>
      <c r="P546" s="2"/>
      <c r="Q546" s="2"/>
      <c r="R546" s="2"/>
      <c r="S546" s="2"/>
      <c r="T546" s="2"/>
      <c r="U546" s="2"/>
      <c r="V546" s="2"/>
      <c r="W546" s="2"/>
      <c r="X546" s="2"/>
      <c r="Y546" s="2"/>
      <c r="Z546" s="2"/>
    </row>
    <row r="547" ht="22.5" customHeight="1">
      <c r="A547" s="7"/>
      <c r="B547" s="7"/>
      <c r="C547" s="7"/>
      <c r="D547" s="7"/>
      <c r="E547" s="7"/>
      <c r="F547" s="7"/>
      <c r="G547" s="7"/>
      <c r="H547" s="2"/>
      <c r="I547" s="62"/>
      <c r="J547" s="7"/>
      <c r="K547" s="2"/>
      <c r="L547" s="2"/>
      <c r="M547" s="2"/>
      <c r="N547" s="2"/>
      <c r="O547" s="2"/>
      <c r="P547" s="2"/>
      <c r="Q547" s="2"/>
      <c r="R547" s="2"/>
      <c r="S547" s="2"/>
      <c r="T547" s="2"/>
      <c r="U547" s="2"/>
      <c r="V547" s="2"/>
      <c r="W547" s="2"/>
      <c r="X547" s="2"/>
      <c r="Y547" s="2"/>
      <c r="Z547" s="2"/>
    </row>
    <row r="548" ht="22.5" customHeight="1">
      <c r="A548" s="7"/>
      <c r="B548" s="7"/>
      <c r="C548" s="7"/>
      <c r="D548" s="7"/>
      <c r="E548" s="7"/>
      <c r="F548" s="7"/>
      <c r="G548" s="7"/>
      <c r="H548" s="2"/>
      <c r="I548" s="62"/>
      <c r="J548" s="7"/>
      <c r="K548" s="2"/>
      <c r="L548" s="2"/>
      <c r="M548" s="2"/>
      <c r="N548" s="2"/>
      <c r="O548" s="2"/>
      <c r="P548" s="2"/>
      <c r="Q548" s="2"/>
      <c r="R548" s="2"/>
      <c r="S548" s="2"/>
      <c r="T548" s="2"/>
      <c r="U548" s="2"/>
      <c r="V548" s="2"/>
      <c r="W548" s="2"/>
      <c r="X548" s="2"/>
      <c r="Y548" s="2"/>
      <c r="Z548" s="2"/>
    </row>
    <row r="549" ht="22.5" customHeight="1">
      <c r="A549" s="7"/>
      <c r="B549" s="7"/>
      <c r="C549" s="7"/>
      <c r="D549" s="7"/>
      <c r="E549" s="7"/>
      <c r="F549" s="7"/>
      <c r="G549" s="7"/>
      <c r="H549" s="2"/>
      <c r="I549" s="62"/>
      <c r="J549" s="7"/>
      <c r="K549" s="2"/>
      <c r="L549" s="2"/>
      <c r="M549" s="2"/>
      <c r="N549" s="2"/>
      <c r="O549" s="2"/>
      <c r="P549" s="2"/>
      <c r="Q549" s="2"/>
      <c r="R549" s="2"/>
      <c r="S549" s="2"/>
      <c r="T549" s="2"/>
      <c r="U549" s="2"/>
      <c r="V549" s="2"/>
      <c r="W549" s="2"/>
      <c r="X549" s="2"/>
      <c r="Y549" s="2"/>
      <c r="Z549" s="2"/>
    </row>
    <row r="550" ht="22.5" customHeight="1">
      <c r="A550" s="7"/>
      <c r="B550" s="7"/>
      <c r="C550" s="7"/>
      <c r="D550" s="7"/>
      <c r="E550" s="7"/>
      <c r="F550" s="7"/>
      <c r="G550" s="7"/>
      <c r="H550" s="2"/>
      <c r="I550" s="62"/>
      <c r="J550" s="7"/>
      <c r="K550" s="2"/>
      <c r="L550" s="2"/>
      <c r="M550" s="2"/>
      <c r="N550" s="2"/>
      <c r="O550" s="2"/>
      <c r="P550" s="2"/>
      <c r="Q550" s="2"/>
      <c r="R550" s="2"/>
      <c r="S550" s="2"/>
      <c r="T550" s="2"/>
      <c r="U550" s="2"/>
      <c r="V550" s="2"/>
      <c r="W550" s="2"/>
      <c r="X550" s="2"/>
      <c r="Y550" s="2"/>
      <c r="Z550" s="2"/>
    </row>
    <row r="551" ht="22.5" customHeight="1">
      <c r="A551" s="7"/>
      <c r="B551" s="7"/>
      <c r="C551" s="7"/>
      <c r="D551" s="7"/>
      <c r="E551" s="7"/>
      <c r="F551" s="7"/>
      <c r="G551" s="7"/>
      <c r="H551" s="2"/>
      <c r="I551" s="62"/>
      <c r="J551" s="7"/>
      <c r="K551" s="2"/>
      <c r="L551" s="2"/>
      <c r="M551" s="2"/>
      <c r="N551" s="2"/>
      <c r="O551" s="2"/>
      <c r="P551" s="2"/>
      <c r="Q551" s="2"/>
      <c r="R551" s="2"/>
      <c r="S551" s="2"/>
      <c r="T551" s="2"/>
      <c r="U551" s="2"/>
      <c r="V551" s="2"/>
      <c r="W551" s="2"/>
      <c r="X551" s="2"/>
      <c r="Y551" s="2"/>
      <c r="Z551" s="2"/>
    </row>
    <row r="552" ht="22.5" customHeight="1">
      <c r="A552" s="7"/>
      <c r="B552" s="7"/>
      <c r="C552" s="7"/>
      <c r="D552" s="7"/>
      <c r="E552" s="7"/>
      <c r="F552" s="7"/>
      <c r="G552" s="7"/>
      <c r="H552" s="2"/>
      <c r="I552" s="62"/>
      <c r="J552" s="7"/>
      <c r="K552" s="2"/>
      <c r="L552" s="2"/>
      <c r="M552" s="2"/>
      <c r="N552" s="2"/>
      <c r="O552" s="2"/>
      <c r="P552" s="2"/>
      <c r="Q552" s="2"/>
      <c r="R552" s="2"/>
      <c r="S552" s="2"/>
      <c r="T552" s="2"/>
      <c r="U552" s="2"/>
      <c r="V552" s="2"/>
      <c r="W552" s="2"/>
      <c r="X552" s="2"/>
      <c r="Y552" s="2"/>
      <c r="Z552" s="2"/>
    </row>
    <row r="553" ht="22.5" customHeight="1">
      <c r="A553" s="7"/>
      <c r="B553" s="7"/>
      <c r="C553" s="7"/>
      <c r="D553" s="7"/>
      <c r="E553" s="7"/>
      <c r="F553" s="7"/>
      <c r="G553" s="7"/>
      <c r="H553" s="2"/>
      <c r="I553" s="62"/>
      <c r="J553" s="7"/>
      <c r="K553" s="2"/>
      <c r="L553" s="2"/>
      <c r="M553" s="2"/>
      <c r="N553" s="2"/>
      <c r="O553" s="2"/>
      <c r="P553" s="2"/>
      <c r="Q553" s="2"/>
      <c r="R553" s="2"/>
      <c r="S553" s="2"/>
      <c r="T553" s="2"/>
      <c r="U553" s="2"/>
      <c r="V553" s="2"/>
      <c r="W553" s="2"/>
      <c r="X553" s="2"/>
      <c r="Y553" s="2"/>
      <c r="Z553" s="2"/>
    </row>
    <row r="554" ht="22.5" customHeight="1">
      <c r="A554" s="7"/>
      <c r="B554" s="7"/>
      <c r="C554" s="7"/>
      <c r="D554" s="7"/>
      <c r="E554" s="7"/>
      <c r="F554" s="7"/>
      <c r="G554" s="7"/>
      <c r="H554" s="2"/>
      <c r="I554" s="62"/>
      <c r="J554" s="7"/>
      <c r="K554" s="2"/>
      <c r="L554" s="2"/>
      <c r="M554" s="2"/>
      <c r="N554" s="2"/>
      <c r="O554" s="2"/>
      <c r="P554" s="2"/>
      <c r="Q554" s="2"/>
      <c r="R554" s="2"/>
      <c r="S554" s="2"/>
      <c r="T554" s="2"/>
      <c r="U554" s="2"/>
      <c r="V554" s="2"/>
      <c r="W554" s="2"/>
      <c r="X554" s="2"/>
      <c r="Y554" s="2"/>
      <c r="Z554" s="2"/>
    </row>
    <row r="555" ht="22.5" customHeight="1">
      <c r="A555" s="7"/>
      <c r="B555" s="7"/>
      <c r="C555" s="7"/>
      <c r="D555" s="7"/>
      <c r="E555" s="7"/>
      <c r="F555" s="7"/>
      <c r="G555" s="7"/>
      <c r="H555" s="2"/>
      <c r="I555" s="62"/>
      <c r="J555" s="7"/>
      <c r="K555" s="2"/>
      <c r="L555" s="2"/>
      <c r="M555" s="2"/>
      <c r="N555" s="2"/>
      <c r="O555" s="2"/>
      <c r="P555" s="2"/>
      <c r="Q555" s="2"/>
      <c r="R555" s="2"/>
      <c r="S555" s="2"/>
      <c r="T555" s="2"/>
      <c r="U555" s="2"/>
      <c r="V555" s="2"/>
      <c r="W555" s="2"/>
      <c r="X555" s="2"/>
      <c r="Y555" s="2"/>
      <c r="Z555" s="2"/>
    </row>
    <row r="556" ht="22.5" customHeight="1">
      <c r="A556" s="7"/>
      <c r="B556" s="7"/>
      <c r="C556" s="7"/>
      <c r="D556" s="7"/>
      <c r="E556" s="7"/>
      <c r="F556" s="7"/>
      <c r="G556" s="7"/>
      <c r="H556" s="2"/>
      <c r="I556" s="62"/>
      <c r="J556" s="7"/>
      <c r="K556" s="2"/>
      <c r="L556" s="2"/>
      <c r="M556" s="2"/>
      <c r="N556" s="2"/>
      <c r="O556" s="2"/>
      <c r="P556" s="2"/>
      <c r="Q556" s="2"/>
      <c r="R556" s="2"/>
      <c r="S556" s="2"/>
      <c r="T556" s="2"/>
      <c r="U556" s="2"/>
      <c r="V556" s="2"/>
      <c r="W556" s="2"/>
      <c r="X556" s="2"/>
      <c r="Y556" s="2"/>
      <c r="Z556" s="2"/>
    </row>
    <row r="557" ht="22.5" customHeight="1">
      <c r="A557" s="7"/>
      <c r="B557" s="7"/>
      <c r="C557" s="7"/>
      <c r="D557" s="7"/>
      <c r="E557" s="7"/>
      <c r="F557" s="7"/>
      <c r="G557" s="7"/>
      <c r="H557" s="2"/>
      <c r="I557" s="62"/>
      <c r="J557" s="7"/>
      <c r="K557" s="2"/>
      <c r="L557" s="2"/>
      <c r="M557" s="2"/>
      <c r="N557" s="2"/>
      <c r="O557" s="2"/>
      <c r="P557" s="2"/>
      <c r="Q557" s="2"/>
      <c r="R557" s="2"/>
      <c r="S557" s="2"/>
      <c r="T557" s="2"/>
      <c r="U557" s="2"/>
      <c r="V557" s="2"/>
      <c r="W557" s="2"/>
      <c r="X557" s="2"/>
      <c r="Y557" s="2"/>
      <c r="Z557" s="2"/>
    </row>
    <row r="558" ht="22.5" customHeight="1">
      <c r="A558" s="7"/>
      <c r="B558" s="7"/>
      <c r="C558" s="7"/>
      <c r="D558" s="7"/>
      <c r="E558" s="7"/>
      <c r="F558" s="7"/>
      <c r="G558" s="7"/>
      <c r="H558" s="2"/>
      <c r="I558" s="62"/>
      <c r="J558" s="7"/>
      <c r="K558" s="2"/>
      <c r="L558" s="2"/>
      <c r="M558" s="2"/>
      <c r="N558" s="2"/>
      <c r="O558" s="2"/>
      <c r="P558" s="2"/>
      <c r="Q558" s="2"/>
      <c r="R558" s="2"/>
      <c r="S558" s="2"/>
      <c r="T558" s="2"/>
      <c r="U558" s="2"/>
      <c r="V558" s="2"/>
      <c r="W558" s="2"/>
      <c r="X558" s="2"/>
      <c r="Y558" s="2"/>
      <c r="Z558" s="2"/>
    </row>
    <row r="559" ht="22.5" customHeight="1">
      <c r="A559" s="7"/>
      <c r="B559" s="7"/>
      <c r="C559" s="7"/>
      <c r="D559" s="7"/>
      <c r="E559" s="7"/>
      <c r="F559" s="7"/>
      <c r="G559" s="7"/>
      <c r="H559" s="2"/>
      <c r="I559" s="62"/>
      <c r="J559" s="7"/>
      <c r="K559" s="2"/>
      <c r="L559" s="2"/>
      <c r="M559" s="2"/>
      <c r="N559" s="2"/>
      <c r="O559" s="2"/>
      <c r="P559" s="2"/>
      <c r="Q559" s="2"/>
      <c r="R559" s="2"/>
      <c r="S559" s="2"/>
      <c r="T559" s="2"/>
      <c r="U559" s="2"/>
      <c r="V559" s="2"/>
      <c r="W559" s="2"/>
      <c r="X559" s="2"/>
      <c r="Y559" s="2"/>
      <c r="Z559" s="2"/>
    </row>
    <row r="560" ht="22.5" customHeight="1">
      <c r="A560" s="7"/>
      <c r="B560" s="7"/>
      <c r="C560" s="7"/>
      <c r="D560" s="7"/>
      <c r="E560" s="7"/>
      <c r="F560" s="7"/>
      <c r="G560" s="7"/>
      <c r="H560" s="2"/>
      <c r="I560" s="62"/>
      <c r="J560" s="7"/>
      <c r="K560" s="2"/>
      <c r="L560" s="2"/>
      <c r="M560" s="2"/>
      <c r="N560" s="2"/>
      <c r="O560" s="2"/>
      <c r="P560" s="2"/>
      <c r="Q560" s="2"/>
      <c r="R560" s="2"/>
      <c r="S560" s="2"/>
      <c r="T560" s="2"/>
      <c r="U560" s="2"/>
      <c r="V560" s="2"/>
      <c r="W560" s="2"/>
      <c r="X560" s="2"/>
      <c r="Y560" s="2"/>
      <c r="Z560" s="2"/>
    </row>
    <row r="561" ht="22.5" customHeight="1">
      <c r="A561" s="7"/>
      <c r="B561" s="7"/>
      <c r="C561" s="7"/>
      <c r="D561" s="7"/>
      <c r="E561" s="7"/>
      <c r="F561" s="7"/>
      <c r="G561" s="7"/>
      <c r="H561" s="2"/>
      <c r="I561" s="62"/>
      <c r="J561" s="7"/>
      <c r="K561" s="2"/>
      <c r="L561" s="2"/>
      <c r="M561" s="2"/>
      <c r="N561" s="2"/>
      <c r="O561" s="2"/>
      <c r="P561" s="2"/>
      <c r="Q561" s="2"/>
      <c r="R561" s="2"/>
      <c r="S561" s="2"/>
      <c r="T561" s="2"/>
      <c r="U561" s="2"/>
      <c r="V561" s="2"/>
      <c r="W561" s="2"/>
      <c r="X561" s="2"/>
      <c r="Y561" s="2"/>
      <c r="Z561" s="2"/>
    </row>
    <row r="562" ht="22.5" customHeight="1">
      <c r="A562" s="7"/>
      <c r="B562" s="7"/>
      <c r="C562" s="7"/>
      <c r="D562" s="7"/>
      <c r="E562" s="7"/>
      <c r="F562" s="7"/>
      <c r="G562" s="7"/>
      <c r="H562" s="2"/>
      <c r="I562" s="62"/>
      <c r="J562" s="7"/>
      <c r="K562" s="2"/>
      <c r="L562" s="2"/>
      <c r="M562" s="2"/>
      <c r="N562" s="2"/>
      <c r="O562" s="2"/>
      <c r="P562" s="2"/>
      <c r="Q562" s="2"/>
      <c r="R562" s="2"/>
      <c r="S562" s="2"/>
      <c r="T562" s="2"/>
      <c r="U562" s="2"/>
      <c r="V562" s="2"/>
      <c r="W562" s="2"/>
      <c r="X562" s="2"/>
      <c r="Y562" s="2"/>
      <c r="Z562" s="2"/>
    </row>
    <row r="563" ht="22.5" customHeight="1">
      <c r="A563" s="7"/>
      <c r="B563" s="7"/>
      <c r="C563" s="7"/>
      <c r="D563" s="7"/>
      <c r="E563" s="7"/>
      <c r="F563" s="7"/>
      <c r="G563" s="7"/>
      <c r="H563" s="2"/>
      <c r="I563" s="62"/>
      <c r="J563" s="7"/>
      <c r="K563" s="2"/>
      <c r="L563" s="2"/>
      <c r="M563" s="2"/>
      <c r="N563" s="2"/>
      <c r="O563" s="2"/>
      <c r="P563" s="2"/>
      <c r="Q563" s="2"/>
      <c r="R563" s="2"/>
      <c r="S563" s="2"/>
      <c r="T563" s="2"/>
      <c r="U563" s="2"/>
      <c r="V563" s="2"/>
      <c r="W563" s="2"/>
      <c r="X563" s="2"/>
      <c r="Y563" s="2"/>
      <c r="Z563" s="2"/>
    </row>
    <row r="564" ht="22.5" customHeight="1">
      <c r="A564" s="7"/>
      <c r="B564" s="7"/>
      <c r="C564" s="7"/>
      <c r="D564" s="7"/>
      <c r="E564" s="7"/>
      <c r="F564" s="7"/>
      <c r="G564" s="7"/>
      <c r="H564" s="2"/>
      <c r="I564" s="62"/>
      <c r="J564" s="7"/>
      <c r="K564" s="2"/>
      <c r="L564" s="2"/>
      <c r="M564" s="2"/>
      <c r="N564" s="2"/>
      <c r="O564" s="2"/>
      <c r="P564" s="2"/>
      <c r="Q564" s="2"/>
      <c r="R564" s="2"/>
      <c r="S564" s="2"/>
      <c r="T564" s="2"/>
      <c r="U564" s="2"/>
      <c r="V564" s="2"/>
      <c r="W564" s="2"/>
      <c r="X564" s="2"/>
      <c r="Y564" s="2"/>
      <c r="Z564" s="2"/>
    </row>
    <row r="565" ht="22.5" customHeight="1">
      <c r="A565" s="7"/>
      <c r="B565" s="7"/>
      <c r="C565" s="7"/>
      <c r="D565" s="7"/>
      <c r="E565" s="7"/>
      <c r="F565" s="7"/>
      <c r="G565" s="7"/>
      <c r="H565" s="2"/>
      <c r="I565" s="62"/>
      <c r="J565" s="7"/>
      <c r="K565" s="2"/>
      <c r="L565" s="2"/>
      <c r="M565" s="2"/>
      <c r="N565" s="2"/>
      <c r="O565" s="2"/>
      <c r="P565" s="2"/>
      <c r="Q565" s="2"/>
      <c r="R565" s="2"/>
      <c r="S565" s="2"/>
      <c r="T565" s="2"/>
      <c r="U565" s="2"/>
      <c r="V565" s="2"/>
      <c r="W565" s="2"/>
      <c r="X565" s="2"/>
      <c r="Y565" s="2"/>
      <c r="Z565" s="2"/>
    </row>
    <row r="566" ht="22.5" customHeight="1">
      <c r="A566" s="7"/>
      <c r="B566" s="7"/>
      <c r="C566" s="7"/>
      <c r="D566" s="7"/>
      <c r="E566" s="7"/>
      <c r="F566" s="7"/>
      <c r="G566" s="7"/>
      <c r="H566" s="2"/>
      <c r="I566" s="62"/>
      <c r="J566" s="7"/>
      <c r="K566" s="2"/>
      <c r="L566" s="2"/>
      <c r="M566" s="2"/>
      <c r="N566" s="2"/>
      <c r="O566" s="2"/>
      <c r="P566" s="2"/>
      <c r="Q566" s="2"/>
      <c r="R566" s="2"/>
      <c r="S566" s="2"/>
      <c r="T566" s="2"/>
      <c r="U566" s="2"/>
      <c r="V566" s="2"/>
      <c r="W566" s="2"/>
      <c r="X566" s="2"/>
      <c r="Y566" s="2"/>
      <c r="Z566" s="2"/>
    </row>
    <row r="567" ht="22.5" customHeight="1">
      <c r="A567" s="7"/>
      <c r="B567" s="7"/>
      <c r="C567" s="7"/>
      <c r="D567" s="7"/>
      <c r="E567" s="7"/>
      <c r="F567" s="7"/>
      <c r="G567" s="7"/>
      <c r="H567" s="2"/>
      <c r="I567" s="62"/>
      <c r="J567" s="7"/>
      <c r="K567" s="2"/>
      <c r="L567" s="2"/>
      <c r="M567" s="2"/>
      <c r="N567" s="2"/>
      <c r="O567" s="2"/>
      <c r="P567" s="2"/>
      <c r="Q567" s="2"/>
      <c r="R567" s="2"/>
      <c r="S567" s="2"/>
      <c r="T567" s="2"/>
      <c r="U567" s="2"/>
      <c r="V567" s="2"/>
      <c r="W567" s="2"/>
      <c r="X567" s="2"/>
      <c r="Y567" s="2"/>
      <c r="Z567" s="2"/>
    </row>
    <row r="568" ht="22.5" customHeight="1">
      <c r="A568" s="7"/>
      <c r="B568" s="7"/>
      <c r="C568" s="7"/>
      <c r="D568" s="7"/>
      <c r="E568" s="7"/>
      <c r="F568" s="7"/>
      <c r="G568" s="7"/>
      <c r="H568" s="2"/>
      <c r="I568" s="62"/>
      <c r="J568" s="7"/>
      <c r="K568" s="2"/>
      <c r="L568" s="2"/>
      <c r="M568" s="2"/>
      <c r="N568" s="2"/>
      <c r="O568" s="2"/>
      <c r="P568" s="2"/>
      <c r="Q568" s="2"/>
      <c r="R568" s="2"/>
      <c r="S568" s="2"/>
      <c r="T568" s="2"/>
      <c r="U568" s="2"/>
      <c r="V568" s="2"/>
      <c r="W568" s="2"/>
      <c r="X568" s="2"/>
      <c r="Y568" s="2"/>
      <c r="Z568" s="2"/>
    </row>
    <row r="569" ht="22.5" customHeight="1">
      <c r="A569" s="7"/>
      <c r="B569" s="7"/>
      <c r="C569" s="7"/>
      <c r="D569" s="7"/>
      <c r="E569" s="7"/>
      <c r="F569" s="7"/>
      <c r="G569" s="7"/>
      <c r="H569" s="2"/>
      <c r="I569" s="62"/>
      <c r="J569" s="7"/>
      <c r="K569" s="2"/>
      <c r="L569" s="2"/>
      <c r="M569" s="2"/>
      <c r="N569" s="2"/>
      <c r="O569" s="2"/>
      <c r="P569" s="2"/>
      <c r="Q569" s="2"/>
      <c r="R569" s="2"/>
      <c r="S569" s="2"/>
      <c r="T569" s="2"/>
      <c r="U569" s="2"/>
      <c r="V569" s="2"/>
      <c r="W569" s="2"/>
      <c r="X569" s="2"/>
      <c r="Y569" s="2"/>
      <c r="Z569" s="2"/>
    </row>
    <row r="570" ht="22.5" customHeight="1">
      <c r="A570" s="7"/>
      <c r="B570" s="7"/>
      <c r="C570" s="7"/>
      <c r="D570" s="7"/>
      <c r="E570" s="7"/>
      <c r="F570" s="7"/>
      <c r="G570" s="7"/>
      <c r="H570" s="2"/>
      <c r="I570" s="62"/>
      <c r="J570" s="7"/>
      <c r="K570" s="2"/>
      <c r="L570" s="2"/>
      <c r="M570" s="2"/>
      <c r="N570" s="2"/>
      <c r="O570" s="2"/>
      <c r="P570" s="2"/>
      <c r="Q570" s="2"/>
      <c r="R570" s="2"/>
      <c r="S570" s="2"/>
      <c r="T570" s="2"/>
      <c r="U570" s="2"/>
      <c r="V570" s="2"/>
      <c r="W570" s="2"/>
      <c r="X570" s="2"/>
      <c r="Y570" s="2"/>
      <c r="Z570" s="2"/>
    </row>
    <row r="571" ht="22.5" customHeight="1">
      <c r="A571" s="7"/>
      <c r="B571" s="7"/>
      <c r="C571" s="7"/>
      <c r="D571" s="7"/>
      <c r="E571" s="7"/>
      <c r="F571" s="7"/>
      <c r="G571" s="7"/>
      <c r="H571" s="2"/>
      <c r="I571" s="62"/>
      <c r="J571" s="7"/>
      <c r="K571" s="2"/>
      <c r="L571" s="2"/>
      <c r="M571" s="2"/>
      <c r="N571" s="2"/>
      <c r="O571" s="2"/>
      <c r="P571" s="2"/>
      <c r="Q571" s="2"/>
      <c r="R571" s="2"/>
      <c r="S571" s="2"/>
      <c r="T571" s="2"/>
      <c r="U571" s="2"/>
      <c r="V571" s="2"/>
      <c r="W571" s="2"/>
      <c r="X571" s="2"/>
      <c r="Y571" s="2"/>
      <c r="Z571" s="2"/>
    </row>
    <row r="572" ht="22.5" customHeight="1">
      <c r="A572" s="7"/>
      <c r="B572" s="7"/>
      <c r="C572" s="7"/>
      <c r="D572" s="7"/>
      <c r="E572" s="7"/>
      <c r="F572" s="7"/>
      <c r="G572" s="7"/>
      <c r="H572" s="2"/>
      <c r="I572" s="62"/>
      <c r="J572" s="7"/>
      <c r="K572" s="2"/>
      <c r="L572" s="2"/>
      <c r="M572" s="2"/>
      <c r="N572" s="2"/>
      <c r="O572" s="2"/>
      <c r="P572" s="2"/>
      <c r="Q572" s="2"/>
      <c r="R572" s="2"/>
      <c r="S572" s="2"/>
      <c r="T572" s="2"/>
      <c r="U572" s="2"/>
      <c r="V572" s="2"/>
      <c r="W572" s="2"/>
      <c r="X572" s="2"/>
      <c r="Y572" s="2"/>
      <c r="Z572" s="2"/>
    </row>
    <row r="573" ht="22.5" customHeight="1">
      <c r="A573" s="7"/>
      <c r="B573" s="7"/>
      <c r="C573" s="7"/>
      <c r="D573" s="7"/>
      <c r="E573" s="7"/>
      <c r="F573" s="7"/>
      <c r="G573" s="7"/>
      <c r="H573" s="2"/>
      <c r="I573" s="62"/>
      <c r="J573" s="7"/>
      <c r="K573" s="2"/>
      <c r="L573" s="2"/>
      <c r="M573" s="2"/>
      <c r="N573" s="2"/>
      <c r="O573" s="2"/>
      <c r="P573" s="2"/>
      <c r="Q573" s="2"/>
      <c r="R573" s="2"/>
      <c r="S573" s="2"/>
      <c r="T573" s="2"/>
      <c r="U573" s="2"/>
      <c r="V573" s="2"/>
      <c r="W573" s="2"/>
      <c r="X573" s="2"/>
      <c r="Y573" s="2"/>
      <c r="Z573" s="2"/>
    </row>
    <row r="574" ht="22.5" customHeight="1">
      <c r="A574" s="7"/>
      <c r="B574" s="7"/>
      <c r="C574" s="7"/>
      <c r="D574" s="7"/>
      <c r="E574" s="7"/>
      <c r="F574" s="7"/>
      <c r="G574" s="7"/>
      <c r="H574" s="2"/>
      <c r="I574" s="62"/>
      <c r="J574" s="7"/>
      <c r="K574" s="2"/>
      <c r="L574" s="2"/>
      <c r="M574" s="2"/>
      <c r="N574" s="2"/>
      <c r="O574" s="2"/>
      <c r="P574" s="2"/>
      <c r="Q574" s="2"/>
      <c r="R574" s="2"/>
      <c r="S574" s="2"/>
      <c r="T574" s="2"/>
      <c r="U574" s="2"/>
      <c r="V574" s="2"/>
      <c r="W574" s="2"/>
      <c r="X574" s="2"/>
      <c r="Y574" s="2"/>
      <c r="Z574" s="2"/>
    </row>
    <row r="575" ht="22.5" customHeight="1">
      <c r="A575" s="7"/>
      <c r="B575" s="7"/>
      <c r="C575" s="7"/>
      <c r="D575" s="7"/>
      <c r="E575" s="7"/>
      <c r="F575" s="7"/>
      <c r="G575" s="7"/>
      <c r="H575" s="2"/>
      <c r="I575" s="62"/>
      <c r="J575" s="7"/>
      <c r="K575" s="2"/>
      <c r="L575" s="2"/>
      <c r="M575" s="2"/>
      <c r="N575" s="2"/>
      <c r="O575" s="2"/>
      <c r="P575" s="2"/>
      <c r="Q575" s="2"/>
      <c r="R575" s="2"/>
      <c r="S575" s="2"/>
      <c r="T575" s="2"/>
      <c r="U575" s="2"/>
      <c r="V575" s="2"/>
      <c r="W575" s="2"/>
      <c r="X575" s="2"/>
      <c r="Y575" s="2"/>
      <c r="Z575" s="2"/>
    </row>
    <row r="576" ht="22.5" customHeight="1">
      <c r="A576" s="7"/>
      <c r="B576" s="7"/>
      <c r="C576" s="7"/>
      <c r="D576" s="7"/>
      <c r="E576" s="7"/>
      <c r="F576" s="7"/>
      <c r="G576" s="7"/>
      <c r="H576" s="2"/>
      <c r="I576" s="62"/>
      <c r="J576" s="7"/>
      <c r="K576" s="2"/>
      <c r="L576" s="2"/>
      <c r="M576" s="2"/>
      <c r="N576" s="2"/>
      <c r="O576" s="2"/>
      <c r="P576" s="2"/>
      <c r="Q576" s="2"/>
      <c r="R576" s="2"/>
      <c r="S576" s="2"/>
      <c r="T576" s="2"/>
      <c r="U576" s="2"/>
      <c r="V576" s="2"/>
      <c r="W576" s="2"/>
      <c r="X576" s="2"/>
      <c r="Y576" s="2"/>
      <c r="Z576" s="2"/>
    </row>
    <row r="577" ht="22.5" customHeight="1">
      <c r="A577" s="7"/>
      <c r="B577" s="7"/>
      <c r="C577" s="7"/>
      <c r="D577" s="7"/>
      <c r="E577" s="7"/>
      <c r="F577" s="7"/>
      <c r="G577" s="7"/>
      <c r="H577" s="2"/>
      <c r="I577" s="62"/>
      <c r="J577" s="7"/>
      <c r="K577" s="2"/>
      <c r="L577" s="2"/>
      <c r="M577" s="2"/>
      <c r="N577" s="2"/>
      <c r="O577" s="2"/>
      <c r="P577" s="2"/>
      <c r="Q577" s="2"/>
      <c r="R577" s="2"/>
      <c r="S577" s="2"/>
      <c r="T577" s="2"/>
      <c r="U577" s="2"/>
      <c r="V577" s="2"/>
      <c r="W577" s="2"/>
      <c r="X577" s="2"/>
      <c r="Y577" s="2"/>
      <c r="Z577" s="2"/>
    </row>
    <row r="578" ht="22.5" customHeight="1">
      <c r="A578" s="7"/>
      <c r="B578" s="7"/>
      <c r="C578" s="7"/>
      <c r="D578" s="7"/>
      <c r="E578" s="7"/>
      <c r="F578" s="7"/>
      <c r="G578" s="7"/>
      <c r="H578" s="2"/>
      <c r="I578" s="62"/>
      <c r="J578" s="7"/>
      <c r="K578" s="2"/>
      <c r="L578" s="2"/>
      <c r="M578" s="2"/>
      <c r="N578" s="2"/>
      <c r="O578" s="2"/>
      <c r="P578" s="2"/>
      <c r="Q578" s="2"/>
      <c r="R578" s="2"/>
      <c r="S578" s="2"/>
      <c r="T578" s="2"/>
      <c r="U578" s="2"/>
      <c r="V578" s="2"/>
      <c r="W578" s="2"/>
      <c r="X578" s="2"/>
      <c r="Y578" s="2"/>
      <c r="Z578" s="2"/>
    </row>
    <row r="579" ht="22.5" customHeight="1">
      <c r="A579" s="7"/>
      <c r="B579" s="7"/>
      <c r="C579" s="7"/>
      <c r="D579" s="7"/>
      <c r="E579" s="7"/>
      <c r="F579" s="7"/>
      <c r="G579" s="7"/>
      <c r="H579" s="2"/>
      <c r="I579" s="62"/>
      <c r="J579" s="7"/>
      <c r="K579" s="2"/>
      <c r="L579" s="2"/>
      <c r="M579" s="2"/>
      <c r="N579" s="2"/>
      <c r="O579" s="2"/>
      <c r="P579" s="2"/>
      <c r="Q579" s="2"/>
      <c r="R579" s="2"/>
      <c r="S579" s="2"/>
      <c r="T579" s="2"/>
      <c r="U579" s="2"/>
      <c r="V579" s="2"/>
      <c r="W579" s="2"/>
      <c r="X579" s="2"/>
      <c r="Y579" s="2"/>
      <c r="Z579" s="2"/>
    </row>
    <row r="580" ht="22.5" customHeight="1">
      <c r="A580" s="7"/>
      <c r="B580" s="7"/>
      <c r="C580" s="7"/>
      <c r="D580" s="7"/>
      <c r="E580" s="7"/>
      <c r="F580" s="7"/>
      <c r="G580" s="7"/>
      <c r="H580" s="2"/>
      <c r="I580" s="62"/>
      <c r="J580" s="7"/>
      <c r="K580" s="2"/>
      <c r="L580" s="2"/>
      <c r="M580" s="2"/>
      <c r="N580" s="2"/>
      <c r="O580" s="2"/>
      <c r="P580" s="2"/>
      <c r="Q580" s="2"/>
      <c r="R580" s="2"/>
      <c r="S580" s="2"/>
      <c r="T580" s="2"/>
      <c r="U580" s="2"/>
      <c r="V580" s="2"/>
      <c r="W580" s="2"/>
      <c r="X580" s="2"/>
      <c r="Y580" s="2"/>
      <c r="Z580" s="2"/>
    </row>
    <row r="581" ht="22.5" customHeight="1">
      <c r="A581" s="7"/>
      <c r="B581" s="7"/>
      <c r="C581" s="7"/>
      <c r="D581" s="7"/>
      <c r="E581" s="7"/>
      <c r="F581" s="7"/>
      <c r="G581" s="7"/>
      <c r="H581" s="2"/>
      <c r="I581" s="62"/>
      <c r="J581" s="7"/>
      <c r="K581" s="2"/>
      <c r="L581" s="2"/>
      <c r="M581" s="2"/>
      <c r="N581" s="2"/>
      <c r="O581" s="2"/>
      <c r="P581" s="2"/>
      <c r="Q581" s="2"/>
      <c r="R581" s="2"/>
      <c r="S581" s="2"/>
      <c r="T581" s="2"/>
      <c r="U581" s="2"/>
      <c r="V581" s="2"/>
      <c r="W581" s="2"/>
      <c r="X581" s="2"/>
      <c r="Y581" s="2"/>
      <c r="Z581" s="2"/>
    </row>
    <row r="582" ht="22.5" customHeight="1">
      <c r="A582" s="7"/>
      <c r="B582" s="7"/>
      <c r="C582" s="7"/>
      <c r="D582" s="7"/>
      <c r="E582" s="7"/>
      <c r="F582" s="7"/>
      <c r="G582" s="7"/>
      <c r="H582" s="2"/>
      <c r="I582" s="62"/>
      <c r="J582" s="7"/>
      <c r="K582" s="2"/>
      <c r="L582" s="2"/>
      <c r="M582" s="2"/>
      <c r="N582" s="2"/>
      <c r="O582" s="2"/>
      <c r="P582" s="2"/>
      <c r="Q582" s="2"/>
      <c r="R582" s="2"/>
      <c r="S582" s="2"/>
      <c r="T582" s="2"/>
      <c r="U582" s="2"/>
      <c r="V582" s="2"/>
      <c r="W582" s="2"/>
      <c r="X582" s="2"/>
      <c r="Y582" s="2"/>
      <c r="Z582" s="2"/>
    </row>
    <row r="583" ht="22.5" customHeight="1">
      <c r="A583" s="7"/>
      <c r="B583" s="7"/>
      <c r="C583" s="7"/>
      <c r="D583" s="7"/>
      <c r="E583" s="7"/>
      <c r="F583" s="7"/>
      <c r="G583" s="7"/>
      <c r="H583" s="2"/>
      <c r="I583" s="62"/>
      <c r="J583" s="7"/>
      <c r="K583" s="2"/>
      <c r="L583" s="2"/>
      <c r="M583" s="2"/>
      <c r="N583" s="2"/>
      <c r="O583" s="2"/>
      <c r="P583" s="2"/>
      <c r="Q583" s="2"/>
      <c r="R583" s="2"/>
      <c r="S583" s="2"/>
      <c r="T583" s="2"/>
      <c r="U583" s="2"/>
      <c r="V583" s="2"/>
      <c r="W583" s="2"/>
      <c r="X583" s="2"/>
      <c r="Y583" s="2"/>
      <c r="Z583" s="2"/>
    </row>
    <row r="584" ht="22.5" customHeight="1">
      <c r="A584" s="7"/>
      <c r="B584" s="7"/>
      <c r="C584" s="7"/>
      <c r="D584" s="7"/>
      <c r="E584" s="7"/>
      <c r="F584" s="7"/>
      <c r="G584" s="7"/>
      <c r="H584" s="2"/>
      <c r="I584" s="62"/>
      <c r="J584" s="7"/>
      <c r="K584" s="2"/>
      <c r="L584" s="2"/>
      <c r="M584" s="2"/>
      <c r="N584" s="2"/>
      <c r="O584" s="2"/>
      <c r="P584" s="2"/>
      <c r="Q584" s="2"/>
      <c r="R584" s="2"/>
      <c r="S584" s="2"/>
      <c r="T584" s="2"/>
      <c r="U584" s="2"/>
      <c r="V584" s="2"/>
      <c r="W584" s="2"/>
      <c r="X584" s="2"/>
      <c r="Y584" s="2"/>
      <c r="Z584" s="2"/>
    </row>
    <row r="585" ht="22.5" customHeight="1">
      <c r="A585" s="7"/>
      <c r="B585" s="7"/>
      <c r="C585" s="7"/>
      <c r="D585" s="7"/>
      <c r="E585" s="7"/>
      <c r="F585" s="7"/>
      <c r="G585" s="7"/>
      <c r="H585" s="2"/>
      <c r="I585" s="62"/>
      <c r="J585" s="7"/>
      <c r="K585" s="2"/>
      <c r="L585" s="2"/>
      <c r="M585" s="2"/>
      <c r="N585" s="2"/>
      <c r="O585" s="2"/>
      <c r="P585" s="2"/>
      <c r="Q585" s="2"/>
      <c r="R585" s="2"/>
      <c r="S585" s="2"/>
      <c r="T585" s="2"/>
      <c r="U585" s="2"/>
      <c r="V585" s="2"/>
      <c r="W585" s="2"/>
      <c r="X585" s="2"/>
      <c r="Y585" s="2"/>
      <c r="Z585" s="2"/>
    </row>
    <row r="586" ht="22.5" customHeight="1">
      <c r="A586" s="7"/>
      <c r="B586" s="7"/>
      <c r="C586" s="7"/>
      <c r="D586" s="7"/>
      <c r="E586" s="7"/>
      <c r="F586" s="7"/>
      <c r="G586" s="7"/>
      <c r="H586" s="2"/>
      <c r="I586" s="62"/>
      <c r="J586" s="7"/>
      <c r="K586" s="2"/>
      <c r="L586" s="2"/>
      <c r="M586" s="2"/>
      <c r="N586" s="2"/>
      <c r="O586" s="2"/>
      <c r="P586" s="2"/>
      <c r="Q586" s="2"/>
      <c r="R586" s="2"/>
      <c r="S586" s="2"/>
      <c r="T586" s="2"/>
      <c r="U586" s="2"/>
      <c r="V586" s="2"/>
      <c r="W586" s="2"/>
      <c r="X586" s="2"/>
      <c r="Y586" s="2"/>
      <c r="Z586" s="2"/>
    </row>
    <row r="587" ht="22.5" customHeight="1">
      <c r="A587" s="7"/>
      <c r="B587" s="7"/>
      <c r="C587" s="7"/>
      <c r="D587" s="7"/>
      <c r="E587" s="7"/>
      <c r="F587" s="7"/>
      <c r="G587" s="7"/>
      <c r="H587" s="2"/>
      <c r="I587" s="62"/>
      <c r="J587" s="7"/>
      <c r="K587" s="2"/>
      <c r="L587" s="2"/>
      <c r="M587" s="2"/>
      <c r="N587" s="2"/>
      <c r="O587" s="2"/>
      <c r="P587" s="2"/>
      <c r="Q587" s="2"/>
      <c r="R587" s="2"/>
      <c r="S587" s="2"/>
      <c r="T587" s="2"/>
      <c r="U587" s="2"/>
      <c r="V587" s="2"/>
      <c r="W587" s="2"/>
      <c r="X587" s="2"/>
      <c r="Y587" s="2"/>
      <c r="Z587" s="2"/>
    </row>
    <row r="588" ht="22.5" customHeight="1">
      <c r="A588" s="7"/>
      <c r="B588" s="7"/>
      <c r="C588" s="7"/>
      <c r="D588" s="7"/>
      <c r="E588" s="7"/>
      <c r="F588" s="7"/>
      <c r="G588" s="7"/>
      <c r="H588" s="2"/>
      <c r="I588" s="62"/>
      <c r="J588" s="7"/>
      <c r="K588" s="2"/>
      <c r="L588" s="2"/>
      <c r="M588" s="2"/>
      <c r="N588" s="2"/>
      <c r="O588" s="2"/>
      <c r="P588" s="2"/>
      <c r="Q588" s="2"/>
      <c r="R588" s="2"/>
      <c r="S588" s="2"/>
      <c r="T588" s="2"/>
      <c r="U588" s="2"/>
      <c r="V588" s="2"/>
      <c r="W588" s="2"/>
      <c r="X588" s="2"/>
      <c r="Y588" s="2"/>
      <c r="Z588" s="2"/>
    </row>
    <row r="589" ht="22.5" customHeight="1">
      <c r="A589" s="7"/>
      <c r="B589" s="7"/>
      <c r="C589" s="7"/>
      <c r="D589" s="7"/>
      <c r="E589" s="7"/>
      <c r="F589" s="7"/>
      <c r="G589" s="7"/>
      <c r="H589" s="2"/>
      <c r="I589" s="62"/>
      <c r="J589" s="7"/>
      <c r="K589" s="2"/>
      <c r="L589" s="2"/>
      <c r="M589" s="2"/>
      <c r="N589" s="2"/>
      <c r="O589" s="2"/>
      <c r="P589" s="2"/>
      <c r="Q589" s="2"/>
      <c r="R589" s="2"/>
      <c r="S589" s="2"/>
      <c r="T589" s="2"/>
      <c r="U589" s="2"/>
      <c r="V589" s="2"/>
      <c r="W589" s="2"/>
      <c r="X589" s="2"/>
      <c r="Y589" s="2"/>
      <c r="Z589" s="2"/>
    </row>
    <row r="590" ht="22.5" customHeight="1">
      <c r="A590" s="7"/>
      <c r="B590" s="7"/>
      <c r="C590" s="7"/>
      <c r="D590" s="7"/>
      <c r="E590" s="7"/>
      <c r="F590" s="7"/>
      <c r="G590" s="7"/>
      <c r="H590" s="2"/>
      <c r="I590" s="62"/>
      <c r="J590" s="7"/>
      <c r="K590" s="2"/>
      <c r="L590" s="2"/>
      <c r="M590" s="2"/>
      <c r="N590" s="2"/>
      <c r="O590" s="2"/>
      <c r="P590" s="2"/>
      <c r="Q590" s="2"/>
      <c r="R590" s="2"/>
      <c r="S590" s="2"/>
      <c r="T590" s="2"/>
      <c r="U590" s="2"/>
      <c r="V590" s="2"/>
      <c r="W590" s="2"/>
      <c r="X590" s="2"/>
      <c r="Y590" s="2"/>
      <c r="Z590" s="2"/>
    </row>
    <row r="591" ht="22.5" customHeight="1">
      <c r="A591" s="7"/>
      <c r="B591" s="7"/>
      <c r="C591" s="7"/>
      <c r="D591" s="7"/>
      <c r="E591" s="7"/>
      <c r="F591" s="7"/>
      <c r="G591" s="7"/>
      <c r="H591" s="2"/>
      <c r="I591" s="62"/>
      <c r="J591" s="7"/>
      <c r="K591" s="2"/>
      <c r="L591" s="2"/>
      <c r="M591" s="2"/>
      <c r="N591" s="2"/>
      <c r="O591" s="2"/>
      <c r="P591" s="2"/>
      <c r="Q591" s="2"/>
      <c r="R591" s="2"/>
      <c r="S591" s="2"/>
      <c r="T591" s="2"/>
      <c r="U591" s="2"/>
      <c r="V591" s="2"/>
      <c r="W591" s="2"/>
      <c r="X591" s="2"/>
      <c r="Y591" s="2"/>
      <c r="Z591" s="2"/>
    </row>
    <row r="592" ht="22.5" customHeight="1">
      <c r="A592" s="7"/>
      <c r="B592" s="7"/>
      <c r="C592" s="7"/>
      <c r="D592" s="7"/>
      <c r="E592" s="7"/>
      <c r="F592" s="7"/>
      <c r="G592" s="7"/>
      <c r="H592" s="2"/>
      <c r="I592" s="62"/>
      <c r="J592" s="7"/>
      <c r="K592" s="2"/>
      <c r="L592" s="2"/>
      <c r="M592" s="2"/>
      <c r="N592" s="2"/>
      <c r="O592" s="2"/>
      <c r="P592" s="2"/>
      <c r="Q592" s="2"/>
      <c r="R592" s="2"/>
      <c r="S592" s="2"/>
      <c r="T592" s="2"/>
      <c r="U592" s="2"/>
      <c r="V592" s="2"/>
      <c r="W592" s="2"/>
      <c r="X592" s="2"/>
      <c r="Y592" s="2"/>
      <c r="Z592" s="2"/>
    </row>
    <row r="593" ht="22.5" customHeight="1">
      <c r="A593" s="7"/>
      <c r="B593" s="7"/>
      <c r="C593" s="7"/>
      <c r="D593" s="7"/>
      <c r="E593" s="7"/>
      <c r="F593" s="7"/>
      <c r="G593" s="7"/>
      <c r="H593" s="2"/>
      <c r="I593" s="62"/>
      <c r="J593" s="7"/>
      <c r="K593" s="2"/>
      <c r="L593" s="2"/>
      <c r="M593" s="2"/>
      <c r="N593" s="2"/>
      <c r="O593" s="2"/>
      <c r="P593" s="2"/>
      <c r="Q593" s="2"/>
      <c r="R593" s="2"/>
      <c r="S593" s="2"/>
      <c r="T593" s="2"/>
      <c r="U593" s="2"/>
      <c r="V593" s="2"/>
      <c r="W593" s="2"/>
      <c r="X593" s="2"/>
      <c r="Y593" s="2"/>
      <c r="Z593" s="2"/>
    </row>
    <row r="594" ht="22.5" customHeight="1">
      <c r="A594" s="7"/>
      <c r="B594" s="7"/>
      <c r="C594" s="7"/>
      <c r="D594" s="7"/>
      <c r="E594" s="7"/>
      <c r="F594" s="7"/>
      <c r="G594" s="7"/>
      <c r="H594" s="2"/>
      <c r="I594" s="62"/>
      <c r="J594" s="7"/>
      <c r="K594" s="2"/>
      <c r="L594" s="2"/>
      <c r="M594" s="2"/>
      <c r="N594" s="2"/>
      <c r="O594" s="2"/>
      <c r="P594" s="2"/>
      <c r="Q594" s="2"/>
      <c r="R594" s="2"/>
      <c r="S594" s="2"/>
      <c r="T594" s="2"/>
      <c r="U594" s="2"/>
      <c r="V594" s="2"/>
      <c r="W594" s="2"/>
      <c r="X594" s="2"/>
      <c r="Y594" s="2"/>
      <c r="Z594" s="2"/>
    </row>
    <row r="595" ht="22.5" customHeight="1">
      <c r="A595" s="7"/>
      <c r="B595" s="7"/>
      <c r="C595" s="7"/>
      <c r="D595" s="7"/>
      <c r="E595" s="7"/>
      <c r="F595" s="7"/>
      <c r="G595" s="7"/>
      <c r="H595" s="2"/>
      <c r="I595" s="62"/>
      <c r="J595" s="7"/>
      <c r="K595" s="2"/>
      <c r="L595" s="2"/>
      <c r="M595" s="2"/>
      <c r="N595" s="2"/>
      <c r="O595" s="2"/>
      <c r="P595" s="2"/>
      <c r="Q595" s="2"/>
      <c r="R595" s="2"/>
      <c r="S595" s="2"/>
      <c r="T595" s="2"/>
      <c r="U595" s="2"/>
      <c r="V595" s="2"/>
      <c r="W595" s="2"/>
      <c r="X595" s="2"/>
      <c r="Y595" s="2"/>
      <c r="Z595" s="2"/>
    </row>
    <row r="596" ht="22.5" customHeight="1">
      <c r="A596" s="7"/>
      <c r="B596" s="7"/>
      <c r="C596" s="7"/>
      <c r="D596" s="7"/>
      <c r="E596" s="7"/>
      <c r="F596" s="7"/>
      <c r="G596" s="7"/>
      <c r="H596" s="2"/>
      <c r="I596" s="62"/>
      <c r="J596" s="7"/>
      <c r="K596" s="2"/>
      <c r="L596" s="2"/>
      <c r="M596" s="2"/>
      <c r="N596" s="2"/>
      <c r="O596" s="2"/>
      <c r="P596" s="2"/>
      <c r="Q596" s="2"/>
      <c r="R596" s="2"/>
      <c r="S596" s="2"/>
      <c r="T596" s="2"/>
      <c r="U596" s="2"/>
      <c r="V596" s="2"/>
      <c r="W596" s="2"/>
      <c r="X596" s="2"/>
      <c r="Y596" s="2"/>
      <c r="Z596" s="2"/>
    </row>
    <row r="597" ht="22.5" customHeight="1">
      <c r="A597" s="7"/>
      <c r="B597" s="7"/>
      <c r="C597" s="7"/>
      <c r="D597" s="7"/>
      <c r="E597" s="7"/>
      <c r="F597" s="7"/>
      <c r="G597" s="7"/>
      <c r="H597" s="2"/>
      <c r="I597" s="62"/>
      <c r="J597" s="7"/>
      <c r="K597" s="2"/>
      <c r="L597" s="2"/>
      <c r="M597" s="2"/>
      <c r="N597" s="2"/>
      <c r="O597" s="2"/>
      <c r="P597" s="2"/>
      <c r="Q597" s="2"/>
      <c r="R597" s="2"/>
      <c r="S597" s="2"/>
      <c r="T597" s="2"/>
      <c r="U597" s="2"/>
      <c r="V597" s="2"/>
      <c r="W597" s="2"/>
      <c r="X597" s="2"/>
      <c r="Y597" s="2"/>
      <c r="Z597" s="2"/>
    </row>
    <row r="598" ht="22.5" customHeight="1">
      <c r="A598" s="7"/>
      <c r="B598" s="7"/>
      <c r="C598" s="7"/>
      <c r="D598" s="7"/>
      <c r="E598" s="7"/>
      <c r="F598" s="7"/>
      <c r="G598" s="7"/>
      <c r="H598" s="2"/>
      <c r="I598" s="62"/>
      <c r="J598" s="7"/>
      <c r="K598" s="2"/>
      <c r="L598" s="2"/>
      <c r="M598" s="2"/>
      <c r="N598" s="2"/>
      <c r="O598" s="2"/>
      <c r="P598" s="2"/>
      <c r="Q598" s="2"/>
      <c r="R598" s="2"/>
      <c r="S598" s="2"/>
      <c r="T598" s="2"/>
      <c r="U598" s="2"/>
      <c r="V598" s="2"/>
      <c r="W598" s="2"/>
      <c r="X598" s="2"/>
      <c r="Y598" s="2"/>
      <c r="Z598" s="2"/>
    </row>
    <row r="599" ht="22.5" customHeight="1">
      <c r="A599" s="7"/>
      <c r="B599" s="7"/>
      <c r="C599" s="7"/>
      <c r="D599" s="7"/>
      <c r="E599" s="7"/>
      <c r="F599" s="7"/>
      <c r="G599" s="7"/>
      <c r="H599" s="2"/>
      <c r="I599" s="62"/>
      <c r="J599" s="7"/>
      <c r="K599" s="2"/>
      <c r="L599" s="2"/>
      <c r="M599" s="2"/>
      <c r="N599" s="2"/>
      <c r="O599" s="2"/>
      <c r="P599" s="2"/>
      <c r="Q599" s="2"/>
      <c r="R599" s="2"/>
      <c r="S599" s="2"/>
      <c r="T599" s="2"/>
      <c r="U599" s="2"/>
      <c r="V599" s="2"/>
      <c r="W599" s="2"/>
      <c r="X599" s="2"/>
      <c r="Y599" s="2"/>
      <c r="Z599" s="2"/>
    </row>
    <row r="600" ht="22.5" customHeight="1">
      <c r="A600" s="7"/>
      <c r="B600" s="7"/>
      <c r="C600" s="7"/>
      <c r="D600" s="7"/>
      <c r="E600" s="7"/>
      <c r="F600" s="7"/>
      <c r="G600" s="7"/>
      <c r="H600" s="2"/>
      <c r="I600" s="62"/>
      <c r="J600" s="7"/>
      <c r="K600" s="2"/>
      <c r="L600" s="2"/>
      <c r="M600" s="2"/>
      <c r="N600" s="2"/>
      <c r="O600" s="2"/>
      <c r="P600" s="2"/>
      <c r="Q600" s="2"/>
      <c r="R600" s="2"/>
      <c r="S600" s="2"/>
      <c r="T600" s="2"/>
      <c r="U600" s="2"/>
      <c r="V600" s="2"/>
      <c r="W600" s="2"/>
      <c r="X600" s="2"/>
      <c r="Y600" s="2"/>
      <c r="Z600" s="2"/>
    </row>
    <row r="601" ht="22.5" customHeight="1">
      <c r="A601" s="7"/>
      <c r="B601" s="7"/>
      <c r="C601" s="7"/>
      <c r="D601" s="7"/>
      <c r="E601" s="7"/>
      <c r="F601" s="7"/>
      <c r="G601" s="7"/>
      <c r="H601" s="2"/>
      <c r="I601" s="62"/>
      <c r="J601" s="7"/>
      <c r="K601" s="2"/>
      <c r="L601" s="2"/>
      <c r="M601" s="2"/>
      <c r="N601" s="2"/>
      <c r="O601" s="2"/>
      <c r="P601" s="2"/>
      <c r="Q601" s="2"/>
      <c r="R601" s="2"/>
      <c r="S601" s="2"/>
      <c r="T601" s="2"/>
      <c r="U601" s="2"/>
      <c r="V601" s="2"/>
      <c r="W601" s="2"/>
      <c r="X601" s="2"/>
      <c r="Y601" s="2"/>
      <c r="Z601" s="2"/>
    </row>
    <row r="602" ht="22.5" customHeight="1">
      <c r="A602" s="7"/>
      <c r="B602" s="7"/>
      <c r="C602" s="7"/>
      <c r="D602" s="7"/>
      <c r="E602" s="7"/>
      <c r="F602" s="7"/>
      <c r="G602" s="7"/>
      <c r="H602" s="2"/>
      <c r="I602" s="62"/>
      <c r="J602" s="7"/>
      <c r="K602" s="2"/>
      <c r="L602" s="2"/>
      <c r="M602" s="2"/>
      <c r="N602" s="2"/>
      <c r="O602" s="2"/>
      <c r="P602" s="2"/>
      <c r="Q602" s="2"/>
      <c r="R602" s="2"/>
      <c r="S602" s="2"/>
      <c r="T602" s="2"/>
      <c r="U602" s="2"/>
      <c r="V602" s="2"/>
      <c r="W602" s="2"/>
      <c r="X602" s="2"/>
      <c r="Y602" s="2"/>
      <c r="Z602" s="2"/>
    </row>
    <row r="603" ht="22.5" customHeight="1">
      <c r="A603" s="7"/>
      <c r="B603" s="7"/>
      <c r="C603" s="7"/>
      <c r="D603" s="7"/>
      <c r="E603" s="7"/>
      <c r="F603" s="7"/>
      <c r="G603" s="7"/>
      <c r="H603" s="2"/>
      <c r="I603" s="62"/>
      <c r="J603" s="7"/>
      <c r="K603" s="2"/>
      <c r="L603" s="2"/>
      <c r="M603" s="2"/>
      <c r="N603" s="2"/>
      <c r="O603" s="2"/>
      <c r="P603" s="2"/>
      <c r="Q603" s="2"/>
      <c r="R603" s="2"/>
      <c r="S603" s="2"/>
      <c r="T603" s="2"/>
      <c r="U603" s="2"/>
      <c r="V603" s="2"/>
      <c r="W603" s="2"/>
      <c r="X603" s="2"/>
      <c r="Y603" s="2"/>
      <c r="Z603" s="2"/>
    </row>
    <row r="604" ht="22.5" customHeight="1">
      <c r="A604" s="7"/>
      <c r="B604" s="7"/>
      <c r="C604" s="7"/>
      <c r="D604" s="7"/>
      <c r="E604" s="7"/>
      <c r="F604" s="7"/>
      <c r="G604" s="7"/>
      <c r="H604" s="2"/>
      <c r="I604" s="62"/>
      <c r="J604" s="7"/>
      <c r="K604" s="2"/>
      <c r="L604" s="2"/>
      <c r="M604" s="2"/>
      <c r="N604" s="2"/>
      <c r="O604" s="2"/>
      <c r="P604" s="2"/>
      <c r="Q604" s="2"/>
      <c r="R604" s="2"/>
      <c r="S604" s="2"/>
      <c r="T604" s="2"/>
      <c r="U604" s="2"/>
      <c r="V604" s="2"/>
      <c r="W604" s="2"/>
      <c r="X604" s="2"/>
      <c r="Y604" s="2"/>
      <c r="Z604" s="2"/>
    </row>
    <row r="605" ht="22.5" customHeight="1">
      <c r="A605" s="7"/>
      <c r="B605" s="7"/>
      <c r="C605" s="7"/>
      <c r="D605" s="7"/>
      <c r="E605" s="7"/>
      <c r="F605" s="7"/>
      <c r="G605" s="7"/>
      <c r="H605" s="2"/>
      <c r="I605" s="62"/>
      <c r="J605" s="7"/>
      <c r="K605" s="2"/>
      <c r="L605" s="2"/>
      <c r="M605" s="2"/>
      <c r="N605" s="2"/>
      <c r="O605" s="2"/>
      <c r="P605" s="2"/>
      <c r="Q605" s="2"/>
      <c r="R605" s="2"/>
      <c r="S605" s="2"/>
      <c r="T605" s="2"/>
      <c r="U605" s="2"/>
      <c r="V605" s="2"/>
      <c r="W605" s="2"/>
      <c r="X605" s="2"/>
      <c r="Y605" s="2"/>
      <c r="Z605" s="2"/>
    </row>
    <row r="606" ht="22.5" customHeight="1">
      <c r="A606" s="7"/>
      <c r="B606" s="7"/>
      <c r="C606" s="7"/>
      <c r="D606" s="7"/>
      <c r="E606" s="7"/>
      <c r="F606" s="7"/>
      <c r="G606" s="7"/>
      <c r="H606" s="2"/>
      <c r="I606" s="62"/>
      <c r="J606" s="7"/>
      <c r="K606" s="2"/>
      <c r="L606" s="2"/>
      <c r="M606" s="2"/>
      <c r="N606" s="2"/>
      <c r="O606" s="2"/>
      <c r="P606" s="2"/>
      <c r="Q606" s="2"/>
      <c r="R606" s="2"/>
      <c r="S606" s="2"/>
      <c r="T606" s="2"/>
      <c r="U606" s="2"/>
      <c r="V606" s="2"/>
      <c r="W606" s="2"/>
      <c r="X606" s="2"/>
      <c r="Y606" s="2"/>
      <c r="Z606" s="2"/>
    </row>
    <row r="607" ht="22.5" customHeight="1">
      <c r="A607" s="7"/>
      <c r="B607" s="7"/>
      <c r="C607" s="7"/>
      <c r="D607" s="7"/>
      <c r="E607" s="7"/>
      <c r="F607" s="7"/>
      <c r="G607" s="7"/>
      <c r="H607" s="2"/>
      <c r="I607" s="62"/>
      <c r="J607" s="7"/>
      <c r="K607" s="2"/>
      <c r="L607" s="2"/>
      <c r="M607" s="2"/>
      <c r="N607" s="2"/>
      <c r="O607" s="2"/>
      <c r="P607" s="2"/>
      <c r="Q607" s="2"/>
      <c r="R607" s="2"/>
      <c r="S607" s="2"/>
      <c r="T607" s="2"/>
      <c r="U607" s="2"/>
      <c r="V607" s="2"/>
      <c r="W607" s="2"/>
      <c r="X607" s="2"/>
      <c r="Y607" s="2"/>
      <c r="Z607" s="2"/>
    </row>
    <row r="608" ht="22.5" customHeight="1">
      <c r="A608" s="7"/>
      <c r="B608" s="7"/>
      <c r="C608" s="7"/>
      <c r="D608" s="7"/>
      <c r="E608" s="7"/>
      <c r="F608" s="7"/>
      <c r="G608" s="7"/>
      <c r="H608" s="2"/>
      <c r="I608" s="62"/>
      <c r="J608" s="7"/>
      <c r="K608" s="2"/>
      <c r="L608" s="2"/>
      <c r="M608" s="2"/>
      <c r="N608" s="2"/>
      <c r="O608" s="2"/>
      <c r="P608" s="2"/>
      <c r="Q608" s="2"/>
      <c r="R608" s="2"/>
      <c r="S608" s="2"/>
      <c r="T608" s="2"/>
      <c r="U608" s="2"/>
      <c r="V608" s="2"/>
      <c r="W608" s="2"/>
      <c r="X608" s="2"/>
      <c r="Y608" s="2"/>
      <c r="Z608" s="2"/>
    </row>
    <row r="609" ht="22.5" customHeight="1">
      <c r="A609" s="7"/>
      <c r="B609" s="7"/>
      <c r="C609" s="7"/>
      <c r="D609" s="7"/>
      <c r="E609" s="7"/>
      <c r="F609" s="7"/>
      <c r="G609" s="7"/>
      <c r="H609" s="2"/>
      <c r="I609" s="62"/>
      <c r="J609" s="7"/>
      <c r="K609" s="2"/>
      <c r="L609" s="2"/>
      <c r="M609" s="2"/>
      <c r="N609" s="2"/>
      <c r="O609" s="2"/>
      <c r="P609" s="2"/>
      <c r="Q609" s="2"/>
      <c r="R609" s="2"/>
      <c r="S609" s="2"/>
      <c r="T609" s="2"/>
      <c r="U609" s="2"/>
      <c r="V609" s="2"/>
      <c r="W609" s="2"/>
      <c r="X609" s="2"/>
      <c r="Y609" s="2"/>
      <c r="Z609" s="2"/>
    </row>
    <row r="610" ht="22.5" customHeight="1">
      <c r="A610" s="7"/>
      <c r="B610" s="7"/>
      <c r="C610" s="7"/>
      <c r="D610" s="7"/>
      <c r="E610" s="7"/>
      <c r="F610" s="7"/>
      <c r="G610" s="7"/>
      <c r="H610" s="2"/>
      <c r="I610" s="62"/>
      <c r="J610" s="7"/>
      <c r="K610" s="2"/>
      <c r="L610" s="2"/>
      <c r="M610" s="2"/>
      <c r="N610" s="2"/>
      <c r="O610" s="2"/>
      <c r="P610" s="2"/>
      <c r="Q610" s="2"/>
      <c r="R610" s="2"/>
      <c r="S610" s="2"/>
      <c r="T610" s="2"/>
      <c r="U610" s="2"/>
      <c r="V610" s="2"/>
      <c r="W610" s="2"/>
      <c r="X610" s="2"/>
      <c r="Y610" s="2"/>
      <c r="Z610" s="2"/>
    </row>
    <row r="611" ht="22.5" customHeight="1">
      <c r="A611" s="7"/>
      <c r="B611" s="7"/>
      <c r="C611" s="7"/>
      <c r="D611" s="7"/>
      <c r="E611" s="7"/>
      <c r="F611" s="7"/>
      <c r="G611" s="7"/>
      <c r="H611" s="2"/>
      <c r="I611" s="62"/>
      <c r="J611" s="7"/>
      <c r="K611" s="2"/>
      <c r="L611" s="2"/>
      <c r="M611" s="2"/>
      <c r="N611" s="2"/>
      <c r="O611" s="2"/>
      <c r="P611" s="2"/>
      <c r="Q611" s="2"/>
      <c r="R611" s="2"/>
      <c r="S611" s="2"/>
      <c r="T611" s="2"/>
      <c r="U611" s="2"/>
      <c r="V611" s="2"/>
      <c r="W611" s="2"/>
      <c r="X611" s="2"/>
      <c r="Y611" s="2"/>
      <c r="Z611" s="2"/>
    </row>
    <row r="612" ht="22.5" customHeight="1">
      <c r="A612" s="7"/>
      <c r="B612" s="7"/>
      <c r="C612" s="7"/>
      <c r="D612" s="7"/>
      <c r="E612" s="7"/>
      <c r="F612" s="7"/>
      <c r="G612" s="7"/>
      <c r="H612" s="2"/>
      <c r="I612" s="62"/>
      <c r="J612" s="7"/>
      <c r="K612" s="2"/>
      <c r="L612" s="2"/>
      <c r="M612" s="2"/>
      <c r="N612" s="2"/>
      <c r="O612" s="2"/>
      <c r="P612" s="2"/>
      <c r="Q612" s="2"/>
      <c r="R612" s="2"/>
      <c r="S612" s="2"/>
      <c r="T612" s="2"/>
      <c r="U612" s="2"/>
      <c r="V612" s="2"/>
      <c r="W612" s="2"/>
      <c r="X612" s="2"/>
      <c r="Y612" s="2"/>
      <c r="Z612" s="2"/>
    </row>
    <row r="613" ht="22.5" customHeight="1">
      <c r="A613" s="7"/>
      <c r="B613" s="7"/>
      <c r="C613" s="7"/>
      <c r="D613" s="7"/>
      <c r="E613" s="7"/>
      <c r="F613" s="7"/>
      <c r="G613" s="7"/>
      <c r="H613" s="2"/>
      <c r="I613" s="62"/>
      <c r="J613" s="7"/>
      <c r="K613" s="2"/>
      <c r="L613" s="2"/>
      <c r="M613" s="2"/>
      <c r="N613" s="2"/>
      <c r="O613" s="2"/>
      <c r="P613" s="2"/>
      <c r="Q613" s="2"/>
      <c r="R613" s="2"/>
      <c r="S613" s="2"/>
      <c r="T613" s="2"/>
      <c r="U613" s="2"/>
      <c r="V613" s="2"/>
      <c r="W613" s="2"/>
      <c r="X613" s="2"/>
      <c r="Y613" s="2"/>
      <c r="Z613" s="2"/>
    </row>
    <row r="614" ht="22.5" customHeight="1">
      <c r="A614" s="7"/>
      <c r="B614" s="7"/>
      <c r="C614" s="7"/>
      <c r="D614" s="7"/>
      <c r="E614" s="7"/>
      <c r="F614" s="7"/>
      <c r="G614" s="7"/>
      <c r="H614" s="2"/>
      <c r="I614" s="62"/>
      <c r="J614" s="7"/>
      <c r="K614" s="2"/>
      <c r="L614" s="2"/>
      <c r="M614" s="2"/>
      <c r="N614" s="2"/>
      <c r="O614" s="2"/>
      <c r="P614" s="2"/>
      <c r="Q614" s="2"/>
      <c r="R614" s="2"/>
      <c r="S614" s="2"/>
      <c r="T614" s="2"/>
      <c r="U614" s="2"/>
      <c r="V614" s="2"/>
      <c r="W614" s="2"/>
      <c r="X614" s="2"/>
      <c r="Y614" s="2"/>
      <c r="Z614" s="2"/>
    </row>
    <row r="615" ht="22.5" customHeight="1">
      <c r="A615" s="7"/>
      <c r="B615" s="7"/>
      <c r="C615" s="7"/>
      <c r="D615" s="7"/>
      <c r="E615" s="7"/>
      <c r="F615" s="7"/>
      <c r="G615" s="7"/>
      <c r="H615" s="2"/>
      <c r="I615" s="62"/>
      <c r="J615" s="7"/>
      <c r="K615" s="2"/>
      <c r="L615" s="2"/>
      <c r="M615" s="2"/>
      <c r="N615" s="2"/>
      <c r="O615" s="2"/>
      <c r="P615" s="2"/>
      <c r="Q615" s="2"/>
      <c r="R615" s="2"/>
      <c r="S615" s="2"/>
      <c r="T615" s="2"/>
      <c r="U615" s="2"/>
      <c r="V615" s="2"/>
      <c r="W615" s="2"/>
      <c r="X615" s="2"/>
      <c r="Y615" s="2"/>
      <c r="Z615" s="2"/>
    </row>
    <row r="616" ht="22.5" customHeight="1">
      <c r="A616" s="7"/>
      <c r="B616" s="7"/>
      <c r="C616" s="7"/>
      <c r="D616" s="7"/>
      <c r="E616" s="7"/>
      <c r="F616" s="7"/>
      <c r="G616" s="7"/>
      <c r="H616" s="2"/>
      <c r="I616" s="62"/>
      <c r="J616" s="7"/>
      <c r="K616" s="2"/>
      <c r="L616" s="2"/>
      <c r="M616" s="2"/>
      <c r="N616" s="2"/>
      <c r="O616" s="2"/>
      <c r="P616" s="2"/>
      <c r="Q616" s="2"/>
      <c r="R616" s="2"/>
      <c r="S616" s="2"/>
      <c r="T616" s="2"/>
      <c r="U616" s="2"/>
      <c r="V616" s="2"/>
      <c r="W616" s="2"/>
      <c r="X616" s="2"/>
      <c r="Y616" s="2"/>
      <c r="Z616" s="2"/>
    </row>
    <row r="617" ht="22.5" customHeight="1">
      <c r="A617" s="7"/>
      <c r="B617" s="7"/>
      <c r="C617" s="7"/>
      <c r="D617" s="7"/>
      <c r="E617" s="7"/>
      <c r="F617" s="7"/>
      <c r="G617" s="7"/>
      <c r="H617" s="2"/>
      <c r="I617" s="62"/>
      <c r="J617" s="7"/>
      <c r="K617" s="2"/>
      <c r="L617" s="2"/>
      <c r="M617" s="2"/>
      <c r="N617" s="2"/>
      <c r="O617" s="2"/>
      <c r="P617" s="2"/>
      <c r="Q617" s="2"/>
      <c r="R617" s="2"/>
      <c r="S617" s="2"/>
      <c r="T617" s="2"/>
      <c r="U617" s="2"/>
      <c r="V617" s="2"/>
      <c r="W617" s="2"/>
      <c r="X617" s="2"/>
      <c r="Y617" s="2"/>
      <c r="Z617" s="2"/>
    </row>
    <row r="618" ht="22.5" customHeight="1">
      <c r="A618" s="7"/>
      <c r="B618" s="7"/>
      <c r="C618" s="7"/>
      <c r="D618" s="7"/>
      <c r="E618" s="7"/>
      <c r="F618" s="7"/>
      <c r="G618" s="7"/>
      <c r="H618" s="2"/>
      <c r="I618" s="62"/>
      <c r="J618" s="7"/>
      <c r="K618" s="2"/>
      <c r="L618" s="2"/>
      <c r="M618" s="2"/>
      <c r="N618" s="2"/>
      <c r="O618" s="2"/>
      <c r="P618" s="2"/>
      <c r="Q618" s="2"/>
      <c r="R618" s="2"/>
      <c r="S618" s="2"/>
      <c r="T618" s="2"/>
      <c r="U618" s="2"/>
      <c r="V618" s="2"/>
      <c r="W618" s="2"/>
      <c r="X618" s="2"/>
      <c r="Y618" s="2"/>
      <c r="Z618" s="2"/>
    </row>
    <row r="619" ht="22.5" customHeight="1">
      <c r="A619" s="7"/>
      <c r="B619" s="7"/>
      <c r="C619" s="7"/>
      <c r="D619" s="7"/>
      <c r="E619" s="7"/>
      <c r="F619" s="7"/>
      <c r="G619" s="7"/>
      <c r="H619" s="2"/>
      <c r="I619" s="62"/>
      <c r="J619" s="7"/>
      <c r="K619" s="2"/>
      <c r="L619" s="2"/>
      <c r="M619" s="2"/>
      <c r="N619" s="2"/>
      <c r="O619" s="2"/>
      <c r="P619" s="2"/>
      <c r="Q619" s="2"/>
      <c r="R619" s="2"/>
      <c r="S619" s="2"/>
      <c r="T619" s="2"/>
      <c r="U619" s="2"/>
      <c r="V619" s="2"/>
      <c r="W619" s="2"/>
      <c r="X619" s="2"/>
      <c r="Y619" s="2"/>
      <c r="Z619" s="2"/>
    </row>
    <row r="620" ht="22.5" customHeight="1">
      <c r="A620" s="7"/>
      <c r="B620" s="7"/>
      <c r="C620" s="7"/>
      <c r="D620" s="7"/>
      <c r="E620" s="7"/>
      <c r="F620" s="7"/>
      <c r="G620" s="7"/>
      <c r="H620" s="2"/>
      <c r="I620" s="62"/>
      <c r="J620" s="7"/>
      <c r="K620" s="2"/>
      <c r="L620" s="2"/>
      <c r="M620" s="2"/>
      <c r="N620" s="2"/>
      <c r="O620" s="2"/>
      <c r="P620" s="2"/>
      <c r="Q620" s="2"/>
      <c r="R620" s="2"/>
      <c r="S620" s="2"/>
      <c r="T620" s="2"/>
      <c r="U620" s="2"/>
      <c r="V620" s="2"/>
      <c r="W620" s="2"/>
      <c r="X620" s="2"/>
      <c r="Y620" s="2"/>
      <c r="Z620" s="2"/>
    </row>
    <row r="621" ht="22.5" customHeight="1">
      <c r="A621" s="7"/>
      <c r="B621" s="7"/>
      <c r="C621" s="7"/>
      <c r="D621" s="7"/>
      <c r="E621" s="7"/>
      <c r="F621" s="7"/>
      <c r="G621" s="7"/>
      <c r="H621" s="2"/>
      <c r="I621" s="62"/>
      <c r="J621" s="7"/>
      <c r="K621" s="2"/>
      <c r="L621" s="2"/>
      <c r="M621" s="2"/>
      <c r="N621" s="2"/>
      <c r="O621" s="2"/>
      <c r="P621" s="2"/>
      <c r="Q621" s="2"/>
      <c r="R621" s="2"/>
      <c r="S621" s="2"/>
      <c r="T621" s="2"/>
      <c r="U621" s="2"/>
      <c r="V621" s="2"/>
      <c r="W621" s="2"/>
      <c r="X621" s="2"/>
      <c r="Y621" s="2"/>
      <c r="Z621" s="2"/>
    </row>
    <row r="622" ht="22.5" customHeight="1">
      <c r="A622" s="7"/>
      <c r="B622" s="7"/>
      <c r="C622" s="7"/>
      <c r="D622" s="7"/>
      <c r="E622" s="7"/>
      <c r="F622" s="7"/>
      <c r="G622" s="7"/>
      <c r="H622" s="2"/>
      <c r="I622" s="62"/>
      <c r="J622" s="7"/>
      <c r="K622" s="2"/>
      <c r="L622" s="2"/>
      <c r="M622" s="2"/>
      <c r="N622" s="2"/>
      <c r="O622" s="2"/>
      <c r="P622" s="2"/>
      <c r="Q622" s="2"/>
      <c r="R622" s="2"/>
      <c r="S622" s="2"/>
      <c r="T622" s="2"/>
      <c r="U622" s="2"/>
      <c r="V622" s="2"/>
      <c r="W622" s="2"/>
      <c r="X622" s="2"/>
      <c r="Y622" s="2"/>
      <c r="Z622" s="2"/>
    </row>
    <row r="623" ht="22.5" customHeight="1">
      <c r="A623" s="7"/>
      <c r="B623" s="7"/>
      <c r="C623" s="7"/>
      <c r="D623" s="7"/>
      <c r="E623" s="7"/>
      <c r="F623" s="7"/>
      <c r="G623" s="7"/>
      <c r="H623" s="2"/>
      <c r="I623" s="62"/>
      <c r="J623" s="7"/>
      <c r="K623" s="2"/>
      <c r="L623" s="2"/>
      <c r="M623" s="2"/>
      <c r="N623" s="2"/>
      <c r="O623" s="2"/>
      <c r="P623" s="2"/>
      <c r="Q623" s="2"/>
      <c r="R623" s="2"/>
      <c r="S623" s="2"/>
      <c r="T623" s="2"/>
      <c r="U623" s="2"/>
      <c r="V623" s="2"/>
      <c r="W623" s="2"/>
      <c r="X623" s="2"/>
      <c r="Y623" s="2"/>
      <c r="Z623" s="2"/>
    </row>
    <row r="624" ht="22.5" customHeight="1">
      <c r="A624" s="7"/>
      <c r="B624" s="7"/>
      <c r="C624" s="7"/>
      <c r="D624" s="7"/>
      <c r="E624" s="7"/>
      <c r="F624" s="7"/>
      <c r="G624" s="7"/>
      <c r="H624" s="2"/>
      <c r="I624" s="62"/>
      <c r="J624" s="7"/>
      <c r="K624" s="2"/>
      <c r="L624" s="2"/>
      <c r="M624" s="2"/>
      <c r="N624" s="2"/>
      <c r="O624" s="2"/>
      <c r="P624" s="2"/>
      <c r="Q624" s="2"/>
      <c r="R624" s="2"/>
      <c r="S624" s="2"/>
      <c r="T624" s="2"/>
      <c r="U624" s="2"/>
      <c r="V624" s="2"/>
      <c r="W624" s="2"/>
      <c r="X624" s="2"/>
      <c r="Y624" s="2"/>
      <c r="Z624" s="2"/>
    </row>
    <row r="625" ht="22.5" customHeight="1">
      <c r="A625" s="7"/>
      <c r="B625" s="7"/>
      <c r="C625" s="7"/>
      <c r="D625" s="7"/>
      <c r="E625" s="7"/>
      <c r="F625" s="7"/>
      <c r="G625" s="7"/>
      <c r="H625" s="2"/>
      <c r="I625" s="62"/>
      <c r="J625" s="7"/>
      <c r="K625" s="2"/>
      <c r="L625" s="2"/>
      <c r="M625" s="2"/>
      <c r="N625" s="2"/>
      <c r="O625" s="2"/>
      <c r="P625" s="2"/>
      <c r="Q625" s="2"/>
      <c r="R625" s="2"/>
      <c r="S625" s="2"/>
      <c r="T625" s="2"/>
      <c r="U625" s="2"/>
      <c r="V625" s="2"/>
      <c r="W625" s="2"/>
      <c r="X625" s="2"/>
      <c r="Y625" s="2"/>
      <c r="Z625" s="2"/>
    </row>
    <row r="626" ht="22.5" customHeight="1">
      <c r="A626" s="7"/>
      <c r="B626" s="7"/>
      <c r="C626" s="7"/>
      <c r="D626" s="7"/>
      <c r="E626" s="7"/>
      <c r="F626" s="7"/>
      <c r="G626" s="7"/>
      <c r="H626" s="2"/>
      <c r="I626" s="62"/>
      <c r="J626" s="7"/>
      <c r="K626" s="2"/>
      <c r="L626" s="2"/>
      <c r="M626" s="2"/>
      <c r="N626" s="2"/>
      <c r="O626" s="2"/>
      <c r="P626" s="2"/>
      <c r="Q626" s="2"/>
      <c r="R626" s="2"/>
      <c r="S626" s="2"/>
      <c r="T626" s="2"/>
      <c r="U626" s="2"/>
      <c r="V626" s="2"/>
      <c r="W626" s="2"/>
      <c r="X626" s="2"/>
      <c r="Y626" s="2"/>
      <c r="Z626" s="2"/>
    </row>
    <row r="627" ht="22.5" customHeight="1">
      <c r="A627" s="7"/>
      <c r="B627" s="7"/>
      <c r="C627" s="7"/>
      <c r="D627" s="7"/>
      <c r="E627" s="7"/>
      <c r="F627" s="7"/>
      <c r="G627" s="7"/>
      <c r="H627" s="2"/>
      <c r="I627" s="62"/>
      <c r="J627" s="7"/>
      <c r="K627" s="2"/>
      <c r="L627" s="2"/>
      <c r="M627" s="2"/>
      <c r="N627" s="2"/>
      <c r="O627" s="2"/>
      <c r="P627" s="2"/>
      <c r="Q627" s="2"/>
      <c r="R627" s="2"/>
      <c r="S627" s="2"/>
      <c r="T627" s="2"/>
      <c r="U627" s="2"/>
      <c r="V627" s="2"/>
      <c r="W627" s="2"/>
      <c r="X627" s="2"/>
      <c r="Y627" s="2"/>
      <c r="Z627" s="2"/>
    </row>
    <row r="628" ht="22.5" customHeight="1">
      <c r="A628" s="7"/>
      <c r="B628" s="7"/>
      <c r="C628" s="7"/>
      <c r="D628" s="7"/>
      <c r="E628" s="7"/>
      <c r="F628" s="7"/>
      <c r="G628" s="7"/>
      <c r="H628" s="2"/>
      <c r="I628" s="62"/>
      <c r="J628" s="7"/>
      <c r="K628" s="2"/>
      <c r="L628" s="2"/>
      <c r="M628" s="2"/>
      <c r="N628" s="2"/>
      <c r="O628" s="2"/>
      <c r="P628" s="2"/>
      <c r="Q628" s="2"/>
      <c r="R628" s="2"/>
      <c r="S628" s="2"/>
      <c r="T628" s="2"/>
      <c r="U628" s="2"/>
      <c r="V628" s="2"/>
      <c r="W628" s="2"/>
      <c r="X628" s="2"/>
      <c r="Y628" s="2"/>
      <c r="Z628" s="2"/>
    </row>
    <row r="629" ht="22.5" customHeight="1">
      <c r="A629" s="7"/>
      <c r="B629" s="7"/>
      <c r="C629" s="7"/>
      <c r="D629" s="7"/>
      <c r="E629" s="7"/>
      <c r="F629" s="7"/>
      <c r="G629" s="7"/>
      <c r="H629" s="2"/>
      <c r="I629" s="62"/>
      <c r="J629" s="7"/>
      <c r="K629" s="2"/>
      <c r="L629" s="2"/>
      <c r="M629" s="2"/>
      <c r="N629" s="2"/>
      <c r="O629" s="2"/>
      <c r="P629" s="2"/>
      <c r="Q629" s="2"/>
      <c r="R629" s="2"/>
      <c r="S629" s="2"/>
      <c r="T629" s="2"/>
      <c r="U629" s="2"/>
      <c r="V629" s="2"/>
      <c r="W629" s="2"/>
      <c r="X629" s="2"/>
      <c r="Y629" s="2"/>
      <c r="Z629" s="2"/>
    </row>
    <row r="630" ht="22.5" customHeight="1">
      <c r="A630" s="7"/>
      <c r="B630" s="7"/>
      <c r="C630" s="7"/>
      <c r="D630" s="7"/>
      <c r="E630" s="7"/>
      <c r="F630" s="7"/>
      <c r="G630" s="7"/>
      <c r="H630" s="2"/>
      <c r="I630" s="62"/>
      <c r="J630" s="7"/>
      <c r="K630" s="2"/>
      <c r="L630" s="2"/>
      <c r="M630" s="2"/>
      <c r="N630" s="2"/>
      <c r="O630" s="2"/>
      <c r="P630" s="2"/>
      <c r="Q630" s="2"/>
      <c r="R630" s="2"/>
      <c r="S630" s="2"/>
      <c r="T630" s="2"/>
      <c r="U630" s="2"/>
      <c r="V630" s="2"/>
      <c r="W630" s="2"/>
      <c r="X630" s="2"/>
      <c r="Y630" s="2"/>
      <c r="Z630" s="2"/>
    </row>
    <row r="631" ht="22.5" customHeight="1">
      <c r="A631" s="7"/>
      <c r="B631" s="7"/>
      <c r="C631" s="7"/>
      <c r="D631" s="7"/>
      <c r="E631" s="7"/>
      <c r="F631" s="7"/>
      <c r="G631" s="7"/>
      <c r="H631" s="2"/>
      <c r="I631" s="62"/>
      <c r="J631" s="7"/>
      <c r="K631" s="2"/>
      <c r="L631" s="2"/>
      <c r="M631" s="2"/>
      <c r="N631" s="2"/>
      <c r="O631" s="2"/>
      <c r="P631" s="2"/>
      <c r="Q631" s="2"/>
      <c r="R631" s="2"/>
      <c r="S631" s="2"/>
      <c r="T631" s="2"/>
      <c r="U631" s="2"/>
      <c r="V631" s="2"/>
      <c r="W631" s="2"/>
      <c r="X631" s="2"/>
      <c r="Y631" s="2"/>
      <c r="Z631" s="2"/>
    </row>
    <row r="632" ht="22.5" customHeight="1">
      <c r="A632" s="7"/>
      <c r="B632" s="7"/>
      <c r="C632" s="7"/>
      <c r="D632" s="7"/>
      <c r="E632" s="7"/>
      <c r="F632" s="7"/>
      <c r="G632" s="7"/>
      <c r="H632" s="2"/>
      <c r="I632" s="62"/>
      <c r="J632" s="7"/>
      <c r="K632" s="2"/>
      <c r="L632" s="2"/>
      <c r="M632" s="2"/>
      <c r="N632" s="2"/>
      <c r="O632" s="2"/>
      <c r="P632" s="2"/>
      <c r="Q632" s="2"/>
      <c r="R632" s="2"/>
      <c r="S632" s="2"/>
      <c r="T632" s="2"/>
      <c r="U632" s="2"/>
      <c r="V632" s="2"/>
      <c r="W632" s="2"/>
      <c r="X632" s="2"/>
      <c r="Y632" s="2"/>
      <c r="Z632" s="2"/>
    </row>
    <row r="633" ht="22.5" customHeight="1">
      <c r="A633" s="7"/>
      <c r="B633" s="7"/>
      <c r="C633" s="7"/>
      <c r="D633" s="7"/>
      <c r="E633" s="7"/>
      <c r="F633" s="7"/>
      <c r="G633" s="7"/>
      <c r="H633" s="2"/>
      <c r="I633" s="62"/>
      <c r="J633" s="7"/>
      <c r="K633" s="2"/>
      <c r="L633" s="2"/>
      <c r="M633" s="2"/>
      <c r="N633" s="2"/>
      <c r="O633" s="2"/>
      <c r="P633" s="2"/>
      <c r="Q633" s="2"/>
      <c r="R633" s="2"/>
      <c r="S633" s="2"/>
      <c r="T633" s="2"/>
      <c r="U633" s="2"/>
      <c r="V633" s="2"/>
      <c r="W633" s="2"/>
      <c r="X633" s="2"/>
      <c r="Y633" s="2"/>
      <c r="Z633" s="2"/>
    </row>
    <row r="634" ht="22.5" customHeight="1">
      <c r="A634" s="7"/>
      <c r="B634" s="7"/>
      <c r="C634" s="7"/>
      <c r="D634" s="7"/>
      <c r="E634" s="7"/>
      <c r="F634" s="7"/>
      <c r="G634" s="7"/>
      <c r="H634" s="2"/>
      <c r="I634" s="62"/>
      <c r="J634" s="7"/>
      <c r="K634" s="2"/>
      <c r="L634" s="2"/>
      <c r="M634" s="2"/>
      <c r="N634" s="2"/>
      <c r="O634" s="2"/>
      <c r="P634" s="2"/>
      <c r="Q634" s="2"/>
      <c r="R634" s="2"/>
      <c r="S634" s="2"/>
      <c r="T634" s="2"/>
      <c r="U634" s="2"/>
      <c r="V634" s="2"/>
      <c r="W634" s="2"/>
      <c r="X634" s="2"/>
      <c r="Y634" s="2"/>
      <c r="Z634" s="2"/>
    </row>
    <row r="635" ht="22.5" customHeight="1">
      <c r="A635" s="7"/>
      <c r="B635" s="7"/>
      <c r="C635" s="7"/>
      <c r="D635" s="7"/>
      <c r="E635" s="7"/>
      <c r="F635" s="7"/>
      <c r="G635" s="7"/>
      <c r="H635" s="2"/>
      <c r="I635" s="62"/>
      <c r="J635" s="7"/>
      <c r="K635" s="2"/>
      <c r="L635" s="2"/>
      <c r="M635" s="2"/>
      <c r="N635" s="2"/>
      <c r="O635" s="2"/>
      <c r="P635" s="2"/>
      <c r="Q635" s="2"/>
      <c r="R635" s="2"/>
      <c r="S635" s="2"/>
      <c r="T635" s="2"/>
      <c r="U635" s="2"/>
      <c r="V635" s="2"/>
      <c r="W635" s="2"/>
      <c r="X635" s="2"/>
      <c r="Y635" s="2"/>
      <c r="Z635" s="2"/>
    </row>
    <row r="636" ht="22.5" customHeight="1">
      <c r="A636" s="7"/>
      <c r="B636" s="7"/>
      <c r="C636" s="7"/>
      <c r="D636" s="7"/>
      <c r="E636" s="7"/>
      <c r="F636" s="7"/>
      <c r="G636" s="7"/>
      <c r="H636" s="2"/>
      <c r="I636" s="62"/>
      <c r="J636" s="7"/>
      <c r="K636" s="2"/>
      <c r="L636" s="2"/>
      <c r="M636" s="2"/>
      <c r="N636" s="2"/>
      <c r="O636" s="2"/>
      <c r="P636" s="2"/>
      <c r="Q636" s="2"/>
      <c r="R636" s="2"/>
      <c r="S636" s="2"/>
      <c r="T636" s="2"/>
      <c r="U636" s="2"/>
      <c r="V636" s="2"/>
      <c r="W636" s="2"/>
      <c r="X636" s="2"/>
      <c r="Y636" s="2"/>
      <c r="Z636" s="2"/>
    </row>
    <row r="637" ht="22.5" customHeight="1">
      <c r="A637" s="7"/>
      <c r="B637" s="7"/>
      <c r="C637" s="7"/>
      <c r="D637" s="7"/>
      <c r="E637" s="7"/>
      <c r="F637" s="7"/>
      <c r="G637" s="7"/>
      <c r="H637" s="2"/>
      <c r="I637" s="62"/>
      <c r="J637" s="7"/>
      <c r="K637" s="2"/>
      <c r="L637" s="2"/>
      <c r="M637" s="2"/>
      <c r="N637" s="2"/>
      <c r="O637" s="2"/>
      <c r="P637" s="2"/>
      <c r="Q637" s="2"/>
      <c r="R637" s="2"/>
      <c r="S637" s="2"/>
      <c r="T637" s="2"/>
      <c r="U637" s="2"/>
      <c r="V637" s="2"/>
      <c r="W637" s="2"/>
      <c r="X637" s="2"/>
      <c r="Y637" s="2"/>
      <c r="Z637" s="2"/>
    </row>
    <row r="638" ht="22.5" customHeight="1">
      <c r="A638" s="7"/>
      <c r="B638" s="7"/>
      <c r="C638" s="7"/>
      <c r="D638" s="7"/>
      <c r="E638" s="7"/>
      <c r="F638" s="7"/>
      <c r="G638" s="7"/>
      <c r="H638" s="2"/>
      <c r="I638" s="62"/>
      <c r="J638" s="7"/>
      <c r="K638" s="2"/>
      <c r="L638" s="2"/>
      <c r="M638" s="2"/>
      <c r="N638" s="2"/>
      <c r="O638" s="2"/>
      <c r="P638" s="2"/>
      <c r="Q638" s="2"/>
      <c r="R638" s="2"/>
      <c r="S638" s="2"/>
      <c r="T638" s="2"/>
      <c r="U638" s="2"/>
      <c r="V638" s="2"/>
      <c r="W638" s="2"/>
      <c r="X638" s="2"/>
      <c r="Y638" s="2"/>
      <c r="Z638" s="2"/>
    </row>
    <row r="639" ht="22.5" customHeight="1">
      <c r="A639" s="7"/>
      <c r="B639" s="7"/>
      <c r="C639" s="7"/>
      <c r="D639" s="7"/>
      <c r="E639" s="7"/>
      <c r="F639" s="7"/>
      <c r="G639" s="7"/>
      <c r="H639" s="2"/>
      <c r="I639" s="62"/>
      <c r="J639" s="7"/>
      <c r="K639" s="2"/>
      <c r="L639" s="2"/>
      <c r="M639" s="2"/>
      <c r="N639" s="2"/>
      <c r="O639" s="2"/>
      <c r="P639" s="2"/>
      <c r="Q639" s="2"/>
      <c r="R639" s="2"/>
      <c r="S639" s="2"/>
      <c r="T639" s="2"/>
      <c r="U639" s="2"/>
      <c r="V639" s="2"/>
      <c r="W639" s="2"/>
      <c r="X639" s="2"/>
      <c r="Y639" s="2"/>
      <c r="Z639" s="2"/>
    </row>
    <row r="640" ht="22.5" customHeight="1">
      <c r="A640" s="7"/>
      <c r="B640" s="7"/>
      <c r="C640" s="7"/>
      <c r="D640" s="7"/>
      <c r="E640" s="7"/>
      <c r="F640" s="7"/>
      <c r="G640" s="7"/>
      <c r="H640" s="2"/>
      <c r="I640" s="62"/>
      <c r="J640" s="7"/>
      <c r="K640" s="2"/>
      <c r="L640" s="2"/>
      <c r="M640" s="2"/>
      <c r="N640" s="2"/>
      <c r="O640" s="2"/>
      <c r="P640" s="2"/>
      <c r="Q640" s="2"/>
      <c r="R640" s="2"/>
      <c r="S640" s="2"/>
      <c r="T640" s="2"/>
      <c r="U640" s="2"/>
      <c r="V640" s="2"/>
      <c r="W640" s="2"/>
      <c r="X640" s="2"/>
      <c r="Y640" s="2"/>
      <c r="Z640" s="2"/>
    </row>
    <row r="641" ht="22.5" customHeight="1">
      <c r="A641" s="7"/>
      <c r="B641" s="7"/>
      <c r="C641" s="7"/>
      <c r="D641" s="7"/>
      <c r="E641" s="7"/>
      <c r="F641" s="7"/>
      <c r="G641" s="7"/>
      <c r="H641" s="2"/>
      <c r="I641" s="62"/>
      <c r="J641" s="7"/>
      <c r="K641" s="2"/>
      <c r="L641" s="2"/>
      <c r="M641" s="2"/>
      <c r="N641" s="2"/>
      <c r="O641" s="2"/>
      <c r="P641" s="2"/>
      <c r="Q641" s="2"/>
      <c r="R641" s="2"/>
      <c r="S641" s="2"/>
      <c r="T641" s="2"/>
      <c r="U641" s="2"/>
      <c r="V641" s="2"/>
      <c r="W641" s="2"/>
      <c r="X641" s="2"/>
      <c r="Y641" s="2"/>
      <c r="Z641" s="2"/>
    </row>
    <row r="642" ht="22.5" customHeight="1">
      <c r="A642" s="7"/>
      <c r="B642" s="7"/>
      <c r="C642" s="7"/>
      <c r="D642" s="7"/>
      <c r="E642" s="7"/>
      <c r="F642" s="7"/>
      <c r="G642" s="7"/>
      <c r="H642" s="2"/>
      <c r="I642" s="62"/>
      <c r="J642" s="7"/>
      <c r="K642" s="2"/>
      <c r="L642" s="2"/>
      <c r="M642" s="2"/>
      <c r="N642" s="2"/>
      <c r="O642" s="2"/>
      <c r="P642" s="2"/>
      <c r="Q642" s="2"/>
      <c r="R642" s="2"/>
      <c r="S642" s="2"/>
      <c r="T642" s="2"/>
      <c r="U642" s="2"/>
      <c r="V642" s="2"/>
      <c r="W642" s="2"/>
      <c r="X642" s="2"/>
      <c r="Y642" s="2"/>
      <c r="Z642" s="2"/>
    </row>
    <row r="643" ht="22.5" customHeight="1">
      <c r="A643" s="7"/>
      <c r="B643" s="7"/>
      <c r="C643" s="7"/>
      <c r="D643" s="7"/>
      <c r="E643" s="7"/>
      <c r="F643" s="7"/>
      <c r="G643" s="7"/>
      <c r="H643" s="2"/>
      <c r="I643" s="62"/>
      <c r="J643" s="7"/>
      <c r="K643" s="2"/>
      <c r="L643" s="2"/>
      <c r="M643" s="2"/>
      <c r="N643" s="2"/>
      <c r="O643" s="2"/>
      <c r="P643" s="2"/>
      <c r="Q643" s="2"/>
      <c r="R643" s="2"/>
      <c r="S643" s="2"/>
      <c r="T643" s="2"/>
      <c r="U643" s="2"/>
      <c r="V643" s="2"/>
      <c r="W643" s="2"/>
      <c r="X643" s="2"/>
      <c r="Y643" s="2"/>
      <c r="Z643" s="2"/>
    </row>
    <row r="644" ht="22.5" customHeight="1">
      <c r="A644" s="7"/>
      <c r="B644" s="7"/>
      <c r="C644" s="7"/>
      <c r="D644" s="7"/>
      <c r="E644" s="7"/>
      <c r="F644" s="7"/>
      <c r="G644" s="7"/>
      <c r="H644" s="2"/>
      <c r="I644" s="62"/>
      <c r="J644" s="7"/>
      <c r="K644" s="2"/>
      <c r="L644" s="2"/>
      <c r="M644" s="2"/>
      <c r="N644" s="2"/>
      <c r="O644" s="2"/>
      <c r="P644" s="2"/>
      <c r="Q644" s="2"/>
      <c r="R644" s="2"/>
      <c r="S644" s="2"/>
      <c r="T644" s="2"/>
      <c r="U644" s="2"/>
      <c r="V644" s="2"/>
      <c r="W644" s="2"/>
      <c r="X644" s="2"/>
      <c r="Y644" s="2"/>
      <c r="Z644" s="2"/>
    </row>
    <row r="645" ht="22.5" customHeight="1">
      <c r="A645" s="7"/>
      <c r="B645" s="7"/>
      <c r="C645" s="7"/>
      <c r="D645" s="7"/>
      <c r="E645" s="7"/>
      <c r="F645" s="7"/>
      <c r="G645" s="7"/>
      <c r="H645" s="2"/>
      <c r="I645" s="62"/>
      <c r="J645" s="7"/>
      <c r="K645" s="2"/>
      <c r="L645" s="2"/>
      <c r="M645" s="2"/>
      <c r="N645" s="2"/>
      <c r="O645" s="2"/>
      <c r="P645" s="2"/>
      <c r="Q645" s="2"/>
      <c r="R645" s="2"/>
      <c r="S645" s="2"/>
      <c r="T645" s="2"/>
      <c r="U645" s="2"/>
      <c r="V645" s="2"/>
      <c r="W645" s="2"/>
      <c r="X645" s="2"/>
      <c r="Y645" s="2"/>
      <c r="Z645" s="2"/>
    </row>
    <row r="646" ht="22.5" customHeight="1">
      <c r="A646" s="7"/>
      <c r="B646" s="7"/>
      <c r="C646" s="7"/>
      <c r="D646" s="7"/>
      <c r="E646" s="7"/>
      <c r="F646" s="7"/>
      <c r="G646" s="7"/>
      <c r="H646" s="2"/>
      <c r="I646" s="62"/>
      <c r="J646" s="7"/>
      <c r="K646" s="2"/>
      <c r="L646" s="2"/>
      <c r="M646" s="2"/>
      <c r="N646" s="2"/>
      <c r="O646" s="2"/>
      <c r="P646" s="2"/>
      <c r="Q646" s="2"/>
      <c r="R646" s="2"/>
      <c r="S646" s="2"/>
      <c r="T646" s="2"/>
      <c r="U646" s="2"/>
      <c r="V646" s="2"/>
      <c r="W646" s="2"/>
      <c r="X646" s="2"/>
      <c r="Y646" s="2"/>
      <c r="Z646" s="2"/>
    </row>
    <row r="647" ht="22.5" customHeight="1">
      <c r="A647" s="7"/>
      <c r="B647" s="7"/>
      <c r="C647" s="7"/>
      <c r="D647" s="7"/>
      <c r="E647" s="7"/>
      <c r="F647" s="7"/>
      <c r="G647" s="7"/>
      <c r="H647" s="2"/>
      <c r="I647" s="62"/>
      <c r="J647" s="7"/>
      <c r="K647" s="2"/>
      <c r="L647" s="2"/>
      <c r="M647" s="2"/>
      <c r="N647" s="2"/>
      <c r="O647" s="2"/>
      <c r="P647" s="2"/>
      <c r="Q647" s="2"/>
      <c r="R647" s="2"/>
      <c r="S647" s="2"/>
      <c r="T647" s="2"/>
      <c r="U647" s="2"/>
      <c r="V647" s="2"/>
      <c r="W647" s="2"/>
      <c r="X647" s="2"/>
      <c r="Y647" s="2"/>
      <c r="Z647" s="2"/>
    </row>
    <row r="648" ht="22.5" customHeight="1">
      <c r="A648" s="7"/>
      <c r="B648" s="7"/>
      <c r="C648" s="7"/>
      <c r="D648" s="7"/>
      <c r="E648" s="7"/>
      <c r="F648" s="7"/>
      <c r="G648" s="7"/>
      <c r="H648" s="2"/>
      <c r="I648" s="62"/>
      <c r="J648" s="7"/>
      <c r="K648" s="2"/>
      <c r="L648" s="2"/>
      <c r="M648" s="2"/>
      <c r="N648" s="2"/>
      <c r="O648" s="2"/>
      <c r="P648" s="2"/>
      <c r="Q648" s="2"/>
      <c r="R648" s="2"/>
      <c r="S648" s="2"/>
      <c r="T648" s="2"/>
      <c r="U648" s="2"/>
      <c r="V648" s="2"/>
      <c r="W648" s="2"/>
      <c r="X648" s="2"/>
      <c r="Y648" s="2"/>
      <c r="Z648" s="2"/>
    </row>
    <row r="649" ht="22.5" customHeight="1">
      <c r="A649" s="7"/>
      <c r="B649" s="7"/>
      <c r="C649" s="7"/>
      <c r="D649" s="7"/>
      <c r="E649" s="7"/>
      <c r="F649" s="7"/>
      <c r="G649" s="7"/>
      <c r="H649" s="2"/>
      <c r="I649" s="62"/>
      <c r="J649" s="7"/>
      <c r="K649" s="2"/>
      <c r="L649" s="2"/>
      <c r="M649" s="2"/>
      <c r="N649" s="2"/>
      <c r="O649" s="2"/>
      <c r="P649" s="2"/>
      <c r="Q649" s="2"/>
      <c r="R649" s="2"/>
      <c r="S649" s="2"/>
      <c r="T649" s="2"/>
      <c r="U649" s="2"/>
      <c r="V649" s="2"/>
      <c r="W649" s="2"/>
      <c r="X649" s="2"/>
      <c r="Y649" s="2"/>
      <c r="Z649" s="2"/>
    </row>
    <row r="650" ht="22.5" customHeight="1">
      <c r="A650" s="7"/>
      <c r="B650" s="7"/>
      <c r="C650" s="7"/>
      <c r="D650" s="7"/>
      <c r="E650" s="7"/>
      <c r="F650" s="7"/>
      <c r="G650" s="7"/>
      <c r="H650" s="2"/>
      <c r="I650" s="62"/>
      <c r="J650" s="7"/>
      <c r="K650" s="2"/>
      <c r="L650" s="2"/>
      <c r="M650" s="2"/>
      <c r="N650" s="2"/>
      <c r="O650" s="2"/>
      <c r="P650" s="2"/>
      <c r="Q650" s="2"/>
      <c r="R650" s="2"/>
      <c r="S650" s="2"/>
      <c r="T650" s="2"/>
      <c r="U650" s="2"/>
      <c r="V650" s="2"/>
      <c r="W650" s="2"/>
      <c r="X650" s="2"/>
      <c r="Y650" s="2"/>
      <c r="Z650" s="2"/>
    </row>
    <row r="651" ht="22.5" customHeight="1">
      <c r="A651" s="7"/>
      <c r="B651" s="7"/>
      <c r="C651" s="7"/>
      <c r="D651" s="7"/>
      <c r="E651" s="7"/>
      <c r="F651" s="7"/>
      <c r="G651" s="7"/>
      <c r="H651" s="2"/>
      <c r="I651" s="62"/>
      <c r="J651" s="7"/>
      <c r="K651" s="2"/>
      <c r="L651" s="2"/>
      <c r="M651" s="2"/>
      <c r="N651" s="2"/>
      <c r="O651" s="2"/>
      <c r="P651" s="2"/>
      <c r="Q651" s="2"/>
      <c r="R651" s="2"/>
      <c r="S651" s="2"/>
      <c r="T651" s="2"/>
      <c r="U651" s="2"/>
      <c r="V651" s="2"/>
      <c r="W651" s="2"/>
      <c r="X651" s="2"/>
      <c r="Y651" s="2"/>
      <c r="Z651" s="2"/>
    </row>
    <row r="652" ht="22.5" customHeight="1">
      <c r="A652" s="7"/>
      <c r="B652" s="7"/>
      <c r="C652" s="7"/>
      <c r="D652" s="7"/>
      <c r="E652" s="7"/>
      <c r="F652" s="7"/>
      <c r="G652" s="7"/>
      <c r="H652" s="2"/>
      <c r="I652" s="62"/>
      <c r="J652" s="7"/>
      <c r="K652" s="2"/>
      <c r="L652" s="2"/>
      <c r="M652" s="2"/>
      <c r="N652" s="2"/>
      <c r="O652" s="2"/>
      <c r="P652" s="2"/>
      <c r="Q652" s="2"/>
      <c r="R652" s="2"/>
      <c r="S652" s="2"/>
      <c r="T652" s="2"/>
      <c r="U652" s="2"/>
      <c r="V652" s="2"/>
      <c r="W652" s="2"/>
      <c r="X652" s="2"/>
      <c r="Y652" s="2"/>
      <c r="Z652" s="2"/>
    </row>
    <row r="653" ht="22.5" customHeight="1">
      <c r="A653" s="7"/>
      <c r="B653" s="7"/>
      <c r="C653" s="7"/>
      <c r="D653" s="7"/>
      <c r="E653" s="7"/>
      <c r="F653" s="7"/>
      <c r="G653" s="7"/>
      <c r="H653" s="2"/>
      <c r="I653" s="62"/>
      <c r="J653" s="7"/>
      <c r="K653" s="2"/>
      <c r="L653" s="2"/>
      <c r="M653" s="2"/>
      <c r="N653" s="2"/>
      <c r="O653" s="2"/>
      <c r="P653" s="2"/>
      <c r="Q653" s="2"/>
      <c r="R653" s="2"/>
      <c r="S653" s="2"/>
      <c r="T653" s="2"/>
      <c r="U653" s="2"/>
      <c r="V653" s="2"/>
      <c r="W653" s="2"/>
      <c r="X653" s="2"/>
      <c r="Y653" s="2"/>
      <c r="Z653" s="2"/>
    </row>
    <row r="654" ht="22.5" customHeight="1">
      <c r="A654" s="7"/>
      <c r="B654" s="7"/>
      <c r="C654" s="7"/>
      <c r="D654" s="7"/>
      <c r="E654" s="7"/>
      <c r="F654" s="7"/>
      <c r="G654" s="7"/>
      <c r="H654" s="2"/>
      <c r="I654" s="62"/>
      <c r="J654" s="7"/>
      <c r="K654" s="2"/>
      <c r="L654" s="2"/>
      <c r="M654" s="2"/>
      <c r="N654" s="2"/>
      <c r="O654" s="2"/>
      <c r="P654" s="2"/>
      <c r="Q654" s="2"/>
      <c r="R654" s="2"/>
      <c r="S654" s="2"/>
      <c r="T654" s="2"/>
      <c r="U654" s="2"/>
      <c r="V654" s="2"/>
      <c r="W654" s="2"/>
      <c r="X654" s="2"/>
      <c r="Y654" s="2"/>
      <c r="Z654" s="2"/>
    </row>
    <row r="655" ht="22.5" customHeight="1">
      <c r="A655" s="7"/>
      <c r="B655" s="7"/>
      <c r="C655" s="7"/>
      <c r="D655" s="7"/>
      <c r="E655" s="7"/>
      <c r="F655" s="7"/>
      <c r="G655" s="7"/>
      <c r="H655" s="2"/>
      <c r="I655" s="62"/>
      <c r="J655" s="7"/>
      <c r="K655" s="2"/>
      <c r="L655" s="2"/>
      <c r="M655" s="2"/>
      <c r="N655" s="2"/>
      <c r="O655" s="2"/>
      <c r="P655" s="2"/>
      <c r="Q655" s="2"/>
      <c r="R655" s="2"/>
      <c r="S655" s="2"/>
      <c r="T655" s="2"/>
      <c r="U655" s="2"/>
      <c r="V655" s="2"/>
      <c r="W655" s="2"/>
      <c r="X655" s="2"/>
      <c r="Y655" s="2"/>
      <c r="Z655" s="2"/>
    </row>
    <row r="656" ht="22.5" customHeight="1">
      <c r="A656" s="7"/>
      <c r="B656" s="7"/>
      <c r="C656" s="7"/>
      <c r="D656" s="7"/>
      <c r="E656" s="7"/>
      <c r="F656" s="7"/>
      <c r="G656" s="7"/>
      <c r="H656" s="2"/>
      <c r="I656" s="62"/>
      <c r="J656" s="7"/>
      <c r="K656" s="2"/>
      <c r="L656" s="2"/>
      <c r="M656" s="2"/>
      <c r="N656" s="2"/>
      <c r="O656" s="2"/>
      <c r="P656" s="2"/>
      <c r="Q656" s="2"/>
      <c r="R656" s="2"/>
      <c r="S656" s="2"/>
      <c r="T656" s="2"/>
      <c r="U656" s="2"/>
      <c r="V656" s="2"/>
      <c r="W656" s="2"/>
      <c r="X656" s="2"/>
      <c r="Y656" s="2"/>
      <c r="Z656" s="2"/>
    </row>
    <row r="657" ht="22.5" customHeight="1">
      <c r="A657" s="7"/>
      <c r="B657" s="7"/>
      <c r="C657" s="7"/>
      <c r="D657" s="7"/>
      <c r="E657" s="7"/>
      <c r="F657" s="7"/>
      <c r="G657" s="7"/>
      <c r="H657" s="2"/>
      <c r="I657" s="62"/>
      <c r="J657" s="7"/>
      <c r="K657" s="2"/>
      <c r="L657" s="2"/>
      <c r="M657" s="2"/>
      <c r="N657" s="2"/>
      <c r="O657" s="2"/>
      <c r="P657" s="2"/>
      <c r="Q657" s="2"/>
      <c r="R657" s="2"/>
      <c r="S657" s="2"/>
      <c r="T657" s="2"/>
      <c r="U657" s="2"/>
      <c r="V657" s="2"/>
      <c r="W657" s="2"/>
      <c r="X657" s="2"/>
      <c r="Y657" s="2"/>
      <c r="Z657" s="2"/>
    </row>
    <row r="658" ht="22.5" customHeight="1">
      <c r="A658" s="7"/>
      <c r="B658" s="7"/>
      <c r="C658" s="7"/>
      <c r="D658" s="7"/>
      <c r="E658" s="7"/>
      <c r="F658" s="7"/>
      <c r="G658" s="7"/>
      <c r="H658" s="2"/>
      <c r="I658" s="62"/>
      <c r="J658" s="7"/>
      <c r="K658" s="2"/>
      <c r="L658" s="2"/>
      <c r="M658" s="2"/>
      <c r="N658" s="2"/>
      <c r="O658" s="2"/>
      <c r="P658" s="2"/>
      <c r="Q658" s="2"/>
      <c r="R658" s="2"/>
      <c r="S658" s="2"/>
      <c r="T658" s="2"/>
      <c r="U658" s="2"/>
      <c r="V658" s="2"/>
      <c r="W658" s="2"/>
      <c r="X658" s="2"/>
      <c r="Y658" s="2"/>
      <c r="Z658" s="2"/>
    </row>
    <row r="659" ht="22.5" customHeight="1">
      <c r="A659" s="7"/>
      <c r="B659" s="7"/>
      <c r="C659" s="7"/>
      <c r="D659" s="7"/>
      <c r="E659" s="7"/>
      <c r="F659" s="7"/>
      <c r="G659" s="7"/>
      <c r="H659" s="2"/>
      <c r="I659" s="62"/>
      <c r="J659" s="7"/>
      <c r="K659" s="2"/>
      <c r="L659" s="2"/>
      <c r="M659" s="2"/>
      <c r="N659" s="2"/>
      <c r="O659" s="2"/>
      <c r="P659" s="2"/>
      <c r="Q659" s="2"/>
      <c r="R659" s="2"/>
      <c r="S659" s="2"/>
      <c r="T659" s="2"/>
      <c r="U659" s="2"/>
      <c r="V659" s="2"/>
      <c r="W659" s="2"/>
      <c r="X659" s="2"/>
      <c r="Y659" s="2"/>
      <c r="Z659" s="2"/>
    </row>
    <row r="660" ht="22.5" customHeight="1">
      <c r="A660" s="7"/>
      <c r="B660" s="7"/>
      <c r="C660" s="7"/>
      <c r="D660" s="7"/>
      <c r="E660" s="7"/>
      <c r="F660" s="7"/>
      <c r="G660" s="7"/>
      <c r="H660" s="2"/>
      <c r="I660" s="62"/>
      <c r="J660" s="7"/>
      <c r="K660" s="2"/>
      <c r="L660" s="2"/>
      <c r="M660" s="2"/>
      <c r="N660" s="2"/>
      <c r="O660" s="2"/>
      <c r="P660" s="2"/>
      <c r="Q660" s="2"/>
      <c r="R660" s="2"/>
      <c r="S660" s="2"/>
      <c r="T660" s="2"/>
      <c r="U660" s="2"/>
      <c r="V660" s="2"/>
      <c r="W660" s="2"/>
      <c r="X660" s="2"/>
      <c r="Y660" s="2"/>
      <c r="Z660" s="2"/>
    </row>
    <row r="661" ht="22.5" customHeight="1">
      <c r="A661" s="7"/>
      <c r="B661" s="7"/>
      <c r="C661" s="7"/>
      <c r="D661" s="7"/>
      <c r="E661" s="7"/>
      <c r="F661" s="7"/>
      <c r="G661" s="7"/>
      <c r="H661" s="2"/>
      <c r="I661" s="62"/>
      <c r="J661" s="7"/>
      <c r="K661" s="2"/>
      <c r="L661" s="2"/>
      <c r="M661" s="2"/>
      <c r="N661" s="2"/>
      <c r="O661" s="2"/>
      <c r="P661" s="2"/>
      <c r="Q661" s="2"/>
      <c r="R661" s="2"/>
      <c r="S661" s="2"/>
      <c r="T661" s="2"/>
      <c r="U661" s="2"/>
      <c r="V661" s="2"/>
      <c r="W661" s="2"/>
      <c r="X661" s="2"/>
      <c r="Y661" s="2"/>
      <c r="Z661" s="2"/>
    </row>
    <row r="662" ht="22.5" customHeight="1">
      <c r="A662" s="7"/>
      <c r="B662" s="7"/>
      <c r="C662" s="7"/>
      <c r="D662" s="7"/>
      <c r="E662" s="7"/>
      <c r="F662" s="7"/>
      <c r="G662" s="7"/>
      <c r="H662" s="2"/>
      <c r="I662" s="62"/>
      <c r="J662" s="7"/>
      <c r="K662" s="2"/>
      <c r="L662" s="2"/>
      <c r="M662" s="2"/>
      <c r="N662" s="2"/>
      <c r="O662" s="2"/>
      <c r="P662" s="2"/>
      <c r="Q662" s="2"/>
      <c r="R662" s="2"/>
      <c r="S662" s="2"/>
      <c r="T662" s="2"/>
      <c r="U662" s="2"/>
      <c r="V662" s="2"/>
      <c r="W662" s="2"/>
      <c r="X662" s="2"/>
      <c r="Y662" s="2"/>
      <c r="Z662" s="2"/>
    </row>
    <row r="663" ht="22.5" customHeight="1">
      <c r="A663" s="7"/>
      <c r="B663" s="7"/>
      <c r="C663" s="7"/>
      <c r="D663" s="7"/>
      <c r="E663" s="7"/>
      <c r="F663" s="7"/>
      <c r="G663" s="7"/>
      <c r="H663" s="2"/>
      <c r="I663" s="62"/>
      <c r="J663" s="7"/>
      <c r="K663" s="2"/>
      <c r="L663" s="2"/>
      <c r="M663" s="2"/>
      <c r="N663" s="2"/>
      <c r="O663" s="2"/>
      <c r="P663" s="2"/>
      <c r="Q663" s="2"/>
      <c r="R663" s="2"/>
      <c r="S663" s="2"/>
      <c r="T663" s="2"/>
      <c r="U663" s="2"/>
      <c r="V663" s="2"/>
      <c r="W663" s="2"/>
      <c r="X663" s="2"/>
      <c r="Y663" s="2"/>
      <c r="Z663" s="2"/>
    </row>
    <row r="664" ht="22.5" customHeight="1">
      <c r="A664" s="7"/>
      <c r="B664" s="7"/>
      <c r="C664" s="7"/>
      <c r="D664" s="7"/>
      <c r="E664" s="7"/>
      <c r="F664" s="7"/>
      <c r="G664" s="7"/>
      <c r="H664" s="2"/>
      <c r="I664" s="62"/>
      <c r="J664" s="7"/>
      <c r="K664" s="2"/>
      <c r="L664" s="2"/>
      <c r="M664" s="2"/>
      <c r="N664" s="2"/>
      <c r="O664" s="2"/>
      <c r="P664" s="2"/>
      <c r="Q664" s="2"/>
      <c r="R664" s="2"/>
      <c r="S664" s="2"/>
      <c r="T664" s="2"/>
      <c r="U664" s="2"/>
      <c r="V664" s="2"/>
      <c r="W664" s="2"/>
      <c r="X664" s="2"/>
      <c r="Y664" s="2"/>
      <c r="Z664" s="2"/>
    </row>
    <row r="665" ht="22.5" customHeight="1">
      <c r="A665" s="7"/>
      <c r="B665" s="7"/>
      <c r="C665" s="7"/>
      <c r="D665" s="7"/>
      <c r="E665" s="7"/>
      <c r="F665" s="7"/>
      <c r="G665" s="7"/>
      <c r="H665" s="2"/>
      <c r="I665" s="62"/>
      <c r="J665" s="7"/>
      <c r="K665" s="2"/>
      <c r="L665" s="2"/>
      <c r="M665" s="2"/>
      <c r="N665" s="2"/>
      <c r="O665" s="2"/>
      <c r="P665" s="2"/>
      <c r="Q665" s="2"/>
      <c r="R665" s="2"/>
      <c r="S665" s="2"/>
      <c r="T665" s="2"/>
      <c r="U665" s="2"/>
      <c r="V665" s="2"/>
      <c r="W665" s="2"/>
      <c r="X665" s="2"/>
      <c r="Y665" s="2"/>
      <c r="Z665" s="2"/>
    </row>
    <row r="666" ht="22.5" customHeight="1">
      <c r="A666" s="7"/>
      <c r="B666" s="7"/>
      <c r="C666" s="7"/>
      <c r="D666" s="7"/>
      <c r="E666" s="7"/>
      <c r="F666" s="7"/>
      <c r="G666" s="7"/>
      <c r="H666" s="2"/>
      <c r="I666" s="62"/>
      <c r="J666" s="7"/>
      <c r="K666" s="2"/>
      <c r="L666" s="2"/>
      <c r="M666" s="2"/>
      <c r="N666" s="2"/>
      <c r="O666" s="2"/>
      <c r="P666" s="2"/>
      <c r="Q666" s="2"/>
      <c r="R666" s="2"/>
      <c r="S666" s="2"/>
      <c r="T666" s="2"/>
      <c r="U666" s="2"/>
      <c r="V666" s="2"/>
      <c r="W666" s="2"/>
      <c r="X666" s="2"/>
      <c r="Y666" s="2"/>
      <c r="Z666" s="2"/>
    </row>
    <row r="667" ht="22.5" customHeight="1">
      <c r="A667" s="7"/>
      <c r="B667" s="7"/>
      <c r="C667" s="7"/>
      <c r="D667" s="7"/>
      <c r="E667" s="7"/>
      <c r="F667" s="7"/>
      <c r="G667" s="7"/>
      <c r="H667" s="2"/>
      <c r="I667" s="62"/>
      <c r="J667" s="7"/>
      <c r="K667" s="2"/>
      <c r="L667" s="2"/>
      <c r="M667" s="2"/>
      <c r="N667" s="2"/>
      <c r="O667" s="2"/>
      <c r="P667" s="2"/>
      <c r="Q667" s="2"/>
      <c r="R667" s="2"/>
      <c r="S667" s="2"/>
      <c r="T667" s="2"/>
      <c r="U667" s="2"/>
      <c r="V667" s="2"/>
      <c r="W667" s="2"/>
      <c r="X667" s="2"/>
      <c r="Y667" s="2"/>
      <c r="Z667" s="2"/>
    </row>
    <row r="668" ht="22.5" customHeight="1">
      <c r="A668" s="7"/>
      <c r="B668" s="7"/>
      <c r="C668" s="7"/>
      <c r="D668" s="7"/>
      <c r="E668" s="7"/>
      <c r="F668" s="7"/>
      <c r="G668" s="7"/>
      <c r="H668" s="2"/>
      <c r="I668" s="62"/>
      <c r="J668" s="7"/>
      <c r="K668" s="2"/>
      <c r="L668" s="2"/>
      <c r="M668" s="2"/>
      <c r="N668" s="2"/>
      <c r="O668" s="2"/>
      <c r="P668" s="2"/>
      <c r="Q668" s="2"/>
      <c r="R668" s="2"/>
      <c r="S668" s="2"/>
      <c r="T668" s="2"/>
      <c r="U668" s="2"/>
      <c r="V668" s="2"/>
      <c r="W668" s="2"/>
      <c r="X668" s="2"/>
      <c r="Y668" s="2"/>
      <c r="Z668" s="2"/>
    </row>
    <row r="669" ht="22.5" customHeight="1">
      <c r="A669" s="7"/>
      <c r="B669" s="7"/>
      <c r="C669" s="7"/>
      <c r="D669" s="7"/>
      <c r="E669" s="7"/>
      <c r="F669" s="7"/>
      <c r="G669" s="7"/>
      <c r="H669" s="2"/>
      <c r="I669" s="62"/>
      <c r="J669" s="7"/>
      <c r="K669" s="2"/>
      <c r="L669" s="2"/>
      <c r="M669" s="2"/>
      <c r="N669" s="2"/>
      <c r="O669" s="2"/>
      <c r="P669" s="2"/>
      <c r="Q669" s="2"/>
      <c r="R669" s="2"/>
      <c r="S669" s="2"/>
      <c r="T669" s="2"/>
      <c r="U669" s="2"/>
      <c r="V669" s="2"/>
      <c r="W669" s="2"/>
      <c r="X669" s="2"/>
      <c r="Y669" s="2"/>
      <c r="Z669" s="2"/>
    </row>
    <row r="670" ht="22.5" customHeight="1">
      <c r="A670" s="7"/>
      <c r="B670" s="7"/>
      <c r="C670" s="7"/>
      <c r="D670" s="7"/>
      <c r="E670" s="7"/>
      <c r="F670" s="7"/>
      <c r="G670" s="7"/>
      <c r="H670" s="2"/>
      <c r="I670" s="62"/>
      <c r="J670" s="7"/>
      <c r="K670" s="2"/>
      <c r="L670" s="2"/>
      <c r="M670" s="2"/>
      <c r="N670" s="2"/>
      <c r="O670" s="2"/>
      <c r="P670" s="2"/>
      <c r="Q670" s="2"/>
      <c r="R670" s="2"/>
      <c r="S670" s="2"/>
      <c r="T670" s="2"/>
      <c r="U670" s="2"/>
      <c r="V670" s="2"/>
      <c r="W670" s="2"/>
      <c r="X670" s="2"/>
      <c r="Y670" s="2"/>
      <c r="Z670" s="2"/>
    </row>
    <row r="671" ht="22.5" customHeight="1">
      <c r="A671" s="7"/>
      <c r="B671" s="7"/>
      <c r="C671" s="7"/>
      <c r="D671" s="7"/>
      <c r="E671" s="7"/>
      <c r="F671" s="7"/>
      <c r="G671" s="7"/>
      <c r="H671" s="2"/>
      <c r="I671" s="62"/>
      <c r="J671" s="7"/>
      <c r="K671" s="2"/>
      <c r="L671" s="2"/>
      <c r="M671" s="2"/>
      <c r="N671" s="2"/>
      <c r="O671" s="2"/>
      <c r="P671" s="2"/>
      <c r="Q671" s="2"/>
      <c r="R671" s="2"/>
      <c r="S671" s="2"/>
      <c r="T671" s="2"/>
      <c r="U671" s="2"/>
      <c r="V671" s="2"/>
      <c r="W671" s="2"/>
      <c r="X671" s="2"/>
      <c r="Y671" s="2"/>
      <c r="Z671" s="2"/>
    </row>
    <row r="672" ht="22.5" customHeight="1">
      <c r="A672" s="7"/>
      <c r="B672" s="7"/>
      <c r="C672" s="7"/>
      <c r="D672" s="7"/>
      <c r="E672" s="7"/>
      <c r="F672" s="7"/>
      <c r="G672" s="7"/>
      <c r="H672" s="2"/>
      <c r="I672" s="62"/>
      <c r="J672" s="7"/>
      <c r="K672" s="2"/>
      <c r="L672" s="2"/>
      <c r="M672" s="2"/>
      <c r="N672" s="2"/>
      <c r="O672" s="2"/>
      <c r="P672" s="2"/>
      <c r="Q672" s="2"/>
      <c r="R672" s="2"/>
      <c r="S672" s="2"/>
      <c r="T672" s="2"/>
      <c r="U672" s="2"/>
      <c r="V672" s="2"/>
      <c r="W672" s="2"/>
      <c r="X672" s="2"/>
      <c r="Y672" s="2"/>
      <c r="Z672" s="2"/>
    </row>
    <row r="673" ht="22.5" customHeight="1">
      <c r="A673" s="7"/>
      <c r="B673" s="7"/>
      <c r="C673" s="7"/>
      <c r="D673" s="7"/>
      <c r="E673" s="7"/>
      <c r="F673" s="7"/>
      <c r="G673" s="7"/>
      <c r="H673" s="2"/>
      <c r="I673" s="62"/>
      <c r="J673" s="7"/>
      <c r="K673" s="2"/>
      <c r="L673" s="2"/>
      <c r="M673" s="2"/>
      <c r="N673" s="2"/>
      <c r="O673" s="2"/>
      <c r="P673" s="2"/>
      <c r="Q673" s="2"/>
      <c r="R673" s="2"/>
      <c r="S673" s="2"/>
      <c r="T673" s="2"/>
      <c r="U673" s="2"/>
      <c r="V673" s="2"/>
      <c r="W673" s="2"/>
      <c r="X673" s="2"/>
      <c r="Y673" s="2"/>
      <c r="Z673" s="2"/>
    </row>
    <row r="674" ht="22.5" customHeight="1">
      <c r="A674" s="7"/>
      <c r="B674" s="7"/>
      <c r="C674" s="7"/>
      <c r="D674" s="7"/>
      <c r="E674" s="7"/>
      <c r="F674" s="7"/>
      <c r="G674" s="7"/>
      <c r="H674" s="2"/>
      <c r="I674" s="62"/>
      <c r="J674" s="7"/>
      <c r="K674" s="2"/>
      <c r="L674" s="2"/>
      <c r="M674" s="2"/>
      <c r="N674" s="2"/>
      <c r="O674" s="2"/>
      <c r="P674" s="2"/>
      <c r="Q674" s="2"/>
      <c r="R674" s="2"/>
      <c r="S674" s="2"/>
      <c r="T674" s="2"/>
      <c r="U674" s="2"/>
      <c r="V674" s="2"/>
      <c r="W674" s="2"/>
      <c r="X674" s="2"/>
      <c r="Y674" s="2"/>
      <c r="Z674" s="2"/>
    </row>
    <row r="675" ht="22.5" customHeight="1">
      <c r="A675" s="7"/>
      <c r="B675" s="7"/>
      <c r="C675" s="7"/>
      <c r="D675" s="7"/>
      <c r="E675" s="7"/>
      <c r="F675" s="7"/>
      <c r="G675" s="7"/>
      <c r="H675" s="2"/>
      <c r="I675" s="62"/>
      <c r="J675" s="7"/>
      <c r="K675" s="2"/>
      <c r="L675" s="2"/>
      <c r="M675" s="2"/>
      <c r="N675" s="2"/>
      <c r="O675" s="2"/>
      <c r="P675" s="2"/>
      <c r="Q675" s="2"/>
      <c r="R675" s="2"/>
      <c r="S675" s="2"/>
      <c r="T675" s="2"/>
      <c r="U675" s="2"/>
      <c r="V675" s="2"/>
      <c r="W675" s="2"/>
      <c r="X675" s="2"/>
      <c r="Y675" s="2"/>
      <c r="Z675" s="2"/>
    </row>
    <row r="676" ht="22.5" customHeight="1">
      <c r="A676" s="7"/>
      <c r="B676" s="7"/>
      <c r="C676" s="7"/>
      <c r="D676" s="7"/>
      <c r="E676" s="7"/>
      <c r="F676" s="7"/>
      <c r="G676" s="7"/>
      <c r="H676" s="2"/>
      <c r="I676" s="62"/>
      <c r="J676" s="7"/>
      <c r="K676" s="2"/>
      <c r="L676" s="2"/>
      <c r="M676" s="2"/>
      <c r="N676" s="2"/>
      <c r="O676" s="2"/>
      <c r="P676" s="2"/>
      <c r="Q676" s="2"/>
      <c r="R676" s="2"/>
      <c r="S676" s="2"/>
      <c r="T676" s="2"/>
      <c r="U676" s="2"/>
      <c r="V676" s="2"/>
      <c r="W676" s="2"/>
      <c r="X676" s="2"/>
      <c r="Y676" s="2"/>
      <c r="Z676" s="2"/>
    </row>
    <row r="677" ht="22.5" customHeight="1">
      <c r="A677" s="7"/>
      <c r="B677" s="7"/>
      <c r="C677" s="7"/>
      <c r="D677" s="7"/>
      <c r="E677" s="7"/>
      <c r="F677" s="7"/>
      <c r="G677" s="7"/>
      <c r="H677" s="2"/>
      <c r="I677" s="62"/>
      <c r="J677" s="7"/>
      <c r="K677" s="2"/>
      <c r="L677" s="2"/>
      <c r="M677" s="2"/>
      <c r="N677" s="2"/>
      <c r="O677" s="2"/>
      <c r="P677" s="2"/>
      <c r="Q677" s="2"/>
      <c r="R677" s="2"/>
      <c r="S677" s="2"/>
      <c r="T677" s="2"/>
      <c r="U677" s="2"/>
      <c r="V677" s="2"/>
      <c r="W677" s="2"/>
      <c r="X677" s="2"/>
      <c r="Y677" s="2"/>
      <c r="Z677" s="2"/>
    </row>
    <row r="678" ht="22.5" customHeight="1">
      <c r="A678" s="7"/>
      <c r="B678" s="7"/>
      <c r="C678" s="7"/>
      <c r="D678" s="7"/>
      <c r="E678" s="7"/>
      <c r="F678" s="7"/>
      <c r="G678" s="7"/>
      <c r="H678" s="2"/>
      <c r="I678" s="62"/>
      <c r="J678" s="7"/>
      <c r="K678" s="2"/>
      <c r="L678" s="2"/>
      <c r="M678" s="2"/>
      <c r="N678" s="2"/>
      <c r="O678" s="2"/>
      <c r="P678" s="2"/>
      <c r="Q678" s="2"/>
      <c r="R678" s="2"/>
      <c r="S678" s="2"/>
      <c r="T678" s="2"/>
      <c r="U678" s="2"/>
      <c r="V678" s="2"/>
      <c r="W678" s="2"/>
      <c r="X678" s="2"/>
      <c r="Y678" s="2"/>
      <c r="Z678" s="2"/>
    </row>
    <row r="679" ht="22.5" customHeight="1">
      <c r="A679" s="7"/>
      <c r="B679" s="7"/>
      <c r="C679" s="7"/>
      <c r="D679" s="7"/>
      <c r="E679" s="7"/>
      <c r="F679" s="7"/>
      <c r="G679" s="7"/>
      <c r="H679" s="2"/>
      <c r="I679" s="62"/>
      <c r="J679" s="7"/>
      <c r="K679" s="2"/>
      <c r="L679" s="2"/>
      <c r="M679" s="2"/>
      <c r="N679" s="2"/>
      <c r="O679" s="2"/>
      <c r="P679" s="2"/>
      <c r="Q679" s="2"/>
      <c r="R679" s="2"/>
      <c r="S679" s="2"/>
      <c r="T679" s="2"/>
      <c r="U679" s="2"/>
      <c r="V679" s="2"/>
      <c r="W679" s="2"/>
      <c r="X679" s="2"/>
      <c r="Y679" s="2"/>
      <c r="Z679" s="2"/>
    </row>
    <row r="680" ht="22.5" customHeight="1">
      <c r="A680" s="7"/>
      <c r="B680" s="7"/>
      <c r="C680" s="7"/>
      <c r="D680" s="7"/>
      <c r="E680" s="7"/>
      <c r="F680" s="7"/>
      <c r="G680" s="7"/>
      <c r="H680" s="2"/>
      <c r="I680" s="62"/>
      <c r="J680" s="7"/>
      <c r="K680" s="2"/>
      <c r="L680" s="2"/>
      <c r="M680" s="2"/>
      <c r="N680" s="2"/>
      <c r="O680" s="2"/>
      <c r="P680" s="2"/>
      <c r="Q680" s="2"/>
      <c r="R680" s="2"/>
      <c r="S680" s="2"/>
      <c r="T680" s="2"/>
      <c r="U680" s="2"/>
      <c r="V680" s="2"/>
      <c r="W680" s="2"/>
      <c r="X680" s="2"/>
      <c r="Y680" s="2"/>
      <c r="Z680" s="2"/>
    </row>
    <row r="681" ht="22.5" customHeight="1">
      <c r="A681" s="7"/>
      <c r="B681" s="7"/>
      <c r="C681" s="7"/>
      <c r="D681" s="7"/>
      <c r="E681" s="7"/>
      <c r="F681" s="7"/>
      <c r="G681" s="7"/>
      <c r="H681" s="2"/>
      <c r="I681" s="62"/>
      <c r="J681" s="7"/>
      <c r="K681" s="2"/>
      <c r="L681" s="2"/>
      <c r="M681" s="2"/>
      <c r="N681" s="2"/>
      <c r="O681" s="2"/>
      <c r="P681" s="2"/>
      <c r="Q681" s="2"/>
      <c r="R681" s="2"/>
      <c r="S681" s="2"/>
      <c r="T681" s="2"/>
      <c r="U681" s="2"/>
      <c r="V681" s="2"/>
      <c r="W681" s="2"/>
      <c r="X681" s="2"/>
      <c r="Y681" s="2"/>
      <c r="Z681" s="2"/>
    </row>
    <row r="682" ht="22.5" customHeight="1">
      <c r="A682" s="7"/>
      <c r="B682" s="7"/>
      <c r="C682" s="7"/>
      <c r="D682" s="7"/>
      <c r="E682" s="7"/>
      <c r="F682" s="7"/>
      <c r="G682" s="7"/>
      <c r="H682" s="2"/>
      <c r="I682" s="62"/>
      <c r="J682" s="7"/>
      <c r="K682" s="2"/>
      <c r="L682" s="2"/>
      <c r="M682" s="2"/>
      <c r="N682" s="2"/>
      <c r="O682" s="2"/>
      <c r="P682" s="2"/>
      <c r="Q682" s="2"/>
      <c r="R682" s="2"/>
      <c r="S682" s="2"/>
      <c r="T682" s="2"/>
      <c r="U682" s="2"/>
      <c r="V682" s="2"/>
      <c r="W682" s="2"/>
      <c r="X682" s="2"/>
      <c r="Y682" s="2"/>
      <c r="Z682" s="2"/>
    </row>
    <row r="683" ht="22.5" customHeight="1">
      <c r="A683" s="7"/>
      <c r="B683" s="7"/>
      <c r="C683" s="7"/>
      <c r="D683" s="7"/>
      <c r="E683" s="7"/>
      <c r="F683" s="7"/>
      <c r="G683" s="7"/>
      <c r="H683" s="2"/>
      <c r="I683" s="62"/>
      <c r="J683" s="7"/>
      <c r="K683" s="2"/>
      <c r="L683" s="2"/>
      <c r="M683" s="2"/>
      <c r="N683" s="2"/>
      <c r="O683" s="2"/>
      <c r="P683" s="2"/>
      <c r="Q683" s="2"/>
      <c r="R683" s="2"/>
      <c r="S683" s="2"/>
      <c r="T683" s="2"/>
      <c r="U683" s="2"/>
      <c r="V683" s="2"/>
      <c r="W683" s="2"/>
      <c r="X683" s="2"/>
      <c r="Y683" s="2"/>
      <c r="Z683" s="2"/>
    </row>
    <row r="684" ht="22.5" customHeight="1">
      <c r="A684" s="7"/>
      <c r="B684" s="7"/>
      <c r="C684" s="7"/>
      <c r="D684" s="7"/>
      <c r="E684" s="7"/>
      <c r="F684" s="7"/>
      <c r="G684" s="7"/>
      <c r="H684" s="2"/>
      <c r="I684" s="62"/>
      <c r="J684" s="7"/>
      <c r="K684" s="2"/>
      <c r="L684" s="2"/>
      <c r="M684" s="2"/>
      <c r="N684" s="2"/>
      <c r="O684" s="2"/>
      <c r="P684" s="2"/>
      <c r="Q684" s="2"/>
      <c r="R684" s="2"/>
      <c r="S684" s="2"/>
      <c r="T684" s="2"/>
      <c r="U684" s="2"/>
      <c r="V684" s="2"/>
      <c r="W684" s="2"/>
      <c r="X684" s="2"/>
      <c r="Y684" s="2"/>
      <c r="Z684" s="2"/>
    </row>
    <row r="685" ht="22.5" customHeight="1">
      <c r="A685" s="7"/>
      <c r="B685" s="7"/>
      <c r="C685" s="7"/>
      <c r="D685" s="7"/>
      <c r="E685" s="7"/>
      <c r="F685" s="7"/>
      <c r="G685" s="7"/>
      <c r="H685" s="2"/>
      <c r="I685" s="62"/>
      <c r="J685" s="7"/>
      <c r="K685" s="2"/>
      <c r="L685" s="2"/>
      <c r="M685" s="2"/>
      <c r="N685" s="2"/>
      <c r="O685" s="2"/>
      <c r="P685" s="2"/>
      <c r="Q685" s="2"/>
      <c r="R685" s="2"/>
      <c r="S685" s="2"/>
      <c r="T685" s="2"/>
      <c r="U685" s="2"/>
      <c r="V685" s="2"/>
      <c r="W685" s="2"/>
      <c r="X685" s="2"/>
      <c r="Y685" s="2"/>
      <c r="Z685" s="2"/>
    </row>
    <row r="686" ht="22.5" customHeight="1">
      <c r="A686" s="7"/>
      <c r="B686" s="7"/>
      <c r="C686" s="7"/>
      <c r="D686" s="7"/>
      <c r="E686" s="7"/>
      <c r="F686" s="7"/>
      <c r="G686" s="7"/>
      <c r="H686" s="2"/>
      <c r="I686" s="62"/>
      <c r="J686" s="7"/>
      <c r="K686" s="2"/>
      <c r="L686" s="2"/>
      <c r="M686" s="2"/>
      <c r="N686" s="2"/>
      <c r="O686" s="2"/>
      <c r="P686" s="2"/>
      <c r="Q686" s="2"/>
      <c r="R686" s="2"/>
      <c r="S686" s="2"/>
      <c r="T686" s="2"/>
      <c r="U686" s="2"/>
      <c r="V686" s="2"/>
      <c r="W686" s="2"/>
      <c r="X686" s="2"/>
      <c r="Y686" s="2"/>
      <c r="Z686" s="2"/>
    </row>
    <row r="687" ht="22.5" customHeight="1">
      <c r="A687" s="7"/>
      <c r="B687" s="7"/>
      <c r="C687" s="7"/>
      <c r="D687" s="7"/>
      <c r="E687" s="7"/>
      <c r="F687" s="7"/>
      <c r="G687" s="7"/>
      <c r="H687" s="2"/>
      <c r="I687" s="62"/>
      <c r="J687" s="7"/>
      <c r="K687" s="2"/>
      <c r="L687" s="2"/>
      <c r="M687" s="2"/>
      <c r="N687" s="2"/>
      <c r="O687" s="2"/>
      <c r="P687" s="2"/>
      <c r="Q687" s="2"/>
      <c r="R687" s="2"/>
      <c r="S687" s="2"/>
      <c r="T687" s="2"/>
      <c r="U687" s="2"/>
      <c r="V687" s="2"/>
      <c r="W687" s="2"/>
      <c r="X687" s="2"/>
      <c r="Y687" s="2"/>
      <c r="Z687" s="2"/>
    </row>
    <row r="688" ht="22.5" customHeight="1">
      <c r="A688" s="7"/>
      <c r="B688" s="7"/>
      <c r="C688" s="7"/>
      <c r="D688" s="7"/>
      <c r="E688" s="7"/>
      <c r="F688" s="7"/>
      <c r="G688" s="7"/>
      <c r="H688" s="2"/>
      <c r="I688" s="62"/>
      <c r="J688" s="7"/>
      <c r="K688" s="2"/>
      <c r="L688" s="2"/>
      <c r="M688" s="2"/>
      <c r="N688" s="2"/>
      <c r="O688" s="2"/>
      <c r="P688" s="2"/>
      <c r="Q688" s="2"/>
      <c r="R688" s="2"/>
      <c r="S688" s="2"/>
      <c r="T688" s="2"/>
      <c r="U688" s="2"/>
      <c r="V688" s="2"/>
      <c r="W688" s="2"/>
      <c r="X688" s="2"/>
      <c r="Y688" s="2"/>
      <c r="Z688" s="2"/>
    </row>
    <row r="689" ht="22.5" customHeight="1">
      <c r="A689" s="7"/>
      <c r="B689" s="7"/>
      <c r="C689" s="7"/>
      <c r="D689" s="7"/>
      <c r="E689" s="7"/>
      <c r="F689" s="7"/>
      <c r="G689" s="7"/>
      <c r="H689" s="2"/>
      <c r="I689" s="62"/>
      <c r="J689" s="7"/>
      <c r="K689" s="2"/>
      <c r="L689" s="2"/>
      <c r="M689" s="2"/>
      <c r="N689" s="2"/>
      <c r="O689" s="2"/>
      <c r="P689" s="2"/>
      <c r="Q689" s="2"/>
      <c r="R689" s="2"/>
      <c r="S689" s="2"/>
      <c r="T689" s="2"/>
      <c r="U689" s="2"/>
      <c r="V689" s="2"/>
      <c r="W689" s="2"/>
      <c r="X689" s="2"/>
      <c r="Y689" s="2"/>
      <c r="Z689" s="2"/>
    </row>
    <row r="690" ht="22.5" customHeight="1">
      <c r="A690" s="7"/>
      <c r="B690" s="7"/>
      <c r="C690" s="7"/>
      <c r="D690" s="7"/>
      <c r="E690" s="7"/>
      <c r="F690" s="7"/>
      <c r="G690" s="7"/>
      <c r="H690" s="2"/>
      <c r="I690" s="62"/>
      <c r="J690" s="7"/>
      <c r="K690" s="2"/>
      <c r="L690" s="2"/>
      <c r="M690" s="2"/>
      <c r="N690" s="2"/>
      <c r="O690" s="2"/>
      <c r="P690" s="2"/>
      <c r="Q690" s="2"/>
      <c r="R690" s="2"/>
      <c r="S690" s="2"/>
      <c r="T690" s="2"/>
      <c r="U690" s="2"/>
      <c r="V690" s="2"/>
      <c r="W690" s="2"/>
      <c r="X690" s="2"/>
      <c r="Y690" s="2"/>
      <c r="Z690" s="2"/>
    </row>
    <row r="691" ht="22.5" customHeight="1">
      <c r="A691" s="7"/>
      <c r="B691" s="7"/>
      <c r="C691" s="7"/>
      <c r="D691" s="7"/>
      <c r="E691" s="7"/>
      <c r="F691" s="7"/>
      <c r="G691" s="7"/>
      <c r="H691" s="2"/>
      <c r="I691" s="62"/>
      <c r="J691" s="7"/>
      <c r="K691" s="2"/>
      <c r="L691" s="2"/>
      <c r="M691" s="2"/>
      <c r="N691" s="2"/>
      <c r="O691" s="2"/>
      <c r="P691" s="2"/>
      <c r="Q691" s="2"/>
      <c r="R691" s="2"/>
      <c r="S691" s="2"/>
      <c r="T691" s="2"/>
      <c r="U691" s="2"/>
      <c r="V691" s="2"/>
      <c r="W691" s="2"/>
      <c r="X691" s="2"/>
      <c r="Y691" s="2"/>
      <c r="Z691" s="2"/>
    </row>
    <row r="692" ht="22.5" customHeight="1">
      <c r="A692" s="7"/>
      <c r="B692" s="7"/>
      <c r="C692" s="7"/>
      <c r="D692" s="7"/>
      <c r="E692" s="7"/>
      <c r="F692" s="7"/>
      <c r="G692" s="7"/>
      <c r="H692" s="2"/>
      <c r="I692" s="62"/>
      <c r="J692" s="7"/>
      <c r="K692" s="2"/>
      <c r="L692" s="2"/>
      <c r="M692" s="2"/>
      <c r="N692" s="2"/>
      <c r="O692" s="2"/>
      <c r="P692" s="2"/>
      <c r="Q692" s="2"/>
      <c r="R692" s="2"/>
      <c r="S692" s="2"/>
      <c r="T692" s="2"/>
      <c r="U692" s="2"/>
      <c r="V692" s="2"/>
      <c r="W692" s="2"/>
      <c r="X692" s="2"/>
      <c r="Y692" s="2"/>
      <c r="Z692" s="2"/>
    </row>
    <row r="693" ht="22.5" customHeight="1">
      <c r="A693" s="7"/>
      <c r="B693" s="7"/>
      <c r="C693" s="7"/>
      <c r="D693" s="7"/>
      <c r="E693" s="7"/>
      <c r="F693" s="7"/>
      <c r="G693" s="7"/>
      <c r="H693" s="2"/>
      <c r="I693" s="62"/>
      <c r="J693" s="7"/>
      <c r="K693" s="2"/>
      <c r="L693" s="2"/>
      <c r="M693" s="2"/>
      <c r="N693" s="2"/>
      <c r="O693" s="2"/>
      <c r="P693" s="2"/>
      <c r="Q693" s="2"/>
      <c r="R693" s="2"/>
      <c r="S693" s="2"/>
      <c r="T693" s="2"/>
      <c r="U693" s="2"/>
      <c r="V693" s="2"/>
      <c r="W693" s="2"/>
      <c r="X693" s="2"/>
      <c r="Y693" s="2"/>
      <c r="Z693" s="2"/>
    </row>
    <row r="694" ht="22.5" customHeight="1">
      <c r="A694" s="7"/>
      <c r="B694" s="7"/>
      <c r="C694" s="7"/>
      <c r="D694" s="7"/>
      <c r="E694" s="7"/>
      <c r="F694" s="7"/>
      <c r="G694" s="7"/>
      <c r="H694" s="2"/>
      <c r="I694" s="62"/>
      <c r="J694" s="7"/>
      <c r="K694" s="2"/>
      <c r="L694" s="2"/>
      <c r="M694" s="2"/>
      <c r="N694" s="2"/>
      <c r="O694" s="2"/>
      <c r="P694" s="2"/>
      <c r="Q694" s="2"/>
      <c r="R694" s="2"/>
      <c r="S694" s="2"/>
      <c r="T694" s="2"/>
      <c r="U694" s="2"/>
      <c r="V694" s="2"/>
      <c r="W694" s="2"/>
      <c r="X694" s="2"/>
      <c r="Y694" s="2"/>
      <c r="Z694" s="2"/>
    </row>
    <row r="695" ht="22.5" customHeight="1">
      <c r="A695" s="7"/>
      <c r="B695" s="7"/>
      <c r="C695" s="7"/>
      <c r="D695" s="7"/>
      <c r="E695" s="7"/>
      <c r="F695" s="7"/>
      <c r="G695" s="7"/>
      <c r="H695" s="2"/>
      <c r="I695" s="62"/>
      <c r="J695" s="7"/>
      <c r="K695" s="2"/>
      <c r="L695" s="2"/>
      <c r="M695" s="2"/>
      <c r="N695" s="2"/>
      <c r="O695" s="2"/>
      <c r="P695" s="2"/>
      <c r="Q695" s="2"/>
      <c r="R695" s="2"/>
      <c r="S695" s="2"/>
      <c r="T695" s="2"/>
      <c r="U695" s="2"/>
      <c r="V695" s="2"/>
      <c r="W695" s="2"/>
      <c r="X695" s="2"/>
      <c r="Y695" s="2"/>
      <c r="Z695" s="2"/>
    </row>
    <row r="696" ht="22.5" customHeight="1">
      <c r="A696" s="7"/>
      <c r="B696" s="7"/>
      <c r="C696" s="7"/>
      <c r="D696" s="7"/>
      <c r="E696" s="7"/>
      <c r="F696" s="7"/>
      <c r="G696" s="7"/>
      <c r="H696" s="2"/>
      <c r="I696" s="62"/>
      <c r="J696" s="7"/>
      <c r="K696" s="2"/>
      <c r="L696" s="2"/>
      <c r="M696" s="2"/>
      <c r="N696" s="2"/>
      <c r="O696" s="2"/>
      <c r="P696" s="2"/>
      <c r="Q696" s="2"/>
      <c r="R696" s="2"/>
      <c r="S696" s="2"/>
      <c r="T696" s="2"/>
      <c r="U696" s="2"/>
      <c r="V696" s="2"/>
      <c r="W696" s="2"/>
      <c r="X696" s="2"/>
      <c r="Y696" s="2"/>
      <c r="Z696" s="2"/>
    </row>
    <row r="697" ht="22.5" customHeight="1">
      <c r="A697" s="7"/>
      <c r="B697" s="7"/>
      <c r="C697" s="7"/>
      <c r="D697" s="7"/>
      <c r="E697" s="7"/>
      <c r="F697" s="7"/>
      <c r="G697" s="7"/>
      <c r="H697" s="2"/>
      <c r="I697" s="62"/>
      <c r="J697" s="7"/>
      <c r="K697" s="2"/>
      <c r="L697" s="2"/>
      <c r="M697" s="2"/>
      <c r="N697" s="2"/>
      <c r="O697" s="2"/>
      <c r="P697" s="2"/>
      <c r="Q697" s="2"/>
      <c r="R697" s="2"/>
      <c r="S697" s="2"/>
      <c r="T697" s="2"/>
      <c r="U697" s="2"/>
      <c r="V697" s="2"/>
      <c r="W697" s="2"/>
      <c r="X697" s="2"/>
      <c r="Y697" s="2"/>
      <c r="Z697" s="2"/>
    </row>
    <row r="698" ht="22.5" customHeight="1">
      <c r="A698" s="7"/>
      <c r="B698" s="7"/>
      <c r="C698" s="7"/>
      <c r="D698" s="7"/>
      <c r="E698" s="7"/>
      <c r="F698" s="7"/>
      <c r="G698" s="7"/>
      <c r="H698" s="2"/>
      <c r="I698" s="62"/>
      <c r="J698" s="7"/>
      <c r="K698" s="2"/>
      <c r="L698" s="2"/>
      <c r="M698" s="2"/>
      <c r="N698" s="2"/>
      <c r="O698" s="2"/>
      <c r="P698" s="2"/>
      <c r="Q698" s="2"/>
      <c r="R698" s="2"/>
      <c r="S698" s="2"/>
      <c r="T698" s="2"/>
      <c r="U698" s="2"/>
      <c r="V698" s="2"/>
      <c r="W698" s="2"/>
      <c r="X698" s="2"/>
      <c r="Y698" s="2"/>
      <c r="Z698" s="2"/>
    </row>
    <row r="699" ht="22.5" customHeight="1">
      <c r="A699" s="7"/>
      <c r="B699" s="7"/>
      <c r="C699" s="7"/>
      <c r="D699" s="7"/>
      <c r="E699" s="7"/>
      <c r="F699" s="7"/>
      <c r="G699" s="7"/>
      <c r="H699" s="2"/>
      <c r="I699" s="62"/>
      <c r="J699" s="7"/>
      <c r="K699" s="2"/>
      <c r="L699" s="2"/>
      <c r="M699" s="2"/>
      <c r="N699" s="2"/>
      <c r="O699" s="2"/>
      <c r="P699" s="2"/>
      <c r="Q699" s="2"/>
      <c r="R699" s="2"/>
      <c r="S699" s="2"/>
      <c r="T699" s="2"/>
      <c r="U699" s="2"/>
      <c r="V699" s="2"/>
      <c r="W699" s="2"/>
      <c r="X699" s="2"/>
      <c r="Y699" s="2"/>
      <c r="Z699" s="2"/>
    </row>
    <row r="700" ht="22.5" customHeight="1">
      <c r="A700" s="7"/>
      <c r="B700" s="7"/>
      <c r="C700" s="7"/>
      <c r="D700" s="7"/>
      <c r="E700" s="7"/>
      <c r="F700" s="7"/>
      <c r="G700" s="7"/>
      <c r="H700" s="2"/>
      <c r="I700" s="62"/>
      <c r="J700" s="7"/>
      <c r="K700" s="2"/>
      <c r="L700" s="2"/>
      <c r="M700" s="2"/>
      <c r="N700" s="2"/>
      <c r="O700" s="2"/>
      <c r="P700" s="2"/>
      <c r="Q700" s="2"/>
      <c r="R700" s="2"/>
      <c r="S700" s="2"/>
      <c r="T700" s="2"/>
      <c r="U700" s="2"/>
      <c r="V700" s="2"/>
      <c r="W700" s="2"/>
      <c r="X700" s="2"/>
      <c r="Y700" s="2"/>
      <c r="Z700" s="2"/>
    </row>
    <row r="701" ht="22.5" customHeight="1">
      <c r="A701" s="7"/>
      <c r="B701" s="7"/>
      <c r="C701" s="7"/>
      <c r="D701" s="7"/>
      <c r="E701" s="7"/>
      <c r="F701" s="7"/>
      <c r="G701" s="7"/>
      <c r="H701" s="2"/>
      <c r="I701" s="62"/>
      <c r="J701" s="7"/>
      <c r="K701" s="2"/>
      <c r="L701" s="2"/>
      <c r="M701" s="2"/>
      <c r="N701" s="2"/>
      <c r="O701" s="2"/>
      <c r="P701" s="2"/>
      <c r="Q701" s="2"/>
      <c r="R701" s="2"/>
      <c r="S701" s="2"/>
      <c r="T701" s="2"/>
      <c r="U701" s="2"/>
      <c r="V701" s="2"/>
      <c r="W701" s="2"/>
      <c r="X701" s="2"/>
      <c r="Y701" s="2"/>
      <c r="Z701" s="2"/>
    </row>
    <row r="702" ht="22.5" customHeight="1">
      <c r="A702" s="7"/>
      <c r="B702" s="7"/>
      <c r="C702" s="7"/>
      <c r="D702" s="7"/>
      <c r="E702" s="7"/>
      <c r="F702" s="7"/>
      <c r="G702" s="7"/>
      <c r="H702" s="2"/>
      <c r="I702" s="62"/>
      <c r="J702" s="7"/>
      <c r="K702" s="2"/>
      <c r="L702" s="2"/>
      <c r="M702" s="2"/>
      <c r="N702" s="2"/>
      <c r="O702" s="2"/>
      <c r="P702" s="2"/>
      <c r="Q702" s="2"/>
      <c r="R702" s="2"/>
      <c r="S702" s="2"/>
      <c r="T702" s="2"/>
      <c r="U702" s="2"/>
      <c r="V702" s="2"/>
      <c r="W702" s="2"/>
      <c r="X702" s="2"/>
      <c r="Y702" s="2"/>
      <c r="Z702" s="2"/>
    </row>
    <row r="703" ht="22.5" customHeight="1">
      <c r="A703" s="7"/>
      <c r="B703" s="7"/>
      <c r="C703" s="7"/>
      <c r="D703" s="7"/>
      <c r="E703" s="7"/>
      <c r="F703" s="7"/>
      <c r="G703" s="7"/>
      <c r="H703" s="2"/>
      <c r="I703" s="62"/>
      <c r="J703" s="7"/>
      <c r="K703" s="2"/>
      <c r="L703" s="2"/>
      <c r="M703" s="2"/>
      <c r="N703" s="2"/>
      <c r="O703" s="2"/>
      <c r="P703" s="2"/>
      <c r="Q703" s="2"/>
      <c r="R703" s="2"/>
      <c r="S703" s="2"/>
      <c r="T703" s="2"/>
      <c r="U703" s="2"/>
      <c r="V703" s="2"/>
      <c r="W703" s="2"/>
      <c r="X703" s="2"/>
      <c r="Y703" s="2"/>
      <c r="Z703" s="2"/>
    </row>
    <row r="704" ht="22.5" customHeight="1">
      <c r="A704" s="7"/>
      <c r="B704" s="7"/>
      <c r="C704" s="7"/>
      <c r="D704" s="7"/>
      <c r="E704" s="7"/>
      <c r="F704" s="7"/>
      <c r="G704" s="7"/>
      <c r="H704" s="2"/>
      <c r="I704" s="62"/>
      <c r="J704" s="7"/>
      <c r="K704" s="2"/>
      <c r="L704" s="2"/>
      <c r="M704" s="2"/>
      <c r="N704" s="2"/>
      <c r="O704" s="2"/>
      <c r="P704" s="2"/>
      <c r="Q704" s="2"/>
      <c r="R704" s="2"/>
      <c r="S704" s="2"/>
      <c r="T704" s="2"/>
      <c r="U704" s="2"/>
      <c r="V704" s="2"/>
      <c r="W704" s="2"/>
      <c r="X704" s="2"/>
      <c r="Y704" s="2"/>
      <c r="Z704" s="2"/>
    </row>
    <row r="705" ht="22.5" customHeight="1">
      <c r="A705" s="7"/>
      <c r="B705" s="7"/>
      <c r="C705" s="7"/>
      <c r="D705" s="7"/>
      <c r="E705" s="7"/>
      <c r="F705" s="7"/>
      <c r="G705" s="7"/>
      <c r="H705" s="2"/>
      <c r="I705" s="62"/>
      <c r="J705" s="7"/>
      <c r="K705" s="2"/>
      <c r="L705" s="2"/>
      <c r="M705" s="2"/>
      <c r="N705" s="2"/>
      <c r="O705" s="2"/>
      <c r="P705" s="2"/>
      <c r="Q705" s="2"/>
      <c r="R705" s="2"/>
      <c r="S705" s="2"/>
      <c r="T705" s="2"/>
      <c r="U705" s="2"/>
      <c r="V705" s="2"/>
      <c r="W705" s="2"/>
      <c r="X705" s="2"/>
      <c r="Y705" s="2"/>
      <c r="Z705" s="2"/>
    </row>
    <row r="706" ht="22.5" customHeight="1">
      <c r="A706" s="7"/>
      <c r="B706" s="7"/>
      <c r="C706" s="7"/>
      <c r="D706" s="7"/>
      <c r="E706" s="7"/>
      <c r="F706" s="7"/>
      <c r="G706" s="7"/>
      <c r="H706" s="2"/>
      <c r="I706" s="62"/>
      <c r="J706" s="7"/>
      <c r="K706" s="2"/>
      <c r="L706" s="2"/>
      <c r="M706" s="2"/>
      <c r="N706" s="2"/>
      <c r="O706" s="2"/>
      <c r="P706" s="2"/>
      <c r="Q706" s="2"/>
      <c r="R706" s="2"/>
      <c r="S706" s="2"/>
      <c r="T706" s="2"/>
      <c r="U706" s="2"/>
      <c r="V706" s="2"/>
      <c r="W706" s="2"/>
      <c r="X706" s="2"/>
      <c r="Y706" s="2"/>
      <c r="Z706" s="2"/>
    </row>
    <row r="707" ht="22.5" customHeight="1">
      <c r="A707" s="7"/>
      <c r="B707" s="7"/>
      <c r="C707" s="7"/>
      <c r="D707" s="7"/>
      <c r="E707" s="7"/>
      <c r="F707" s="7"/>
      <c r="G707" s="7"/>
      <c r="H707" s="2"/>
      <c r="I707" s="62"/>
      <c r="J707" s="7"/>
      <c r="K707" s="2"/>
      <c r="L707" s="2"/>
      <c r="M707" s="2"/>
      <c r="N707" s="2"/>
      <c r="O707" s="2"/>
      <c r="P707" s="2"/>
      <c r="Q707" s="2"/>
      <c r="R707" s="2"/>
      <c r="S707" s="2"/>
      <c r="T707" s="2"/>
      <c r="U707" s="2"/>
      <c r="V707" s="2"/>
      <c r="W707" s="2"/>
      <c r="X707" s="2"/>
      <c r="Y707" s="2"/>
      <c r="Z707" s="2"/>
    </row>
    <row r="708" ht="22.5" customHeight="1">
      <c r="A708" s="7"/>
      <c r="B708" s="7"/>
      <c r="C708" s="7"/>
      <c r="D708" s="7"/>
      <c r="E708" s="7"/>
      <c r="F708" s="7"/>
      <c r="G708" s="7"/>
      <c r="H708" s="2"/>
      <c r="I708" s="62"/>
      <c r="J708" s="7"/>
      <c r="K708" s="2"/>
      <c r="L708" s="2"/>
      <c r="M708" s="2"/>
      <c r="N708" s="2"/>
      <c r="O708" s="2"/>
      <c r="P708" s="2"/>
      <c r="Q708" s="2"/>
      <c r="R708" s="2"/>
      <c r="S708" s="2"/>
      <c r="T708" s="2"/>
      <c r="U708" s="2"/>
      <c r="V708" s="2"/>
      <c r="W708" s="2"/>
      <c r="X708" s="2"/>
      <c r="Y708" s="2"/>
      <c r="Z708" s="2"/>
    </row>
    <row r="709" ht="22.5" customHeight="1">
      <c r="A709" s="7"/>
      <c r="B709" s="7"/>
      <c r="C709" s="7"/>
      <c r="D709" s="7"/>
      <c r="E709" s="7"/>
      <c r="F709" s="7"/>
      <c r="G709" s="7"/>
      <c r="H709" s="2"/>
      <c r="I709" s="62"/>
      <c r="J709" s="7"/>
      <c r="K709" s="2"/>
      <c r="L709" s="2"/>
      <c r="M709" s="2"/>
      <c r="N709" s="2"/>
      <c r="O709" s="2"/>
      <c r="P709" s="2"/>
      <c r="Q709" s="2"/>
      <c r="R709" s="2"/>
      <c r="S709" s="2"/>
      <c r="T709" s="2"/>
      <c r="U709" s="2"/>
      <c r="V709" s="2"/>
      <c r="W709" s="2"/>
      <c r="X709" s="2"/>
      <c r="Y709" s="2"/>
      <c r="Z709" s="2"/>
    </row>
    <row r="710" ht="22.5" customHeight="1">
      <c r="A710" s="7"/>
      <c r="B710" s="7"/>
      <c r="C710" s="7"/>
      <c r="D710" s="7"/>
      <c r="E710" s="7"/>
      <c r="F710" s="7"/>
      <c r="G710" s="7"/>
      <c r="H710" s="2"/>
      <c r="I710" s="62"/>
      <c r="J710" s="7"/>
      <c r="K710" s="2"/>
      <c r="L710" s="2"/>
      <c r="M710" s="2"/>
      <c r="N710" s="2"/>
      <c r="O710" s="2"/>
      <c r="P710" s="2"/>
      <c r="Q710" s="2"/>
      <c r="R710" s="2"/>
      <c r="S710" s="2"/>
      <c r="T710" s="2"/>
      <c r="U710" s="2"/>
      <c r="V710" s="2"/>
      <c r="W710" s="2"/>
      <c r="X710" s="2"/>
      <c r="Y710" s="2"/>
      <c r="Z710" s="2"/>
    </row>
    <row r="711" ht="22.5" customHeight="1">
      <c r="A711" s="7"/>
      <c r="B711" s="7"/>
      <c r="C711" s="7"/>
      <c r="D711" s="7"/>
      <c r="E711" s="7"/>
      <c r="F711" s="7"/>
      <c r="G711" s="7"/>
      <c r="H711" s="2"/>
      <c r="I711" s="62"/>
      <c r="J711" s="7"/>
      <c r="K711" s="2"/>
      <c r="L711" s="2"/>
      <c r="M711" s="2"/>
      <c r="N711" s="2"/>
      <c r="O711" s="2"/>
      <c r="P711" s="2"/>
      <c r="Q711" s="2"/>
      <c r="R711" s="2"/>
      <c r="S711" s="2"/>
      <c r="T711" s="2"/>
      <c r="U711" s="2"/>
      <c r="V711" s="2"/>
      <c r="W711" s="2"/>
      <c r="X711" s="2"/>
      <c r="Y711" s="2"/>
      <c r="Z711" s="2"/>
    </row>
    <row r="712" ht="22.5" customHeight="1">
      <c r="A712" s="7"/>
      <c r="B712" s="7"/>
      <c r="C712" s="7"/>
      <c r="D712" s="7"/>
      <c r="E712" s="7"/>
      <c r="F712" s="7"/>
      <c r="G712" s="7"/>
      <c r="H712" s="2"/>
      <c r="I712" s="62"/>
      <c r="J712" s="7"/>
      <c r="K712" s="2"/>
      <c r="L712" s="2"/>
      <c r="M712" s="2"/>
      <c r="N712" s="2"/>
      <c r="O712" s="2"/>
      <c r="P712" s="2"/>
      <c r="Q712" s="2"/>
      <c r="R712" s="2"/>
      <c r="S712" s="2"/>
      <c r="T712" s="2"/>
      <c r="U712" s="2"/>
      <c r="V712" s="2"/>
      <c r="W712" s="2"/>
      <c r="X712" s="2"/>
      <c r="Y712" s="2"/>
      <c r="Z712" s="2"/>
    </row>
    <row r="713" ht="22.5" customHeight="1">
      <c r="A713" s="7"/>
      <c r="B713" s="7"/>
      <c r="C713" s="7"/>
      <c r="D713" s="7"/>
      <c r="E713" s="7"/>
      <c r="F713" s="7"/>
      <c r="G713" s="7"/>
      <c r="H713" s="2"/>
      <c r="I713" s="62"/>
      <c r="J713" s="7"/>
      <c r="K713" s="2"/>
      <c r="L713" s="2"/>
      <c r="M713" s="2"/>
      <c r="N713" s="2"/>
      <c r="O713" s="2"/>
      <c r="P713" s="2"/>
      <c r="Q713" s="2"/>
      <c r="R713" s="2"/>
      <c r="S713" s="2"/>
      <c r="T713" s="2"/>
      <c r="U713" s="2"/>
      <c r="V713" s="2"/>
      <c r="W713" s="2"/>
      <c r="X713" s="2"/>
      <c r="Y713" s="2"/>
      <c r="Z713" s="2"/>
    </row>
    <row r="714" ht="22.5" customHeight="1">
      <c r="A714" s="7"/>
      <c r="B714" s="7"/>
      <c r="C714" s="7"/>
      <c r="D714" s="7"/>
      <c r="E714" s="7"/>
      <c r="F714" s="7"/>
      <c r="G714" s="7"/>
      <c r="H714" s="2"/>
      <c r="I714" s="62"/>
      <c r="J714" s="7"/>
      <c r="K714" s="2"/>
      <c r="L714" s="2"/>
      <c r="M714" s="2"/>
      <c r="N714" s="2"/>
      <c r="O714" s="2"/>
      <c r="P714" s="2"/>
      <c r="Q714" s="2"/>
      <c r="R714" s="2"/>
      <c r="S714" s="2"/>
      <c r="T714" s="2"/>
      <c r="U714" s="2"/>
      <c r="V714" s="2"/>
      <c r="W714" s="2"/>
      <c r="X714" s="2"/>
      <c r="Y714" s="2"/>
      <c r="Z714" s="2"/>
    </row>
    <row r="715" ht="22.5" customHeight="1">
      <c r="A715" s="7"/>
      <c r="B715" s="7"/>
      <c r="C715" s="7"/>
      <c r="D715" s="7"/>
      <c r="E715" s="7"/>
      <c r="F715" s="7"/>
      <c r="G715" s="7"/>
      <c r="H715" s="2"/>
      <c r="I715" s="62"/>
      <c r="J715" s="7"/>
      <c r="K715" s="2"/>
      <c r="L715" s="2"/>
      <c r="M715" s="2"/>
      <c r="N715" s="2"/>
      <c r="O715" s="2"/>
      <c r="P715" s="2"/>
      <c r="Q715" s="2"/>
      <c r="R715" s="2"/>
      <c r="S715" s="2"/>
      <c r="T715" s="2"/>
      <c r="U715" s="2"/>
      <c r="V715" s="2"/>
      <c r="W715" s="2"/>
      <c r="X715" s="2"/>
      <c r="Y715" s="2"/>
      <c r="Z715" s="2"/>
    </row>
    <row r="716" ht="22.5" customHeight="1">
      <c r="A716" s="7"/>
      <c r="B716" s="7"/>
      <c r="C716" s="7"/>
      <c r="D716" s="7"/>
      <c r="E716" s="7"/>
      <c r="F716" s="7"/>
      <c r="G716" s="7"/>
      <c r="H716" s="2"/>
      <c r="I716" s="62"/>
      <c r="J716" s="7"/>
      <c r="K716" s="2"/>
      <c r="L716" s="2"/>
      <c r="M716" s="2"/>
      <c r="N716" s="2"/>
      <c r="O716" s="2"/>
      <c r="P716" s="2"/>
      <c r="Q716" s="2"/>
      <c r="R716" s="2"/>
      <c r="S716" s="2"/>
      <c r="T716" s="2"/>
      <c r="U716" s="2"/>
      <c r="V716" s="2"/>
      <c r="W716" s="2"/>
      <c r="X716" s="2"/>
      <c r="Y716" s="2"/>
      <c r="Z716" s="2"/>
    </row>
    <row r="717" ht="22.5" customHeight="1">
      <c r="A717" s="7"/>
      <c r="B717" s="7"/>
      <c r="C717" s="7"/>
      <c r="D717" s="7"/>
      <c r="E717" s="7"/>
      <c r="F717" s="7"/>
      <c r="G717" s="7"/>
      <c r="H717" s="2"/>
      <c r="I717" s="62"/>
      <c r="J717" s="7"/>
      <c r="K717" s="2"/>
      <c r="L717" s="2"/>
      <c r="M717" s="2"/>
      <c r="N717" s="2"/>
      <c r="O717" s="2"/>
      <c r="P717" s="2"/>
      <c r="Q717" s="2"/>
      <c r="R717" s="2"/>
      <c r="S717" s="2"/>
      <c r="T717" s="2"/>
      <c r="U717" s="2"/>
      <c r="V717" s="2"/>
      <c r="W717" s="2"/>
      <c r="X717" s="2"/>
      <c r="Y717" s="2"/>
      <c r="Z717" s="2"/>
    </row>
    <row r="718" ht="22.5" customHeight="1">
      <c r="A718" s="7"/>
      <c r="B718" s="7"/>
      <c r="C718" s="7"/>
      <c r="D718" s="7"/>
      <c r="E718" s="7"/>
      <c r="F718" s="7"/>
      <c r="G718" s="7"/>
      <c r="H718" s="2"/>
      <c r="I718" s="62"/>
      <c r="J718" s="7"/>
      <c r="K718" s="2"/>
      <c r="L718" s="2"/>
      <c r="M718" s="2"/>
      <c r="N718" s="2"/>
      <c r="O718" s="2"/>
      <c r="P718" s="2"/>
      <c r="Q718" s="2"/>
      <c r="R718" s="2"/>
      <c r="S718" s="2"/>
      <c r="T718" s="2"/>
      <c r="U718" s="2"/>
      <c r="V718" s="2"/>
      <c r="W718" s="2"/>
      <c r="X718" s="2"/>
      <c r="Y718" s="2"/>
      <c r="Z718" s="2"/>
    </row>
    <row r="719" ht="22.5" customHeight="1">
      <c r="A719" s="7"/>
      <c r="B719" s="7"/>
      <c r="C719" s="7"/>
      <c r="D719" s="7"/>
      <c r="E719" s="7"/>
      <c r="F719" s="7"/>
      <c r="G719" s="7"/>
      <c r="H719" s="2"/>
      <c r="I719" s="62"/>
      <c r="J719" s="7"/>
      <c r="K719" s="2"/>
      <c r="L719" s="2"/>
      <c r="M719" s="2"/>
      <c r="N719" s="2"/>
      <c r="O719" s="2"/>
      <c r="P719" s="2"/>
      <c r="Q719" s="2"/>
      <c r="R719" s="2"/>
      <c r="S719" s="2"/>
      <c r="T719" s="2"/>
      <c r="U719" s="2"/>
      <c r="V719" s="2"/>
      <c r="W719" s="2"/>
      <c r="X719" s="2"/>
      <c r="Y719" s="2"/>
      <c r="Z719" s="2"/>
    </row>
    <row r="720" ht="22.5" customHeight="1">
      <c r="A720" s="7"/>
      <c r="B720" s="7"/>
      <c r="C720" s="7"/>
      <c r="D720" s="7"/>
      <c r="E720" s="7"/>
      <c r="F720" s="7"/>
      <c r="G720" s="7"/>
      <c r="H720" s="2"/>
      <c r="I720" s="62"/>
      <c r="J720" s="7"/>
      <c r="K720" s="2"/>
      <c r="L720" s="2"/>
      <c r="M720" s="2"/>
      <c r="N720" s="2"/>
      <c r="O720" s="2"/>
      <c r="P720" s="2"/>
      <c r="Q720" s="2"/>
      <c r="R720" s="2"/>
      <c r="S720" s="2"/>
      <c r="T720" s="2"/>
      <c r="U720" s="2"/>
      <c r="V720" s="2"/>
      <c r="W720" s="2"/>
      <c r="X720" s="2"/>
      <c r="Y720" s="2"/>
      <c r="Z720" s="2"/>
    </row>
    <row r="721" ht="22.5" customHeight="1">
      <c r="A721" s="7"/>
      <c r="B721" s="7"/>
      <c r="C721" s="7"/>
      <c r="D721" s="7"/>
      <c r="E721" s="7"/>
      <c r="F721" s="7"/>
      <c r="G721" s="7"/>
      <c r="H721" s="2"/>
      <c r="I721" s="62"/>
      <c r="J721" s="7"/>
      <c r="K721" s="2"/>
      <c r="L721" s="2"/>
      <c r="M721" s="2"/>
      <c r="N721" s="2"/>
      <c r="O721" s="2"/>
      <c r="P721" s="2"/>
      <c r="Q721" s="2"/>
      <c r="R721" s="2"/>
      <c r="S721" s="2"/>
      <c r="T721" s="2"/>
      <c r="U721" s="2"/>
      <c r="V721" s="2"/>
      <c r="W721" s="2"/>
      <c r="X721" s="2"/>
      <c r="Y721" s="2"/>
      <c r="Z721" s="2"/>
    </row>
    <row r="722" ht="22.5" customHeight="1">
      <c r="A722" s="7"/>
      <c r="B722" s="7"/>
      <c r="C722" s="7"/>
      <c r="D722" s="7"/>
      <c r="E722" s="7"/>
      <c r="F722" s="7"/>
      <c r="G722" s="7"/>
      <c r="H722" s="2"/>
      <c r="I722" s="62"/>
      <c r="J722" s="7"/>
      <c r="K722" s="2"/>
      <c r="L722" s="2"/>
      <c r="M722" s="2"/>
      <c r="N722" s="2"/>
      <c r="O722" s="2"/>
      <c r="P722" s="2"/>
      <c r="Q722" s="2"/>
      <c r="R722" s="2"/>
      <c r="S722" s="2"/>
      <c r="T722" s="2"/>
      <c r="U722" s="2"/>
      <c r="V722" s="2"/>
      <c r="W722" s="2"/>
      <c r="X722" s="2"/>
      <c r="Y722" s="2"/>
      <c r="Z722" s="2"/>
    </row>
    <row r="723" ht="22.5" customHeight="1">
      <c r="A723" s="7"/>
      <c r="B723" s="7"/>
      <c r="C723" s="7"/>
      <c r="D723" s="7"/>
      <c r="E723" s="7"/>
      <c r="F723" s="7"/>
      <c r="G723" s="7"/>
      <c r="H723" s="2"/>
      <c r="I723" s="62"/>
      <c r="J723" s="7"/>
      <c r="K723" s="2"/>
      <c r="L723" s="2"/>
      <c r="M723" s="2"/>
      <c r="N723" s="2"/>
      <c r="O723" s="2"/>
      <c r="P723" s="2"/>
      <c r="Q723" s="2"/>
      <c r="R723" s="2"/>
      <c r="S723" s="2"/>
      <c r="T723" s="2"/>
      <c r="U723" s="2"/>
      <c r="V723" s="2"/>
      <c r="W723" s="2"/>
      <c r="X723" s="2"/>
      <c r="Y723" s="2"/>
      <c r="Z723" s="2"/>
    </row>
    <row r="724" ht="22.5" customHeight="1">
      <c r="A724" s="7"/>
      <c r="B724" s="7"/>
      <c r="C724" s="7"/>
      <c r="D724" s="7"/>
      <c r="E724" s="7"/>
      <c r="F724" s="7"/>
      <c r="G724" s="7"/>
      <c r="H724" s="2"/>
      <c r="I724" s="62"/>
      <c r="J724" s="7"/>
      <c r="K724" s="2"/>
      <c r="L724" s="2"/>
      <c r="M724" s="2"/>
      <c r="N724" s="2"/>
      <c r="O724" s="2"/>
      <c r="P724" s="2"/>
      <c r="Q724" s="2"/>
      <c r="R724" s="2"/>
      <c r="S724" s="2"/>
      <c r="T724" s="2"/>
      <c r="U724" s="2"/>
      <c r="V724" s="2"/>
      <c r="W724" s="2"/>
      <c r="X724" s="2"/>
      <c r="Y724" s="2"/>
      <c r="Z724" s="2"/>
    </row>
    <row r="725" ht="22.5" customHeight="1">
      <c r="A725" s="7"/>
      <c r="B725" s="7"/>
      <c r="C725" s="7"/>
      <c r="D725" s="7"/>
      <c r="E725" s="7"/>
      <c r="F725" s="7"/>
      <c r="G725" s="7"/>
      <c r="H725" s="2"/>
      <c r="I725" s="62"/>
      <c r="J725" s="7"/>
      <c r="K725" s="2"/>
      <c r="L725" s="2"/>
      <c r="M725" s="2"/>
      <c r="N725" s="2"/>
      <c r="O725" s="2"/>
      <c r="P725" s="2"/>
      <c r="Q725" s="2"/>
      <c r="R725" s="2"/>
      <c r="S725" s="2"/>
      <c r="T725" s="2"/>
      <c r="U725" s="2"/>
      <c r="V725" s="2"/>
      <c r="W725" s="2"/>
      <c r="X725" s="2"/>
      <c r="Y725" s="2"/>
      <c r="Z725" s="2"/>
    </row>
    <row r="726" ht="22.5" customHeight="1">
      <c r="A726" s="7"/>
      <c r="B726" s="7"/>
      <c r="C726" s="7"/>
      <c r="D726" s="7"/>
      <c r="E726" s="7"/>
      <c r="F726" s="7"/>
      <c r="G726" s="7"/>
      <c r="H726" s="2"/>
      <c r="I726" s="62"/>
      <c r="J726" s="7"/>
      <c r="K726" s="2"/>
      <c r="L726" s="2"/>
      <c r="M726" s="2"/>
      <c r="N726" s="2"/>
      <c r="O726" s="2"/>
      <c r="P726" s="2"/>
      <c r="Q726" s="2"/>
      <c r="R726" s="2"/>
      <c r="S726" s="2"/>
      <c r="T726" s="2"/>
      <c r="U726" s="2"/>
      <c r="V726" s="2"/>
      <c r="W726" s="2"/>
      <c r="X726" s="2"/>
      <c r="Y726" s="2"/>
      <c r="Z726" s="2"/>
    </row>
    <row r="727" ht="22.5" customHeight="1">
      <c r="A727" s="7"/>
      <c r="B727" s="7"/>
      <c r="C727" s="7"/>
      <c r="D727" s="7"/>
      <c r="E727" s="7"/>
      <c r="F727" s="7"/>
      <c r="G727" s="7"/>
      <c r="H727" s="2"/>
      <c r="I727" s="62"/>
      <c r="J727" s="7"/>
      <c r="K727" s="2"/>
      <c r="L727" s="2"/>
      <c r="M727" s="2"/>
      <c r="N727" s="2"/>
      <c r="O727" s="2"/>
      <c r="P727" s="2"/>
      <c r="Q727" s="2"/>
      <c r="R727" s="2"/>
      <c r="S727" s="2"/>
      <c r="T727" s="2"/>
      <c r="U727" s="2"/>
      <c r="V727" s="2"/>
      <c r="W727" s="2"/>
      <c r="X727" s="2"/>
      <c r="Y727" s="2"/>
      <c r="Z727" s="2"/>
    </row>
    <row r="728" ht="22.5" customHeight="1">
      <c r="A728" s="7"/>
      <c r="B728" s="7"/>
      <c r="C728" s="7"/>
      <c r="D728" s="7"/>
      <c r="E728" s="7"/>
      <c r="F728" s="7"/>
      <c r="G728" s="7"/>
      <c r="H728" s="2"/>
      <c r="I728" s="62"/>
      <c r="J728" s="7"/>
      <c r="K728" s="2"/>
      <c r="L728" s="2"/>
      <c r="M728" s="2"/>
      <c r="N728" s="2"/>
      <c r="O728" s="2"/>
      <c r="P728" s="2"/>
      <c r="Q728" s="2"/>
      <c r="R728" s="2"/>
      <c r="S728" s="2"/>
      <c r="T728" s="2"/>
      <c r="U728" s="2"/>
      <c r="V728" s="2"/>
      <c r="W728" s="2"/>
      <c r="X728" s="2"/>
      <c r="Y728" s="2"/>
      <c r="Z728" s="2"/>
    </row>
    <row r="729" ht="22.5" customHeight="1">
      <c r="A729" s="7"/>
      <c r="B729" s="7"/>
      <c r="C729" s="7"/>
      <c r="D729" s="7"/>
      <c r="E729" s="7"/>
      <c r="F729" s="7"/>
      <c r="G729" s="7"/>
      <c r="H729" s="2"/>
      <c r="I729" s="62"/>
      <c r="J729" s="7"/>
      <c r="K729" s="2"/>
      <c r="L729" s="2"/>
      <c r="M729" s="2"/>
      <c r="N729" s="2"/>
      <c r="O729" s="2"/>
      <c r="P729" s="2"/>
      <c r="Q729" s="2"/>
      <c r="R729" s="2"/>
      <c r="S729" s="2"/>
      <c r="T729" s="2"/>
      <c r="U729" s="2"/>
      <c r="V729" s="2"/>
      <c r="W729" s="2"/>
      <c r="X729" s="2"/>
      <c r="Y729" s="2"/>
      <c r="Z729" s="2"/>
    </row>
    <row r="730" ht="22.5" customHeight="1">
      <c r="A730" s="7"/>
      <c r="B730" s="7"/>
      <c r="C730" s="7"/>
      <c r="D730" s="7"/>
      <c r="E730" s="7"/>
      <c r="F730" s="7"/>
      <c r="G730" s="7"/>
      <c r="H730" s="2"/>
      <c r="I730" s="62"/>
      <c r="J730" s="7"/>
      <c r="K730" s="2"/>
      <c r="L730" s="2"/>
      <c r="M730" s="2"/>
      <c r="N730" s="2"/>
      <c r="O730" s="2"/>
      <c r="P730" s="2"/>
      <c r="Q730" s="2"/>
      <c r="R730" s="2"/>
      <c r="S730" s="2"/>
      <c r="T730" s="2"/>
      <c r="U730" s="2"/>
      <c r="V730" s="2"/>
      <c r="W730" s="2"/>
      <c r="X730" s="2"/>
      <c r="Y730" s="2"/>
      <c r="Z730" s="2"/>
    </row>
    <row r="731" ht="22.5" customHeight="1">
      <c r="A731" s="7"/>
      <c r="B731" s="7"/>
      <c r="C731" s="7"/>
      <c r="D731" s="7"/>
      <c r="E731" s="7"/>
      <c r="F731" s="7"/>
      <c r="G731" s="7"/>
      <c r="H731" s="2"/>
      <c r="I731" s="62"/>
      <c r="J731" s="7"/>
      <c r="K731" s="2"/>
      <c r="L731" s="2"/>
      <c r="M731" s="2"/>
      <c r="N731" s="2"/>
      <c r="O731" s="2"/>
      <c r="P731" s="2"/>
      <c r="Q731" s="2"/>
      <c r="R731" s="2"/>
      <c r="S731" s="2"/>
      <c r="T731" s="2"/>
      <c r="U731" s="2"/>
      <c r="V731" s="2"/>
      <c r="W731" s="2"/>
      <c r="X731" s="2"/>
      <c r="Y731" s="2"/>
      <c r="Z731" s="2"/>
    </row>
    <row r="732" ht="22.5" customHeight="1">
      <c r="A732" s="7"/>
      <c r="B732" s="7"/>
      <c r="C732" s="7"/>
      <c r="D732" s="7"/>
      <c r="E732" s="7"/>
      <c r="F732" s="7"/>
      <c r="G732" s="7"/>
      <c r="H732" s="2"/>
      <c r="I732" s="62"/>
      <c r="J732" s="7"/>
      <c r="K732" s="2"/>
      <c r="L732" s="2"/>
      <c r="M732" s="2"/>
      <c r="N732" s="2"/>
      <c r="O732" s="2"/>
      <c r="P732" s="2"/>
      <c r="Q732" s="2"/>
      <c r="R732" s="2"/>
      <c r="S732" s="2"/>
      <c r="T732" s="2"/>
      <c r="U732" s="2"/>
      <c r="V732" s="2"/>
      <c r="W732" s="2"/>
      <c r="X732" s="2"/>
      <c r="Y732" s="2"/>
      <c r="Z732" s="2"/>
    </row>
    <row r="733" ht="22.5" customHeight="1">
      <c r="A733" s="7"/>
      <c r="B733" s="7"/>
      <c r="C733" s="7"/>
      <c r="D733" s="7"/>
      <c r="E733" s="7"/>
      <c r="F733" s="7"/>
      <c r="G733" s="7"/>
      <c r="H733" s="2"/>
      <c r="I733" s="62"/>
      <c r="J733" s="7"/>
      <c r="K733" s="2"/>
      <c r="L733" s="2"/>
      <c r="M733" s="2"/>
      <c r="N733" s="2"/>
      <c r="O733" s="2"/>
      <c r="P733" s="2"/>
      <c r="Q733" s="2"/>
      <c r="R733" s="2"/>
      <c r="S733" s="2"/>
      <c r="T733" s="2"/>
      <c r="U733" s="2"/>
      <c r="V733" s="2"/>
      <c r="W733" s="2"/>
      <c r="X733" s="2"/>
      <c r="Y733" s="2"/>
      <c r="Z733" s="2"/>
    </row>
    <row r="734" ht="22.5" customHeight="1">
      <c r="A734" s="7"/>
      <c r="B734" s="7"/>
      <c r="C734" s="7"/>
      <c r="D734" s="7"/>
      <c r="E734" s="7"/>
      <c r="F734" s="7"/>
      <c r="G734" s="7"/>
      <c r="H734" s="2"/>
      <c r="I734" s="62"/>
      <c r="J734" s="7"/>
      <c r="K734" s="2"/>
      <c r="L734" s="2"/>
      <c r="M734" s="2"/>
      <c r="N734" s="2"/>
      <c r="O734" s="2"/>
      <c r="P734" s="2"/>
      <c r="Q734" s="2"/>
      <c r="R734" s="2"/>
      <c r="S734" s="2"/>
      <c r="T734" s="2"/>
      <c r="U734" s="2"/>
      <c r="V734" s="2"/>
      <c r="W734" s="2"/>
      <c r="X734" s="2"/>
      <c r="Y734" s="2"/>
      <c r="Z734" s="2"/>
    </row>
    <row r="735" ht="22.5" customHeight="1">
      <c r="A735" s="7"/>
      <c r="B735" s="7"/>
      <c r="C735" s="7"/>
      <c r="D735" s="7"/>
      <c r="E735" s="7"/>
      <c r="F735" s="7"/>
      <c r="G735" s="7"/>
      <c r="H735" s="2"/>
      <c r="I735" s="62"/>
      <c r="J735" s="7"/>
      <c r="K735" s="2"/>
      <c r="L735" s="2"/>
      <c r="M735" s="2"/>
      <c r="N735" s="2"/>
      <c r="O735" s="2"/>
      <c r="P735" s="2"/>
      <c r="Q735" s="2"/>
      <c r="R735" s="2"/>
      <c r="S735" s="2"/>
      <c r="T735" s="2"/>
      <c r="U735" s="2"/>
      <c r="V735" s="2"/>
      <c r="W735" s="2"/>
      <c r="X735" s="2"/>
      <c r="Y735" s="2"/>
      <c r="Z735" s="2"/>
    </row>
    <row r="736" ht="22.5" customHeight="1">
      <c r="A736" s="7"/>
      <c r="B736" s="7"/>
      <c r="C736" s="7"/>
      <c r="D736" s="7"/>
      <c r="E736" s="7"/>
      <c r="F736" s="7"/>
      <c r="G736" s="7"/>
      <c r="H736" s="2"/>
      <c r="I736" s="62"/>
      <c r="J736" s="7"/>
      <c r="K736" s="2"/>
      <c r="L736" s="2"/>
      <c r="M736" s="2"/>
      <c r="N736" s="2"/>
      <c r="O736" s="2"/>
      <c r="P736" s="2"/>
      <c r="Q736" s="2"/>
      <c r="R736" s="2"/>
      <c r="S736" s="2"/>
      <c r="T736" s="2"/>
      <c r="U736" s="2"/>
      <c r="V736" s="2"/>
      <c r="W736" s="2"/>
      <c r="X736" s="2"/>
      <c r="Y736" s="2"/>
      <c r="Z736" s="2"/>
    </row>
    <row r="737" ht="22.5" customHeight="1">
      <c r="A737" s="7"/>
      <c r="B737" s="7"/>
      <c r="C737" s="7"/>
      <c r="D737" s="7"/>
      <c r="E737" s="7"/>
      <c r="F737" s="7"/>
      <c r="G737" s="7"/>
      <c r="H737" s="2"/>
      <c r="I737" s="62"/>
      <c r="J737" s="7"/>
      <c r="K737" s="2"/>
      <c r="L737" s="2"/>
      <c r="M737" s="2"/>
      <c r="N737" s="2"/>
      <c r="O737" s="2"/>
      <c r="P737" s="2"/>
      <c r="Q737" s="2"/>
      <c r="R737" s="2"/>
      <c r="S737" s="2"/>
      <c r="T737" s="2"/>
      <c r="U737" s="2"/>
      <c r="V737" s="2"/>
      <c r="W737" s="2"/>
      <c r="X737" s="2"/>
      <c r="Y737" s="2"/>
      <c r="Z737" s="2"/>
    </row>
    <row r="738" ht="22.5" customHeight="1">
      <c r="A738" s="7"/>
      <c r="B738" s="7"/>
      <c r="C738" s="7"/>
      <c r="D738" s="7"/>
      <c r="E738" s="7"/>
      <c r="F738" s="7"/>
      <c r="G738" s="7"/>
      <c r="H738" s="2"/>
      <c r="I738" s="62"/>
      <c r="J738" s="7"/>
      <c r="K738" s="2"/>
      <c r="L738" s="2"/>
      <c r="M738" s="2"/>
      <c r="N738" s="2"/>
      <c r="O738" s="2"/>
      <c r="P738" s="2"/>
      <c r="Q738" s="2"/>
      <c r="R738" s="2"/>
      <c r="S738" s="2"/>
      <c r="T738" s="2"/>
      <c r="U738" s="2"/>
      <c r="V738" s="2"/>
      <c r="W738" s="2"/>
      <c r="X738" s="2"/>
      <c r="Y738" s="2"/>
      <c r="Z738" s="2"/>
    </row>
    <row r="739" ht="22.5" customHeight="1">
      <c r="A739" s="7"/>
      <c r="B739" s="7"/>
      <c r="C739" s="7"/>
      <c r="D739" s="7"/>
      <c r="E739" s="7"/>
      <c r="F739" s="7"/>
      <c r="G739" s="7"/>
      <c r="H739" s="2"/>
      <c r="I739" s="62"/>
      <c r="J739" s="7"/>
      <c r="K739" s="2"/>
      <c r="L739" s="2"/>
      <c r="M739" s="2"/>
      <c r="N739" s="2"/>
      <c r="O739" s="2"/>
      <c r="P739" s="2"/>
      <c r="Q739" s="2"/>
      <c r="R739" s="2"/>
      <c r="S739" s="2"/>
      <c r="T739" s="2"/>
      <c r="U739" s="2"/>
      <c r="V739" s="2"/>
      <c r="W739" s="2"/>
      <c r="X739" s="2"/>
      <c r="Y739" s="2"/>
      <c r="Z739" s="2"/>
    </row>
    <row r="740" ht="22.5" customHeight="1">
      <c r="A740" s="7"/>
      <c r="B740" s="7"/>
      <c r="C740" s="7"/>
      <c r="D740" s="7"/>
      <c r="E740" s="7"/>
      <c r="F740" s="7"/>
      <c r="G740" s="7"/>
      <c r="H740" s="2"/>
      <c r="I740" s="62"/>
      <c r="J740" s="7"/>
      <c r="K740" s="2"/>
      <c r="L740" s="2"/>
      <c r="M740" s="2"/>
      <c r="N740" s="2"/>
      <c r="O740" s="2"/>
      <c r="P740" s="2"/>
      <c r="Q740" s="2"/>
      <c r="R740" s="2"/>
      <c r="S740" s="2"/>
      <c r="T740" s="2"/>
      <c r="U740" s="2"/>
      <c r="V740" s="2"/>
      <c r="W740" s="2"/>
      <c r="X740" s="2"/>
      <c r="Y740" s="2"/>
      <c r="Z740" s="2"/>
    </row>
    <row r="741" ht="22.5" customHeight="1">
      <c r="A741" s="7"/>
      <c r="B741" s="7"/>
      <c r="C741" s="7"/>
      <c r="D741" s="7"/>
      <c r="E741" s="7"/>
      <c r="F741" s="7"/>
      <c r="G741" s="7"/>
      <c r="H741" s="2"/>
      <c r="I741" s="62"/>
      <c r="J741" s="7"/>
      <c r="K741" s="2"/>
      <c r="L741" s="2"/>
      <c r="M741" s="2"/>
      <c r="N741" s="2"/>
      <c r="O741" s="2"/>
      <c r="P741" s="2"/>
      <c r="Q741" s="2"/>
      <c r="R741" s="2"/>
      <c r="S741" s="2"/>
      <c r="T741" s="2"/>
      <c r="U741" s="2"/>
      <c r="V741" s="2"/>
      <c r="W741" s="2"/>
      <c r="X741" s="2"/>
      <c r="Y741" s="2"/>
      <c r="Z741" s="2"/>
    </row>
    <row r="742" ht="22.5" customHeight="1">
      <c r="A742" s="7"/>
      <c r="B742" s="7"/>
      <c r="C742" s="7"/>
      <c r="D742" s="7"/>
      <c r="E742" s="7"/>
      <c r="F742" s="7"/>
      <c r="G742" s="7"/>
      <c r="H742" s="2"/>
      <c r="I742" s="62"/>
      <c r="J742" s="7"/>
      <c r="K742" s="2"/>
      <c r="L742" s="2"/>
      <c r="M742" s="2"/>
      <c r="N742" s="2"/>
      <c r="O742" s="2"/>
      <c r="P742" s="2"/>
      <c r="Q742" s="2"/>
      <c r="R742" s="2"/>
      <c r="S742" s="2"/>
      <c r="T742" s="2"/>
      <c r="U742" s="2"/>
      <c r="V742" s="2"/>
      <c r="W742" s="2"/>
      <c r="X742" s="2"/>
      <c r="Y742" s="2"/>
      <c r="Z742" s="2"/>
    </row>
    <row r="743" ht="22.5" customHeight="1">
      <c r="A743" s="7"/>
      <c r="B743" s="7"/>
      <c r="C743" s="7"/>
      <c r="D743" s="7"/>
      <c r="E743" s="7"/>
      <c r="F743" s="7"/>
      <c r="G743" s="7"/>
      <c r="H743" s="2"/>
      <c r="I743" s="62"/>
      <c r="J743" s="7"/>
      <c r="K743" s="2"/>
      <c r="L743" s="2"/>
      <c r="M743" s="2"/>
      <c r="N743" s="2"/>
      <c r="O743" s="2"/>
      <c r="P743" s="2"/>
      <c r="Q743" s="2"/>
      <c r="R743" s="2"/>
      <c r="S743" s="2"/>
      <c r="T743" s="2"/>
      <c r="U743" s="2"/>
      <c r="V743" s="2"/>
      <c r="W743" s="2"/>
      <c r="X743" s="2"/>
      <c r="Y743" s="2"/>
      <c r="Z743" s="2"/>
    </row>
    <row r="744" ht="22.5" customHeight="1">
      <c r="A744" s="7"/>
      <c r="B744" s="7"/>
      <c r="C744" s="7"/>
      <c r="D744" s="7"/>
      <c r="E744" s="7"/>
      <c r="F744" s="7"/>
      <c r="G744" s="7"/>
      <c r="H744" s="2"/>
      <c r="I744" s="62"/>
      <c r="J744" s="7"/>
      <c r="K744" s="2"/>
      <c r="L744" s="2"/>
      <c r="M744" s="2"/>
      <c r="N744" s="2"/>
      <c r="O744" s="2"/>
      <c r="P744" s="2"/>
      <c r="Q744" s="2"/>
      <c r="R744" s="2"/>
      <c r="S744" s="2"/>
      <c r="T744" s="2"/>
      <c r="U744" s="2"/>
      <c r="V744" s="2"/>
      <c r="W744" s="2"/>
      <c r="X744" s="2"/>
      <c r="Y744" s="2"/>
      <c r="Z744" s="2"/>
    </row>
    <row r="745" ht="22.5" customHeight="1">
      <c r="A745" s="7"/>
      <c r="B745" s="7"/>
      <c r="C745" s="7"/>
      <c r="D745" s="7"/>
      <c r="E745" s="7"/>
      <c r="F745" s="7"/>
      <c r="G745" s="7"/>
      <c r="H745" s="2"/>
      <c r="I745" s="62"/>
      <c r="J745" s="7"/>
      <c r="K745" s="2"/>
      <c r="L745" s="2"/>
      <c r="M745" s="2"/>
      <c r="N745" s="2"/>
      <c r="O745" s="2"/>
      <c r="P745" s="2"/>
      <c r="Q745" s="2"/>
      <c r="R745" s="2"/>
      <c r="S745" s="2"/>
      <c r="T745" s="2"/>
      <c r="U745" s="2"/>
      <c r="V745" s="2"/>
      <c r="W745" s="2"/>
      <c r="X745" s="2"/>
      <c r="Y745" s="2"/>
      <c r="Z745" s="2"/>
    </row>
    <row r="746" ht="22.5" customHeight="1">
      <c r="A746" s="7"/>
      <c r="B746" s="7"/>
      <c r="C746" s="7"/>
      <c r="D746" s="7"/>
      <c r="E746" s="7"/>
      <c r="F746" s="7"/>
      <c r="G746" s="7"/>
      <c r="H746" s="2"/>
      <c r="I746" s="62"/>
      <c r="J746" s="7"/>
      <c r="K746" s="2"/>
      <c r="L746" s="2"/>
      <c r="M746" s="2"/>
      <c r="N746" s="2"/>
      <c r="O746" s="2"/>
      <c r="P746" s="2"/>
      <c r="Q746" s="2"/>
      <c r="R746" s="2"/>
      <c r="S746" s="2"/>
      <c r="T746" s="2"/>
      <c r="U746" s="2"/>
      <c r="V746" s="2"/>
      <c r="W746" s="2"/>
      <c r="X746" s="2"/>
      <c r="Y746" s="2"/>
      <c r="Z746" s="2"/>
    </row>
    <row r="747" ht="22.5" customHeight="1">
      <c r="A747" s="7"/>
      <c r="B747" s="7"/>
      <c r="C747" s="7"/>
      <c r="D747" s="7"/>
      <c r="E747" s="7"/>
      <c r="F747" s="7"/>
      <c r="G747" s="7"/>
      <c r="H747" s="2"/>
      <c r="I747" s="62"/>
      <c r="J747" s="7"/>
      <c r="K747" s="2"/>
      <c r="L747" s="2"/>
      <c r="M747" s="2"/>
      <c r="N747" s="2"/>
      <c r="O747" s="2"/>
      <c r="P747" s="2"/>
      <c r="Q747" s="2"/>
      <c r="R747" s="2"/>
      <c r="S747" s="2"/>
      <c r="T747" s="2"/>
      <c r="U747" s="2"/>
      <c r="V747" s="2"/>
      <c r="W747" s="2"/>
      <c r="X747" s="2"/>
      <c r="Y747" s="2"/>
      <c r="Z747" s="2"/>
    </row>
    <row r="748" ht="22.5" customHeight="1">
      <c r="A748" s="7"/>
      <c r="B748" s="7"/>
      <c r="C748" s="7"/>
      <c r="D748" s="7"/>
      <c r="E748" s="7"/>
      <c r="F748" s="7"/>
      <c r="G748" s="7"/>
      <c r="H748" s="2"/>
      <c r="I748" s="62"/>
      <c r="J748" s="7"/>
      <c r="K748" s="2"/>
      <c r="L748" s="2"/>
      <c r="M748" s="2"/>
      <c r="N748" s="2"/>
      <c r="O748" s="2"/>
      <c r="P748" s="2"/>
      <c r="Q748" s="2"/>
      <c r="R748" s="2"/>
      <c r="S748" s="2"/>
      <c r="T748" s="2"/>
      <c r="U748" s="2"/>
      <c r="V748" s="2"/>
      <c r="W748" s="2"/>
      <c r="X748" s="2"/>
      <c r="Y748" s="2"/>
      <c r="Z748" s="2"/>
    </row>
    <row r="749" ht="22.5" customHeight="1">
      <c r="A749" s="7"/>
      <c r="B749" s="7"/>
      <c r="C749" s="7"/>
      <c r="D749" s="7"/>
      <c r="E749" s="7"/>
      <c r="F749" s="7"/>
      <c r="G749" s="7"/>
      <c r="H749" s="2"/>
      <c r="I749" s="62"/>
      <c r="J749" s="7"/>
      <c r="K749" s="2"/>
      <c r="L749" s="2"/>
      <c r="M749" s="2"/>
      <c r="N749" s="2"/>
      <c r="O749" s="2"/>
      <c r="P749" s="2"/>
      <c r="Q749" s="2"/>
      <c r="R749" s="2"/>
      <c r="S749" s="2"/>
      <c r="T749" s="2"/>
      <c r="U749" s="2"/>
      <c r="V749" s="2"/>
      <c r="W749" s="2"/>
      <c r="X749" s="2"/>
      <c r="Y749" s="2"/>
      <c r="Z749" s="2"/>
    </row>
    <row r="750" ht="22.5" customHeight="1">
      <c r="A750" s="7"/>
      <c r="B750" s="7"/>
      <c r="C750" s="7"/>
      <c r="D750" s="7"/>
      <c r="E750" s="7"/>
      <c r="F750" s="7"/>
      <c r="G750" s="7"/>
      <c r="H750" s="2"/>
      <c r="I750" s="62"/>
      <c r="J750" s="7"/>
      <c r="K750" s="2"/>
      <c r="L750" s="2"/>
      <c r="M750" s="2"/>
      <c r="N750" s="2"/>
      <c r="O750" s="2"/>
      <c r="P750" s="2"/>
      <c r="Q750" s="2"/>
      <c r="R750" s="2"/>
      <c r="S750" s="2"/>
      <c r="T750" s="2"/>
      <c r="U750" s="2"/>
      <c r="V750" s="2"/>
      <c r="W750" s="2"/>
      <c r="X750" s="2"/>
      <c r="Y750" s="2"/>
      <c r="Z750" s="2"/>
    </row>
    <row r="751" ht="22.5" customHeight="1">
      <c r="A751" s="7"/>
      <c r="B751" s="7"/>
      <c r="C751" s="7"/>
      <c r="D751" s="7"/>
      <c r="E751" s="7"/>
      <c r="F751" s="7"/>
      <c r="G751" s="7"/>
      <c r="H751" s="2"/>
      <c r="I751" s="62"/>
      <c r="J751" s="7"/>
      <c r="K751" s="2"/>
      <c r="L751" s="2"/>
      <c r="M751" s="2"/>
      <c r="N751" s="2"/>
      <c r="O751" s="2"/>
      <c r="P751" s="2"/>
      <c r="Q751" s="2"/>
      <c r="R751" s="2"/>
      <c r="S751" s="2"/>
      <c r="T751" s="2"/>
      <c r="U751" s="2"/>
      <c r="V751" s="2"/>
      <c r="W751" s="2"/>
      <c r="X751" s="2"/>
      <c r="Y751" s="2"/>
      <c r="Z751" s="2"/>
    </row>
    <row r="752" ht="22.5" customHeight="1">
      <c r="A752" s="7"/>
      <c r="B752" s="7"/>
      <c r="C752" s="7"/>
      <c r="D752" s="7"/>
      <c r="E752" s="7"/>
      <c r="F752" s="7"/>
      <c r="G752" s="7"/>
      <c r="H752" s="2"/>
      <c r="I752" s="62"/>
      <c r="J752" s="7"/>
      <c r="K752" s="2"/>
      <c r="L752" s="2"/>
      <c r="M752" s="2"/>
      <c r="N752" s="2"/>
      <c r="O752" s="2"/>
      <c r="P752" s="2"/>
      <c r="Q752" s="2"/>
      <c r="R752" s="2"/>
      <c r="S752" s="2"/>
      <c r="T752" s="2"/>
      <c r="U752" s="2"/>
      <c r="V752" s="2"/>
      <c r="W752" s="2"/>
      <c r="X752" s="2"/>
      <c r="Y752" s="2"/>
      <c r="Z752" s="2"/>
    </row>
    <row r="753" ht="22.5" customHeight="1">
      <c r="A753" s="7"/>
      <c r="B753" s="7"/>
      <c r="C753" s="7"/>
      <c r="D753" s="7"/>
      <c r="E753" s="7"/>
      <c r="F753" s="7"/>
      <c r="G753" s="7"/>
      <c r="H753" s="2"/>
      <c r="I753" s="62"/>
      <c r="J753" s="7"/>
      <c r="K753" s="2"/>
      <c r="L753" s="2"/>
      <c r="M753" s="2"/>
      <c r="N753" s="2"/>
      <c r="O753" s="2"/>
      <c r="P753" s="2"/>
      <c r="Q753" s="2"/>
      <c r="R753" s="2"/>
      <c r="S753" s="2"/>
      <c r="T753" s="2"/>
      <c r="U753" s="2"/>
      <c r="V753" s="2"/>
      <c r="W753" s="2"/>
      <c r="X753" s="2"/>
      <c r="Y753" s="2"/>
      <c r="Z753" s="2"/>
    </row>
    <row r="754" ht="22.5" customHeight="1">
      <c r="A754" s="7"/>
      <c r="B754" s="7"/>
      <c r="C754" s="7"/>
      <c r="D754" s="7"/>
      <c r="E754" s="7"/>
      <c r="F754" s="7"/>
      <c r="G754" s="7"/>
      <c r="H754" s="2"/>
      <c r="I754" s="62"/>
      <c r="J754" s="7"/>
      <c r="K754" s="2"/>
      <c r="L754" s="2"/>
      <c r="M754" s="2"/>
      <c r="N754" s="2"/>
      <c r="O754" s="2"/>
      <c r="P754" s="2"/>
      <c r="Q754" s="2"/>
      <c r="R754" s="2"/>
      <c r="S754" s="2"/>
      <c r="T754" s="2"/>
      <c r="U754" s="2"/>
      <c r="V754" s="2"/>
      <c r="W754" s="2"/>
      <c r="X754" s="2"/>
      <c r="Y754" s="2"/>
      <c r="Z754" s="2"/>
    </row>
    <row r="755" ht="22.5" customHeight="1">
      <c r="A755" s="7"/>
      <c r="B755" s="7"/>
      <c r="C755" s="7"/>
      <c r="D755" s="7"/>
      <c r="E755" s="7"/>
      <c r="F755" s="7"/>
      <c r="G755" s="7"/>
      <c r="H755" s="2"/>
      <c r="I755" s="62"/>
      <c r="J755" s="7"/>
      <c r="K755" s="2"/>
      <c r="L755" s="2"/>
      <c r="M755" s="2"/>
      <c r="N755" s="2"/>
      <c r="O755" s="2"/>
      <c r="P755" s="2"/>
      <c r="Q755" s="2"/>
      <c r="R755" s="2"/>
      <c r="S755" s="2"/>
      <c r="T755" s="2"/>
      <c r="U755" s="2"/>
      <c r="V755" s="2"/>
      <c r="W755" s="2"/>
      <c r="X755" s="2"/>
      <c r="Y755" s="2"/>
      <c r="Z755" s="2"/>
    </row>
    <row r="756" ht="22.5" customHeight="1">
      <c r="A756" s="7"/>
      <c r="B756" s="7"/>
      <c r="C756" s="7"/>
      <c r="D756" s="7"/>
      <c r="E756" s="7"/>
      <c r="F756" s="7"/>
      <c r="G756" s="7"/>
      <c r="H756" s="2"/>
      <c r="I756" s="62"/>
      <c r="J756" s="7"/>
      <c r="K756" s="2"/>
      <c r="L756" s="2"/>
      <c r="M756" s="2"/>
      <c r="N756" s="2"/>
      <c r="O756" s="2"/>
      <c r="P756" s="2"/>
      <c r="Q756" s="2"/>
      <c r="R756" s="2"/>
      <c r="S756" s="2"/>
      <c r="T756" s="2"/>
      <c r="U756" s="2"/>
      <c r="V756" s="2"/>
      <c r="W756" s="2"/>
      <c r="X756" s="2"/>
      <c r="Y756" s="2"/>
      <c r="Z756" s="2"/>
    </row>
    <row r="757" ht="22.5" customHeight="1">
      <c r="A757" s="7"/>
      <c r="B757" s="7"/>
      <c r="C757" s="7"/>
      <c r="D757" s="7"/>
      <c r="E757" s="7"/>
      <c r="F757" s="7"/>
      <c r="G757" s="7"/>
      <c r="H757" s="2"/>
      <c r="I757" s="62"/>
      <c r="J757" s="7"/>
      <c r="K757" s="2"/>
      <c r="L757" s="2"/>
      <c r="M757" s="2"/>
      <c r="N757" s="2"/>
      <c r="O757" s="2"/>
      <c r="P757" s="2"/>
      <c r="Q757" s="2"/>
      <c r="R757" s="2"/>
      <c r="S757" s="2"/>
      <c r="T757" s="2"/>
      <c r="U757" s="2"/>
      <c r="V757" s="2"/>
      <c r="W757" s="2"/>
      <c r="X757" s="2"/>
      <c r="Y757" s="2"/>
      <c r="Z757" s="2"/>
    </row>
    <row r="758" ht="22.5" customHeight="1">
      <c r="A758" s="7"/>
      <c r="B758" s="7"/>
      <c r="C758" s="7"/>
      <c r="D758" s="7"/>
      <c r="E758" s="7"/>
      <c r="F758" s="7"/>
      <c r="G758" s="7"/>
      <c r="H758" s="2"/>
      <c r="I758" s="62"/>
      <c r="J758" s="7"/>
      <c r="K758" s="2"/>
      <c r="L758" s="2"/>
      <c r="M758" s="2"/>
      <c r="N758" s="2"/>
      <c r="O758" s="2"/>
      <c r="P758" s="2"/>
      <c r="Q758" s="2"/>
      <c r="R758" s="2"/>
      <c r="S758" s="2"/>
      <c r="T758" s="2"/>
      <c r="U758" s="2"/>
      <c r="V758" s="2"/>
      <c r="W758" s="2"/>
      <c r="X758" s="2"/>
      <c r="Y758" s="2"/>
      <c r="Z758" s="2"/>
    </row>
    <row r="759" ht="22.5" customHeight="1">
      <c r="A759" s="7"/>
      <c r="B759" s="7"/>
      <c r="C759" s="7"/>
      <c r="D759" s="7"/>
      <c r="E759" s="7"/>
      <c r="F759" s="7"/>
      <c r="G759" s="7"/>
      <c r="H759" s="2"/>
      <c r="I759" s="62"/>
      <c r="J759" s="7"/>
      <c r="K759" s="2"/>
      <c r="L759" s="2"/>
      <c r="M759" s="2"/>
      <c r="N759" s="2"/>
      <c r="O759" s="2"/>
      <c r="P759" s="2"/>
      <c r="Q759" s="2"/>
      <c r="R759" s="2"/>
      <c r="S759" s="2"/>
      <c r="T759" s="2"/>
      <c r="U759" s="2"/>
      <c r="V759" s="2"/>
      <c r="W759" s="2"/>
      <c r="X759" s="2"/>
      <c r="Y759" s="2"/>
      <c r="Z759" s="2"/>
    </row>
    <row r="760" ht="22.5" customHeight="1">
      <c r="A760" s="7"/>
      <c r="B760" s="7"/>
      <c r="C760" s="7"/>
      <c r="D760" s="7"/>
      <c r="E760" s="7"/>
      <c r="F760" s="7"/>
      <c r="G760" s="7"/>
      <c r="H760" s="2"/>
      <c r="I760" s="62"/>
      <c r="J760" s="7"/>
      <c r="K760" s="2"/>
      <c r="L760" s="2"/>
      <c r="M760" s="2"/>
      <c r="N760" s="2"/>
      <c r="O760" s="2"/>
      <c r="P760" s="2"/>
      <c r="Q760" s="2"/>
      <c r="R760" s="2"/>
      <c r="S760" s="2"/>
      <c r="T760" s="2"/>
      <c r="U760" s="2"/>
      <c r="V760" s="2"/>
      <c r="W760" s="2"/>
      <c r="X760" s="2"/>
      <c r="Y760" s="2"/>
      <c r="Z760" s="2"/>
    </row>
    <row r="761" ht="22.5" customHeight="1">
      <c r="A761" s="7"/>
      <c r="B761" s="7"/>
      <c r="C761" s="7"/>
      <c r="D761" s="7"/>
      <c r="E761" s="7"/>
      <c r="F761" s="7"/>
      <c r="G761" s="7"/>
      <c r="H761" s="2"/>
      <c r="I761" s="62"/>
      <c r="J761" s="7"/>
      <c r="K761" s="2"/>
      <c r="L761" s="2"/>
      <c r="M761" s="2"/>
      <c r="N761" s="2"/>
      <c r="O761" s="2"/>
      <c r="P761" s="2"/>
      <c r="Q761" s="2"/>
      <c r="R761" s="2"/>
      <c r="S761" s="2"/>
      <c r="T761" s="2"/>
      <c r="U761" s="2"/>
      <c r="V761" s="2"/>
      <c r="W761" s="2"/>
      <c r="X761" s="2"/>
      <c r="Y761" s="2"/>
      <c r="Z761" s="2"/>
    </row>
    <row r="762" ht="22.5" customHeight="1">
      <c r="A762" s="7"/>
      <c r="B762" s="7"/>
      <c r="C762" s="7"/>
      <c r="D762" s="7"/>
      <c r="E762" s="7"/>
      <c r="F762" s="7"/>
      <c r="G762" s="7"/>
      <c r="H762" s="2"/>
      <c r="I762" s="62"/>
      <c r="J762" s="7"/>
      <c r="K762" s="2"/>
      <c r="L762" s="2"/>
      <c r="M762" s="2"/>
      <c r="N762" s="2"/>
      <c r="O762" s="2"/>
      <c r="P762" s="2"/>
      <c r="Q762" s="2"/>
      <c r="R762" s="2"/>
      <c r="S762" s="2"/>
      <c r="T762" s="2"/>
      <c r="U762" s="2"/>
      <c r="V762" s="2"/>
      <c r="W762" s="2"/>
      <c r="X762" s="2"/>
      <c r="Y762" s="2"/>
      <c r="Z762" s="2"/>
    </row>
    <row r="763" ht="22.5" customHeight="1">
      <c r="A763" s="7"/>
      <c r="B763" s="7"/>
      <c r="C763" s="7"/>
      <c r="D763" s="7"/>
      <c r="E763" s="7"/>
      <c r="F763" s="7"/>
      <c r="G763" s="7"/>
      <c r="H763" s="2"/>
      <c r="I763" s="62"/>
      <c r="J763" s="7"/>
      <c r="K763" s="2"/>
      <c r="L763" s="2"/>
      <c r="M763" s="2"/>
      <c r="N763" s="2"/>
      <c r="O763" s="2"/>
      <c r="P763" s="2"/>
      <c r="Q763" s="2"/>
      <c r="R763" s="2"/>
      <c r="S763" s="2"/>
      <c r="T763" s="2"/>
      <c r="U763" s="2"/>
      <c r="V763" s="2"/>
      <c r="W763" s="2"/>
      <c r="X763" s="2"/>
      <c r="Y763" s="2"/>
      <c r="Z763" s="2"/>
    </row>
    <row r="764" ht="22.5" customHeight="1">
      <c r="A764" s="7"/>
      <c r="B764" s="7"/>
      <c r="C764" s="7"/>
      <c r="D764" s="7"/>
      <c r="E764" s="7"/>
      <c r="F764" s="7"/>
      <c r="G764" s="7"/>
      <c r="H764" s="2"/>
      <c r="I764" s="62"/>
      <c r="J764" s="7"/>
      <c r="K764" s="2"/>
      <c r="L764" s="2"/>
      <c r="M764" s="2"/>
      <c r="N764" s="2"/>
      <c r="O764" s="2"/>
      <c r="P764" s="2"/>
      <c r="Q764" s="2"/>
      <c r="R764" s="2"/>
      <c r="S764" s="2"/>
      <c r="T764" s="2"/>
      <c r="U764" s="2"/>
      <c r="V764" s="2"/>
      <c r="W764" s="2"/>
      <c r="X764" s="2"/>
      <c r="Y764" s="2"/>
      <c r="Z764" s="2"/>
    </row>
    <row r="765" ht="22.5" customHeight="1">
      <c r="A765" s="7"/>
      <c r="B765" s="7"/>
      <c r="C765" s="7"/>
      <c r="D765" s="7"/>
      <c r="E765" s="7"/>
      <c r="F765" s="7"/>
      <c r="G765" s="7"/>
      <c r="H765" s="2"/>
      <c r="I765" s="62"/>
      <c r="J765" s="7"/>
      <c r="K765" s="2"/>
      <c r="L765" s="2"/>
      <c r="M765" s="2"/>
      <c r="N765" s="2"/>
      <c r="O765" s="2"/>
      <c r="P765" s="2"/>
      <c r="Q765" s="2"/>
      <c r="R765" s="2"/>
      <c r="S765" s="2"/>
      <c r="T765" s="2"/>
      <c r="U765" s="2"/>
      <c r="V765" s="2"/>
      <c r="W765" s="2"/>
      <c r="X765" s="2"/>
      <c r="Y765" s="2"/>
      <c r="Z765" s="2"/>
    </row>
    <row r="766" ht="22.5" customHeight="1">
      <c r="A766" s="7"/>
      <c r="B766" s="7"/>
      <c r="C766" s="7"/>
      <c r="D766" s="7"/>
      <c r="E766" s="7"/>
      <c r="F766" s="7"/>
      <c r="G766" s="7"/>
      <c r="H766" s="2"/>
      <c r="I766" s="62"/>
      <c r="J766" s="7"/>
      <c r="K766" s="2"/>
      <c r="L766" s="2"/>
      <c r="M766" s="2"/>
      <c r="N766" s="2"/>
      <c r="O766" s="2"/>
      <c r="P766" s="2"/>
      <c r="Q766" s="2"/>
      <c r="R766" s="2"/>
      <c r="S766" s="2"/>
      <c r="T766" s="2"/>
      <c r="U766" s="2"/>
      <c r="V766" s="2"/>
      <c r="W766" s="2"/>
      <c r="X766" s="2"/>
      <c r="Y766" s="2"/>
      <c r="Z766" s="2"/>
    </row>
    <row r="767" ht="22.5" customHeight="1">
      <c r="A767" s="7"/>
      <c r="B767" s="7"/>
      <c r="C767" s="7"/>
      <c r="D767" s="7"/>
      <c r="E767" s="7"/>
      <c r="F767" s="7"/>
      <c r="G767" s="7"/>
      <c r="H767" s="2"/>
      <c r="I767" s="62"/>
      <c r="J767" s="7"/>
      <c r="K767" s="2"/>
      <c r="L767" s="2"/>
      <c r="M767" s="2"/>
      <c r="N767" s="2"/>
      <c r="O767" s="2"/>
      <c r="P767" s="2"/>
      <c r="Q767" s="2"/>
      <c r="R767" s="2"/>
      <c r="S767" s="2"/>
      <c r="T767" s="2"/>
      <c r="U767" s="2"/>
      <c r="V767" s="2"/>
      <c r="W767" s="2"/>
      <c r="X767" s="2"/>
      <c r="Y767" s="2"/>
      <c r="Z767" s="2"/>
    </row>
    <row r="768" ht="22.5" customHeight="1">
      <c r="A768" s="7"/>
      <c r="B768" s="7"/>
      <c r="C768" s="7"/>
      <c r="D768" s="7"/>
      <c r="E768" s="7"/>
      <c r="F768" s="7"/>
      <c r="G768" s="7"/>
      <c r="H768" s="2"/>
      <c r="I768" s="62"/>
      <c r="J768" s="7"/>
      <c r="K768" s="2"/>
      <c r="L768" s="2"/>
      <c r="M768" s="2"/>
      <c r="N768" s="2"/>
      <c r="O768" s="2"/>
      <c r="P768" s="2"/>
      <c r="Q768" s="2"/>
      <c r="R768" s="2"/>
      <c r="S768" s="2"/>
      <c r="T768" s="2"/>
      <c r="U768" s="2"/>
      <c r="V768" s="2"/>
      <c r="W768" s="2"/>
      <c r="X768" s="2"/>
      <c r="Y768" s="2"/>
      <c r="Z768" s="2"/>
    </row>
    <row r="769" ht="22.5" customHeight="1">
      <c r="A769" s="7"/>
      <c r="B769" s="7"/>
      <c r="C769" s="7"/>
      <c r="D769" s="7"/>
      <c r="E769" s="7"/>
      <c r="F769" s="7"/>
      <c r="G769" s="7"/>
      <c r="H769" s="2"/>
      <c r="I769" s="62"/>
      <c r="J769" s="7"/>
      <c r="K769" s="2"/>
      <c r="L769" s="2"/>
      <c r="M769" s="2"/>
      <c r="N769" s="2"/>
      <c r="O769" s="2"/>
      <c r="P769" s="2"/>
      <c r="Q769" s="2"/>
      <c r="R769" s="2"/>
      <c r="S769" s="2"/>
      <c r="T769" s="2"/>
      <c r="U769" s="2"/>
      <c r="V769" s="2"/>
      <c r="W769" s="2"/>
      <c r="X769" s="2"/>
      <c r="Y769" s="2"/>
      <c r="Z769" s="2"/>
    </row>
    <row r="770" ht="22.5" customHeight="1">
      <c r="A770" s="7"/>
      <c r="B770" s="7"/>
      <c r="C770" s="7"/>
      <c r="D770" s="7"/>
      <c r="E770" s="7"/>
      <c r="F770" s="7"/>
      <c r="G770" s="7"/>
      <c r="H770" s="2"/>
      <c r="I770" s="62"/>
      <c r="J770" s="7"/>
      <c r="K770" s="2"/>
      <c r="L770" s="2"/>
      <c r="M770" s="2"/>
      <c r="N770" s="2"/>
      <c r="O770" s="2"/>
      <c r="P770" s="2"/>
      <c r="Q770" s="2"/>
      <c r="R770" s="2"/>
      <c r="S770" s="2"/>
      <c r="T770" s="2"/>
      <c r="U770" s="2"/>
      <c r="V770" s="2"/>
      <c r="W770" s="2"/>
      <c r="X770" s="2"/>
      <c r="Y770" s="2"/>
      <c r="Z770" s="2"/>
    </row>
    <row r="771" ht="22.5" customHeight="1">
      <c r="A771" s="7"/>
      <c r="B771" s="7"/>
      <c r="C771" s="7"/>
      <c r="D771" s="7"/>
      <c r="E771" s="7"/>
      <c r="F771" s="7"/>
      <c r="G771" s="7"/>
      <c r="H771" s="2"/>
      <c r="I771" s="62"/>
      <c r="J771" s="7"/>
      <c r="K771" s="2"/>
      <c r="L771" s="2"/>
      <c r="M771" s="2"/>
      <c r="N771" s="2"/>
      <c r="O771" s="2"/>
      <c r="P771" s="2"/>
      <c r="Q771" s="2"/>
      <c r="R771" s="2"/>
      <c r="S771" s="2"/>
      <c r="T771" s="2"/>
      <c r="U771" s="2"/>
      <c r="V771" s="2"/>
      <c r="W771" s="2"/>
      <c r="X771" s="2"/>
      <c r="Y771" s="2"/>
      <c r="Z771" s="2"/>
    </row>
    <row r="772" ht="22.5" customHeight="1">
      <c r="A772" s="7"/>
      <c r="B772" s="7"/>
      <c r="C772" s="7"/>
      <c r="D772" s="7"/>
      <c r="E772" s="7"/>
      <c r="F772" s="7"/>
      <c r="G772" s="7"/>
      <c r="H772" s="2"/>
      <c r="I772" s="62"/>
      <c r="J772" s="7"/>
      <c r="K772" s="2"/>
      <c r="L772" s="2"/>
      <c r="M772" s="2"/>
      <c r="N772" s="2"/>
      <c r="O772" s="2"/>
      <c r="P772" s="2"/>
      <c r="Q772" s="2"/>
      <c r="R772" s="2"/>
      <c r="S772" s="2"/>
      <c r="T772" s="2"/>
      <c r="U772" s="2"/>
      <c r="V772" s="2"/>
      <c r="W772" s="2"/>
      <c r="X772" s="2"/>
      <c r="Y772" s="2"/>
      <c r="Z772" s="2"/>
    </row>
    <row r="773" ht="22.5" customHeight="1">
      <c r="A773" s="7"/>
      <c r="B773" s="7"/>
      <c r="C773" s="7"/>
      <c r="D773" s="7"/>
      <c r="E773" s="7"/>
      <c r="F773" s="7"/>
      <c r="G773" s="7"/>
      <c r="H773" s="2"/>
      <c r="I773" s="62"/>
      <c r="J773" s="7"/>
      <c r="K773" s="2"/>
      <c r="L773" s="2"/>
      <c r="M773" s="2"/>
      <c r="N773" s="2"/>
      <c r="O773" s="2"/>
      <c r="P773" s="2"/>
      <c r="Q773" s="2"/>
      <c r="R773" s="2"/>
      <c r="S773" s="2"/>
      <c r="T773" s="2"/>
      <c r="U773" s="2"/>
      <c r="V773" s="2"/>
      <c r="W773" s="2"/>
      <c r="X773" s="2"/>
      <c r="Y773" s="2"/>
      <c r="Z773" s="2"/>
    </row>
    <row r="774" ht="22.5" customHeight="1">
      <c r="A774" s="7"/>
      <c r="B774" s="7"/>
      <c r="C774" s="7"/>
      <c r="D774" s="7"/>
      <c r="E774" s="7"/>
      <c r="F774" s="7"/>
      <c r="G774" s="7"/>
      <c r="H774" s="2"/>
      <c r="I774" s="62"/>
      <c r="J774" s="7"/>
      <c r="K774" s="2"/>
      <c r="L774" s="2"/>
      <c r="M774" s="2"/>
      <c r="N774" s="2"/>
      <c r="O774" s="2"/>
      <c r="P774" s="2"/>
      <c r="Q774" s="2"/>
      <c r="R774" s="2"/>
      <c r="S774" s="2"/>
      <c r="T774" s="2"/>
      <c r="U774" s="2"/>
      <c r="V774" s="2"/>
      <c r="W774" s="2"/>
      <c r="X774" s="2"/>
      <c r="Y774" s="2"/>
      <c r="Z774" s="2"/>
    </row>
    <row r="775" ht="22.5" customHeight="1">
      <c r="A775" s="7"/>
      <c r="B775" s="7"/>
      <c r="C775" s="7"/>
      <c r="D775" s="7"/>
      <c r="E775" s="7"/>
      <c r="F775" s="7"/>
      <c r="G775" s="7"/>
      <c r="H775" s="2"/>
      <c r="I775" s="62"/>
      <c r="J775" s="7"/>
      <c r="K775" s="2"/>
      <c r="L775" s="2"/>
      <c r="M775" s="2"/>
      <c r="N775" s="2"/>
      <c r="O775" s="2"/>
      <c r="P775" s="2"/>
      <c r="Q775" s="2"/>
      <c r="R775" s="2"/>
      <c r="S775" s="2"/>
      <c r="T775" s="2"/>
      <c r="U775" s="2"/>
      <c r="V775" s="2"/>
      <c r="W775" s="2"/>
      <c r="X775" s="2"/>
      <c r="Y775" s="2"/>
      <c r="Z775" s="2"/>
    </row>
    <row r="776" ht="22.5" customHeight="1">
      <c r="A776" s="7"/>
      <c r="B776" s="7"/>
      <c r="C776" s="7"/>
      <c r="D776" s="7"/>
      <c r="E776" s="7"/>
      <c r="F776" s="7"/>
      <c r="G776" s="7"/>
      <c r="H776" s="2"/>
      <c r="I776" s="62"/>
      <c r="J776" s="7"/>
      <c r="K776" s="2"/>
      <c r="L776" s="2"/>
      <c r="M776" s="2"/>
      <c r="N776" s="2"/>
      <c r="O776" s="2"/>
      <c r="P776" s="2"/>
      <c r="Q776" s="2"/>
      <c r="R776" s="2"/>
      <c r="S776" s="2"/>
      <c r="T776" s="2"/>
      <c r="U776" s="2"/>
      <c r="V776" s="2"/>
      <c r="W776" s="2"/>
      <c r="X776" s="2"/>
      <c r="Y776" s="2"/>
      <c r="Z776" s="2"/>
    </row>
    <row r="777" ht="22.5" customHeight="1">
      <c r="A777" s="7"/>
      <c r="B777" s="7"/>
      <c r="C777" s="7"/>
      <c r="D777" s="7"/>
      <c r="E777" s="7"/>
      <c r="F777" s="7"/>
      <c r="G777" s="7"/>
      <c r="H777" s="2"/>
      <c r="I777" s="62"/>
      <c r="J777" s="7"/>
      <c r="K777" s="2"/>
      <c r="L777" s="2"/>
      <c r="M777" s="2"/>
      <c r="N777" s="2"/>
      <c r="O777" s="2"/>
      <c r="P777" s="2"/>
      <c r="Q777" s="2"/>
      <c r="R777" s="2"/>
      <c r="S777" s="2"/>
      <c r="T777" s="2"/>
      <c r="U777" s="2"/>
      <c r="V777" s="2"/>
      <c r="W777" s="2"/>
      <c r="X777" s="2"/>
      <c r="Y777" s="2"/>
      <c r="Z777" s="2"/>
    </row>
    <row r="778" ht="22.5" customHeight="1">
      <c r="A778" s="7"/>
      <c r="B778" s="7"/>
      <c r="C778" s="7"/>
      <c r="D778" s="7"/>
      <c r="E778" s="7"/>
      <c r="F778" s="7"/>
      <c r="G778" s="7"/>
      <c r="H778" s="2"/>
      <c r="I778" s="62"/>
      <c r="J778" s="7"/>
      <c r="K778" s="2"/>
      <c r="L778" s="2"/>
      <c r="M778" s="2"/>
      <c r="N778" s="2"/>
      <c r="O778" s="2"/>
      <c r="P778" s="2"/>
      <c r="Q778" s="2"/>
      <c r="R778" s="2"/>
      <c r="S778" s="2"/>
      <c r="T778" s="2"/>
      <c r="U778" s="2"/>
      <c r="V778" s="2"/>
      <c r="W778" s="2"/>
      <c r="X778" s="2"/>
      <c r="Y778" s="2"/>
      <c r="Z778" s="2"/>
    </row>
    <row r="779" ht="22.5" customHeight="1">
      <c r="A779" s="7"/>
      <c r="B779" s="7"/>
      <c r="C779" s="7"/>
      <c r="D779" s="7"/>
      <c r="E779" s="7"/>
      <c r="F779" s="7"/>
      <c r="G779" s="7"/>
      <c r="H779" s="2"/>
      <c r="I779" s="62"/>
      <c r="J779" s="7"/>
      <c r="K779" s="2"/>
      <c r="L779" s="2"/>
      <c r="M779" s="2"/>
      <c r="N779" s="2"/>
      <c r="O779" s="2"/>
      <c r="P779" s="2"/>
      <c r="Q779" s="2"/>
      <c r="R779" s="2"/>
      <c r="S779" s="2"/>
      <c r="T779" s="2"/>
      <c r="U779" s="2"/>
      <c r="V779" s="2"/>
      <c r="W779" s="2"/>
      <c r="X779" s="2"/>
      <c r="Y779" s="2"/>
      <c r="Z779" s="2"/>
    </row>
    <row r="780" ht="22.5" customHeight="1">
      <c r="A780" s="7"/>
      <c r="B780" s="7"/>
      <c r="C780" s="7"/>
      <c r="D780" s="7"/>
      <c r="E780" s="7"/>
      <c r="F780" s="7"/>
      <c r="G780" s="7"/>
      <c r="H780" s="2"/>
      <c r="I780" s="62"/>
      <c r="J780" s="7"/>
      <c r="K780" s="2"/>
      <c r="L780" s="2"/>
      <c r="M780" s="2"/>
      <c r="N780" s="2"/>
      <c r="O780" s="2"/>
      <c r="P780" s="2"/>
      <c r="Q780" s="2"/>
      <c r="R780" s="2"/>
      <c r="S780" s="2"/>
      <c r="T780" s="2"/>
      <c r="U780" s="2"/>
      <c r="V780" s="2"/>
      <c r="W780" s="2"/>
      <c r="X780" s="2"/>
      <c r="Y780" s="2"/>
      <c r="Z780" s="2"/>
    </row>
    <row r="781" ht="22.5" customHeight="1">
      <c r="A781" s="7"/>
      <c r="B781" s="7"/>
      <c r="C781" s="7"/>
      <c r="D781" s="7"/>
      <c r="E781" s="7"/>
      <c r="F781" s="7"/>
      <c r="G781" s="7"/>
      <c r="H781" s="2"/>
      <c r="I781" s="62"/>
      <c r="J781" s="7"/>
      <c r="K781" s="2"/>
      <c r="L781" s="2"/>
      <c r="M781" s="2"/>
      <c r="N781" s="2"/>
      <c r="O781" s="2"/>
      <c r="P781" s="2"/>
      <c r="Q781" s="2"/>
      <c r="R781" s="2"/>
      <c r="S781" s="2"/>
      <c r="T781" s="2"/>
      <c r="U781" s="2"/>
      <c r="V781" s="2"/>
      <c r="W781" s="2"/>
      <c r="X781" s="2"/>
      <c r="Y781" s="2"/>
      <c r="Z781" s="2"/>
    </row>
    <row r="782" ht="22.5" customHeight="1">
      <c r="A782" s="7"/>
      <c r="B782" s="7"/>
      <c r="C782" s="7"/>
      <c r="D782" s="7"/>
      <c r="E782" s="7"/>
      <c r="F782" s="7"/>
      <c r="G782" s="7"/>
      <c r="H782" s="2"/>
      <c r="I782" s="62"/>
      <c r="J782" s="7"/>
      <c r="K782" s="2"/>
      <c r="L782" s="2"/>
      <c r="M782" s="2"/>
      <c r="N782" s="2"/>
      <c r="O782" s="2"/>
      <c r="P782" s="2"/>
      <c r="Q782" s="2"/>
      <c r="R782" s="2"/>
      <c r="S782" s="2"/>
      <c r="T782" s="2"/>
      <c r="U782" s="2"/>
      <c r="V782" s="2"/>
      <c r="W782" s="2"/>
      <c r="X782" s="2"/>
      <c r="Y782" s="2"/>
      <c r="Z782" s="2"/>
    </row>
    <row r="783" ht="22.5" customHeight="1">
      <c r="A783" s="7"/>
      <c r="B783" s="7"/>
      <c r="C783" s="7"/>
      <c r="D783" s="7"/>
      <c r="E783" s="7"/>
      <c r="F783" s="7"/>
      <c r="G783" s="7"/>
      <c r="H783" s="2"/>
      <c r="I783" s="62"/>
      <c r="J783" s="7"/>
      <c r="K783" s="2"/>
      <c r="L783" s="2"/>
      <c r="M783" s="2"/>
      <c r="N783" s="2"/>
      <c r="O783" s="2"/>
      <c r="P783" s="2"/>
      <c r="Q783" s="2"/>
      <c r="R783" s="2"/>
      <c r="S783" s="2"/>
      <c r="T783" s="2"/>
      <c r="U783" s="2"/>
      <c r="V783" s="2"/>
      <c r="W783" s="2"/>
      <c r="X783" s="2"/>
      <c r="Y783" s="2"/>
      <c r="Z783" s="2"/>
    </row>
    <row r="784" ht="22.5" customHeight="1">
      <c r="A784" s="7"/>
      <c r="B784" s="7"/>
      <c r="C784" s="7"/>
      <c r="D784" s="7"/>
      <c r="E784" s="7"/>
      <c r="F784" s="7"/>
      <c r="G784" s="7"/>
      <c r="H784" s="2"/>
      <c r="I784" s="62"/>
      <c r="J784" s="7"/>
      <c r="K784" s="2"/>
      <c r="L784" s="2"/>
      <c r="M784" s="2"/>
      <c r="N784" s="2"/>
      <c r="O784" s="2"/>
      <c r="P784" s="2"/>
      <c r="Q784" s="2"/>
      <c r="R784" s="2"/>
      <c r="S784" s="2"/>
      <c r="T784" s="2"/>
      <c r="U784" s="2"/>
      <c r="V784" s="2"/>
      <c r="W784" s="2"/>
      <c r="X784" s="2"/>
      <c r="Y784" s="2"/>
      <c r="Z784" s="2"/>
    </row>
    <row r="785" ht="22.5" customHeight="1">
      <c r="A785" s="7"/>
      <c r="B785" s="7"/>
      <c r="C785" s="7"/>
      <c r="D785" s="7"/>
      <c r="E785" s="7"/>
      <c r="F785" s="7"/>
      <c r="G785" s="7"/>
      <c r="H785" s="2"/>
      <c r="I785" s="62"/>
      <c r="J785" s="7"/>
      <c r="K785" s="2"/>
      <c r="L785" s="2"/>
      <c r="M785" s="2"/>
      <c r="N785" s="2"/>
      <c r="O785" s="2"/>
      <c r="P785" s="2"/>
      <c r="Q785" s="2"/>
      <c r="R785" s="2"/>
      <c r="S785" s="2"/>
      <c r="T785" s="2"/>
      <c r="U785" s="2"/>
      <c r="V785" s="2"/>
      <c r="W785" s="2"/>
      <c r="X785" s="2"/>
      <c r="Y785" s="2"/>
      <c r="Z785" s="2"/>
    </row>
    <row r="786" ht="22.5" customHeight="1">
      <c r="A786" s="7"/>
      <c r="B786" s="7"/>
      <c r="C786" s="7"/>
      <c r="D786" s="7"/>
      <c r="E786" s="7"/>
      <c r="F786" s="7"/>
      <c r="G786" s="7"/>
      <c r="H786" s="2"/>
      <c r="I786" s="62"/>
      <c r="J786" s="7"/>
      <c r="K786" s="2"/>
      <c r="L786" s="2"/>
      <c r="M786" s="2"/>
      <c r="N786" s="2"/>
      <c r="O786" s="2"/>
      <c r="P786" s="2"/>
      <c r="Q786" s="2"/>
      <c r="R786" s="2"/>
      <c r="S786" s="2"/>
      <c r="T786" s="2"/>
      <c r="U786" s="2"/>
      <c r="V786" s="2"/>
      <c r="W786" s="2"/>
      <c r="X786" s="2"/>
      <c r="Y786" s="2"/>
      <c r="Z786" s="2"/>
    </row>
    <row r="787" ht="22.5" customHeight="1">
      <c r="A787" s="7"/>
      <c r="B787" s="7"/>
      <c r="C787" s="7"/>
      <c r="D787" s="7"/>
      <c r="E787" s="7"/>
      <c r="F787" s="7"/>
      <c r="G787" s="7"/>
      <c r="H787" s="2"/>
      <c r="I787" s="62"/>
      <c r="J787" s="7"/>
      <c r="K787" s="2"/>
      <c r="L787" s="2"/>
      <c r="M787" s="2"/>
      <c r="N787" s="2"/>
      <c r="O787" s="2"/>
      <c r="P787" s="2"/>
      <c r="Q787" s="2"/>
      <c r="R787" s="2"/>
      <c r="S787" s="2"/>
      <c r="T787" s="2"/>
      <c r="U787" s="2"/>
      <c r="V787" s="2"/>
      <c r="W787" s="2"/>
      <c r="X787" s="2"/>
      <c r="Y787" s="2"/>
      <c r="Z787" s="2"/>
    </row>
    <row r="788" ht="22.5" customHeight="1">
      <c r="A788" s="7"/>
      <c r="B788" s="7"/>
      <c r="C788" s="7"/>
      <c r="D788" s="7"/>
      <c r="E788" s="7"/>
      <c r="F788" s="7"/>
      <c r="G788" s="7"/>
      <c r="H788" s="2"/>
      <c r="I788" s="62"/>
      <c r="J788" s="7"/>
      <c r="K788" s="2"/>
      <c r="L788" s="2"/>
      <c r="M788" s="2"/>
      <c r="N788" s="2"/>
      <c r="O788" s="2"/>
      <c r="P788" s="2"/>
      <c r="Q788" s="2"/>
      <c r="R788" s="2"/>
      <c r="S788" s="2"/>
      <c r="T788" s="2"/>
      <c r="U788" s="2"/>
      <c r="V788" s="2"/>
      <c r="W788" s="2"/>
      <c r="X788" s="2"/>
      <c r="Y788" s="2"/>
      <c r="Z788" s="2"/>
    </row>
    <row r="789" ht="22.5" customHeight="1">
      <c r="A789" s="7"/>
      <c r="B789" s="7"/>
      <c r="C789" s="7"/>
      <c r="D789" s="7"/>
      <c r="E789" s="7"/>
      <c r="F789" s="7"/>
      <c r="G789" s="7"/>
      <c r="H789" s="2"/>
      <c r="I789" s="62"/>
      <c r="J789" s="7"/>
      <c r="K789" s="2"/>
      <c r="L789" s="2"/>
      <c r="M789" s="2"/>
      <c r="N789" s="2"/>
      <c r="O789" s="2"/>
      <c r="P789" s="2"/>
      <c r="Q789" s="2"/>
      <c r="R789" s="2"/>
      <c r="S789" s="2"/>
      <c r="T789" s="2"/>
      <c r="U789" s="2"/>
      <c r="V789" s="2"/>
      <c r="W789" s="2"/>
      <c r="X789" s="2"/>
      <c r="Y789" s="2"/>
      <c r="Z789" s="2"/>
    </row>
    <row r="790" ht="22.5" customHeight="1">
      <c r="A790" s="7"/>
      <c r="B790" s="7"/>
      <c r="C790" s="7"/>
      <c r="D790" s="7"/>
      <c r="E790" s="7"/>
      <c r="F790" s="7"/>
      <c r="G790" s="7"/>
      <c r="H790" s="2"/>
      <c r="I790" s="62"/>
      <c r="J790" s="7"/>
      <c r="K790" s="2"/>
      <c r="L790" s="2"/>
      <c r="M790" s="2"/>
      <c r="N790" s="2"/>
      <c r="O790" s="2"/>
      <c r="P790" s="2"/>
      <c r="Q790" s="2"/>
      <c r="R790" s="2"/>
      <c r="S790" s="2"/>
      <c r="T790" s="2"/>
      <c r="U790" s="2"/>
      <c r="V790" s="2"/>
      <c r="W790" s="2"/>
      <c r="X790" s="2"/>
      <c r="Y790" s="2"/>
      <c r="Z790" s="2"/>
    </row>
    <row r="791" ht="22.5" customHeight="1">
      <c r="A791" s="7"/>
      <c r="B791" s="7"/>
      <c r="C791" s="7"/>
      <c r="D791" s="7"/>
      <c r="E791" s="7"/>
      <c r="F791" s="7"/>
      <c r="G791" s="7"/>
      <c r="H791" s="2"/>
      <c r="I791" s="62"/>
      <c r="J791" s="7"/>
      <c r="K791" s="2"/>
      <c r="L791" s="2"/>
      <c r="M791" s="2"/>
      <c r="N791" s="2"/>
      <c r="O791" s="2"/>
      <c r="P791" s="2"/>
      <c r="Q791" s="2"/>
      <c r="R791" s="2"/>
      <c r="S791" s="2"/>
      <c r="T791" s="2"/>
      <c r="U791" s="2"/>
      <c r="V791" s="2"/>
      <c r="W791" s="2"/>
      <c r="X791" s="2"/>
      <c r="Y791" s="2"/>
      <c r="Z791" s="2"/>
    </row>
    <row r="792" ht="22.5" customHeight="1">
      <c r="A792" s="7"/>
      <c r="B792" s="7"/>
      <c r="C792" s="7"/>
      <c r="D792" s="7"/>
      <c r="E792" s="7"/>
      <c r="F792" s="7"/>
      <c r="G792" s="7"/>
      <c r="H792" s="2"/>
      <c r="I792" s="62"/>
      <c r="J792" s="7"/>
      <c r="K792" s="2"/>
      <c r="L792" s="2"/>
      <c r="M792" s="2"/>
      <c r="N792" s="2"/>
      <c r="O792" s="2"/>
      <c r="P792" s="2"/>
      <c r="Q792" s="2"/>
      <c r="R792" s="2"/>
      <c r="S792" s="2"/>
      <c r="T792" s="2"/>
      <c r="U792" s="2"/>
      <c r="V792" s="2"/>
      <c r="W792" s="2"/>
      <c r="X792" s="2"/>
      <c r="Y792" s="2"/>
      <c r="Z792" s="2"/>
    </row>
    <row r="793" ht="22.5" customHeight="1">
      <c r="A793" s="7"/>
      <c r="B793" s="7"/>
      <c r="C793" s="7"/>
      <c r="D793" s="7"/>
      <c r="E793" s="7"/>
      <c r="F793" s="7"/>
      <c r="G793" s="7"/>
      <c r="H793" s="2"/>
      <c r="I793" s="62"/>
      <c r="J793" s="7"/>
      <c r="K793" s="2"/>
      <c r="L793" s="2"/>
      <c r="M793" s="2"/>
      <c r="N793" s="2"/>
      <c r="O793" s="2"/>
      <c r="P793" s="2"/>
      <c r="Q793" s="2"/>
      <c r="R793" s="2"/>
      <c r="S793" s="2"/>
      <c r="T793" s="2"/>
      <c r="U793" s="2"/>
      <c r="V793" s="2"/>
      <c r="W793" s="2"/>
      <c r="X793" s="2"/>
      <c r="Y793" s="2"/>
      <c r="Z793" s="2"/>
    </row>
    <row r="794" ht="22.5" customHeight="1">
      <c r="A794" s="7"/>
      <c r="B794" s="7"/>
      <c r="C794" s="7"/>
      <c r="D794" s="7"/>
      <c r="E794" s="7"/>
      <c r="F794" s="7"/>
      <c r="G794" s="7"/>
      <c r="H794" s="2"/>
      <c r="I794" s="62"/>
      <c r="J794" s="7"/>
      <c r="K794" s="2"/>
      <c r="L794" s="2"/>
      <c r="M794" s="2"/>
      <c r="N794" s="2"/>
      <c r="O794" s="2"/>
      <c r="P794" s="2"/>
      <c r="Q794" s="2"/>
      <c r="R794" s="2"/>
      <c r="S794" s="2"/>
      <c r="T794" s="2"/>
      <c r="U794" s="2"/>
      <c r="V794" s="2"/>
      <c r="W794" s="2"/>
      <c r="X794" s="2"/>
      <c r="Y794" s="2"/>
      <c r="Z794" s="2"/>
    </row>
    <row r="795" ht="22.5" customHeight="1">
      <c r="A795" s="7"/>
      <c r="B795" s="7"/>
      <c r="C795" s="7"/>
      <c r="D795" s="7"/>
      <c r="E795" s="7"/>
      <c r="F795" s="7"/>
      <c r="G795" s="7"/>
      <c r="H795" s="2"/>
      <c r="I795" s="62"/>
      <c r="J795" s="7"/>
      <c r="K795" s="2"/>
      <c r="L795" s="2"/>
      <c r="M795" s="2"/>
      <c r="N795" s="2"/>
      <c r="O795" s="2"/>
      <c r="P795" s="2"/>
      <c r="Q795" s="2"/>
      <c r="R795" s="2"/>
      <c r="S795" s="2"/>
      <c r="T795" s="2"/>
      <c r="U795" s="2"/>
      <c r="V795" s="2"/>
      <c r="W795" s="2"/>
      <c r="X795" s="2"/>
      <c r="Y795" s="2"/>
      <c r="Z795" s="2"/>
    </row>
    <row r="796" ht="22.5" customHeight="1">
      <c r="A796" s="7"/>
      <c r="B796" s="7"/>
      <c r="C796" s="7"/>
      <c r="D796" s="7"/>
      <c r="E796" s="7"/>
      <c r="F796" s="7"/>
      <c r="G796" s="7"/>
      <c r="H796" s="2"/>
      <c r="I796" s="62"/>
      <c r="J796" s="7"/>
      <c r="K796" s="2"/>
      <c r="L796" s="2"/>
      <c r="M796" s="2"/>
      <c r="N796" s="2"/>
      <c r="O796" s="2"/>
      <c r="P796" s="2"/>
      <c r="Q796" s="2"/>
      <c r="R796" s="2"/>
      <c r="S796" s="2"/>
      <c r="T796" s="2"/>
      <c r="U796" s="2"/>
      <c r="V796" s="2"/>
      <c r="W796" s="2"/>
      <c r="X796" s="2"/>
      <c r="Y796" s="2"/>
      <c r="Z796" s="2"/>
    </row>
    <row r="797" ht="22.5" customHeight="1">
      <c r="A797" s="7"/>
      <c r="B797" s="7"/>
      <c r="C797" s="7"/>
      <c r="D797" s="7"/>
      <c r="E797" s="7"/>
      <c r="F797" s="7"/>
      <c r="G797" s="7"/>
      <c r="H797" s="2"/>
      <c r="I797" s="62"/>
      <c r="J797" s="7"/>
      <c r="K797" s="2"/>
      <c r="L797" s="2"/>
      <c r="M797" s="2"/>
      <c r="N797" s="2"/>
      <c r="O797" s="2"/>
      <c r="P797" s="2"/>
      <c r="Q797" s="2"/>
      <c r="R797" s="2"/>
      <c r="S797" s="2"/>
      <c r="T797" s="2"/>
      <c r="U797" s="2"/>
      <c r="V797" s="2"/>
      <c r="W797" s="2"/>
      <c r="X797" s="2"/>
      <c r="Y797" s="2"/>
      <c r="Z797" s="2"/>
    </row>
    <row r="798" ht="22.5" customHeight="1">
      <c r="A798" s="7"/>
      <c r="B798" s="7"/>
      <c r="C798" s="7"/>
      <c r="D798" s="7"/>
      <c r="E798" s="7"/>
      <c r="F798" s="7"/>
      <c r="G798" s="7"/>
      <c r="H798" s="2"/>
      <c r="I798" s="62"/>
      <c r="J798" s="7"/>
      <c r="K798" s="2"/>
      <c r="L798" s="2"/>
      <c r="M798" s="2"/>
      <c r="N798" s="2"/>
      <c r="O798" s="2"/>
      <c r="P798" s="2"/>
      <c r="Q798" s="2"/>
      <c r="R798" s="2"/>
      <c r="S798" s="2"/>
      <c r="T798" s="2"/>
      <c r="U798" s="2"/>
      <c r="V798" s="2"/>
      <c r="W798" s="2"/>
      <c r="X798" s="2"/>
      <c r="Y798" s="2"/>
      <c r="Z798" s="2"/>
    </row>
    <row r="799" ht="22.5" customHeight="1">
      <c r="A799" s="7"/>
      <c r="B799" s="7"/>
      <c r="C799" s="7"/>
      <c r="D799" s="7"/>
      <c r="E799" s="7"/>
      <c r="F799" s="7"/>
      <c r="G799" s="7"/>
      <c r="H799" s="2"/>
      <c r="I799" s="62"/>
      <c r="J799" s="7"/>
      <c r="K799" s="2"/>
      <c r="L799" s="2"/>
      <c r="M799" s="2"/>
      <c r="N799" s="2"/>
      <c r="O799" s="2"/>
      <c r="P799" s="2"/>
      <c r="Q799" s="2"/>
      <c r="R799" s="2"/>
      <c r="S799" s="2"/>
      <c r="T799" s="2"/>
      <c r="U799" s="2"/>
      <c r="V799" s="2"/>
      <c r="W799" s="2"/>
      <c r="X799" s="2"/>
      <c r="Y799" s="2"/>
      <c r="Z799" s="2"/>
    </row>
    <row r="800" ht="22.5" customHeight="1">
      <c r="A800" s="7"/>
      <c r="B800" s="7"/>
      <c r="C800" s="7"/>
      <c r="D800" s="7"/>
      <c r="E800" s="7"/>
      <c r="F800" s="7"/>
      <c r="G800" s="7"/>
      <c r="H800" s="2"/>
      <c r="I800" s="62"/>
      <c r="J800" s="7"/>
      <c r="K800" s="2"/>
      <c r="L800" s="2"/>
      <c r="M800" s="2"/>
      <c r="N800" s="2"/>
      <c r="O800" s="2"/>
      <c r="P800" s="2"/>
      <c r="Q800" s="2"/>
      <c r="R800" s="2"/>
      <c r="S800" s="2"/>
      <c r="T800" s="2"/>
      <c r="U800" s="2"/>
      <c r="V800" s="2"/>
      <c r="W800" s="2"/>
      <c r="X800" s="2"/>
      <c r="Y800" s="2"/>
      <c r="Z800" s="2"/>
    </row>
    <row r="801" ht="22.5" customHeight="1">
      <c r="A801" s="7"/>
      <c r="B801" s="7"/>
      <c r="C801" s="7"/>
      <c r="D801" s="7"/>
      <c r="E801" s="7"/>
      <c r="F801" s="7"/>
      <c r="G801" s="7"/>
      <c r="H801" s="2"/>
      <c r="I801" s="62"/>
      <c r="J801" s="7"/>
      <c r="K801" s="2"/>
      <c r="L801" s="2"/>
      <c r="M801" s="2"/>
      <c r="N801" s="2"/>
      <c r="O801" s="2"/>
      <c r="P801" s="2"/>
      <c r="Q801" s="2"/>
      <c r="R801" s="2"/>
      <c r="S801" s="2"/>
      <c r="T801" s="2"/>
      <c r="U801" s="2"/>
      <c r="V801" s="2"/>
      <c r="W801" s="2"/>
      <c r="X801" s="2"/>
      <c r="Y801" s="2"/>
      <c r="Z801" s="2"/>
    </row>
    <row r="802" ht="22.5" customHeight="1">
      <c r="A802" s="7"/>
      <c r="B802" s="7"/>
      <c r="C802" s="7"/>
      <c r="D802" s="7"/>
      <c r="E802" s="7"/>
      <c r="F802" s="7"/>
      <c r="G802" s="7"/>
      <c r="H802" s="2"/>
      <c r="I802" s="62"/>
      <c r="J802" s="7"/>
      <c r="K802" s="2"/>
      <c r="L802" s="2"/>
      <c r="M802" s="2"/>
      <c r="N802" s="2"/>
      <c r="O802" s="2"/>
      <c r="P802" s="2"/>
      <c r="Q802" s="2"/>
      <c r="R802" s="2"/>
      <c r="S802" s="2"/>
      <c r="T802" s="2"/>
      <c r="U802" s="2"/>
      <c r="V802" s="2"/>
      <c r="W802" s="2"/>
      <c r="X802" s="2"/>
      <c r="Y802" s="2"/>
      <c r="Z802" s="2"/>
    </row>
    <row r="803" ht="22.5" customHeight="1">
      <c r="A803" s="7"/>
      <c r="B803" s="7"/>
      <c r="C803" s="7"/>
      <c r="D803" s="7"/>
      <c r="E803" s="7"/>
      <c r="F803" s="7"/>
      <c r="G803" s="7"/>
      <c r="H803" s="2"/>
      <c r="I803" s="62"/>
      <c r="J803" s="7"/>
      <c r="K803" s="2"/>
      <c r="L803" s="2"/>
      <c r="M803" s="2"/>
      <c r="N803" s="2"/>
      <c r="O803" s="2"/>
      <c r="P803" s="2"/>
      <c r="Q803" s="2"/>
      <c r="R803" s="2"/>
      <c r="S803" s="2"/>
      <c r="T803" s="2"/>
      <c r="U803" s="2"/>
      <c r="V803" s="2"/>
      <c r="W803" s="2"/>
      <c r="X803" s="2"/>
      <c r="Y803" s="2"/>
      <c r="Z803" s="2"/>
    </row>
    <row r="804" ht="22.5" customHeight="1">
      <c r="A804" s="7"/>
      <c r="B804" s="7"/>
      <c r="C804" s="7"/>
      <c r="D804" s="7"/>
      <c r="E804" s="7"/>
      <c r="F804" s="7"/>
      <c r="G804" s="7"/>
      <c r="H804" s="2"/>
      <c r="I804" s="62"/>
      <c r="J804" s="7"/>
      <c r="K804" s="2"/>
      <c r="L804" s="2"/>
      <c r="M804" s="2"/>
      <c r="N804" s="2"/>
      <c r="O804" s="2"/>
      <c r="P804" s="2"/>
      <c r="Q804" s="2"/>
      <c r="R804" s="2"/>
      <c r="S804" s="2"/>
      <c r="T804" s="2"/>
      <c r="U804" s="2"/>
      <c r="V804" s="2"/>
      <c r="W804" s="2"/>
      <c r="X804" s="2"/>
      <c r="Y804" s="2"/>
      <c r="Z804" s="2"/>
    </row>
    <row r="805" ht="22.5" customHeight="1">
      <c r="A805" s="7"/>
      <c r="B805" s="7"/>
      <c r="C805" s="7"/>
      <c r="D805" s="7"/>
      <c r="E805" s="7"/>
      <c r="F805" s="7"/>
      <c r="G805" s="7"/>
      <c r="H805" s="2"/>
      <c r="I805" s="62"/>
      <c r="J805" s="7"/>
      <c r="K805" s="2"/>
      <c r="L805" s="2"/>
      <c r="M805" s="2"/>
      <c r="N805" s="2"/>
      <c r="O805" s="2"/>
      <c r="P805" s="2"/>
      <c r="Q805" s="2"/>
      <c r="R805" s="2"/>
      <c r="S805" s="2"/>
      <c r="T805" s="2"/>
      <c r="U805" s="2"/>
      <c r="V805" s="2"/>
      <c r="W805" s="2"/>
      <c r="X805" s="2"/>
      <c r="Y805" s="2"/>
      <c r="Z805" s="2"/>
    </row>
    <row r="806" ht="22.5" customHeight="1">
      <c r="A806" s="7"/>
      <c r="B806" s="7"/>
      <c r="C806" s="7"/>
      <c r="D806" s="7"/>
      <c r="E806" s="7"/>
      <c r="F806" s="7"/>
      <c r="G806" s="7"/>
      <c r="H806" s="2"/>
      <c r="I806" s="62"/>
      <c r="J806" s="7"/>
      <c r="K806" s="2"/>
      <c r="L806" s="2"/>
      <c r="M806" s="2"/>
      <c r="N806" s="2"/>
      <c r="O806" s="2"/>
      <c r="P806" s="2"/>
      <c r="Q806" s="2"/>
      <c r="R806" s="2"/>
      <c r="S806" s="2"/>
      <c r="T806" s="2"/>
      <c r="U806" s="2"/>
      <c r="V806" s="2"/>
      <c r="W806" s="2"/>
      <c r="X806" s="2"/>
      <c r="Y806" s="2"/>
      <c r="Z806" s="2"/>
    </row>
    <row r="807" ht="22.5" customHeight="1">
      <c r="A807" s="7"/>
      <c r="B807" s="7"/>
      <c r="C807" s="7"/>
      <c r="D807" s="7"/>
      <c r="E807" s="7"/>
      <c r="F807" s="7"/>
      <c r="G807" s="7"/>
      <c r="H807" s="2"/>
      <c r="I807" s="62"/>
      <c r="J807" s="7"/>
      <c r="K807" s="2"/>
      <c r="L807" s="2"/>
      <c r="M807" s="2"/>
      <c r="N807" s="2"/>
      <c r="O807" s="2"/>
      <c r="P807" s="2"/>
      <c r="Q807" s="2"/>
      <c r="R807" s="2"/>
      <c r="S807" s="2"/>
      <c r="T807" s="2"/>
      <c r="U807" s="2"/>
      <c r="V807" s="2"/>
      <c r="W807" s="2"/>
      <c r="X807" s="2"/>
      <c r="Y807" s="2"/>
      <c r="Z807" s="2"/>
    </row>
    <row r="808" ht="22.5" customHeight="1">
      <c r="A808" s="7"/>
      <c r="B808" s="7"/>
      <c r="C808" s="7"/>
      <c r="D808" s="7"/>
      <c r="E808" s="7"/>
      <c r="F808" s="7"/>
      <c r="G808" s="7"/>
      <c r="H808" s="2"/>
      <c r="I808" s="62"/>
      <c r="J808" s="7"/>
      <c r="K808" s="2"/>
      <c r="L808" s="2"/>
      <c r="M808" s="2"/>
      <c r="N808" s="2"/>
      <c r="O808" s="2"/>
      <c r="P808" s="2"/>
      <c r="Q808" s="2"/>
      <c r="R808" s="2"/>
      <c r="S808" s="2"/>
      <c r="T808" s="2"/>
      <c r="U808" s="2"/>
      <c r="V808" s="2"/>
      <c r="W808" s="2"/>
      <c r="X808" s="2"/>
      <c r="Y808" s="2"/>
      <c r="Z808" s="2"/>
    </row>
    <row r="809" ht="22.5" customHeight="1">
      <c r="A809" s="7"/>
      <c r="B809" s="7"/>
      <c r="C809" s="7"/>
      <c r="D809" s="7"/>
      <c r="E809" s="7"/>
      <c r="F809" s="7"/>
      <c r="G809" s="7"/>
      <c r="H809" s="2"/>
      <c r="I809" s="62"/>
      <c r="J809" s="7"/>
      <c r="K809" s="2"/>
      <c r="L809" s="2"/>
      <c r="M809" s="2"/>
      <c r="N809" s="2"/>
      <c r="O809" s="2"/>
      <c r="P809" s="2"/>
      <c r="Q809" s="2"/>
      <c r="R809" s="2"/>
      <c r="S809" s="2"/>
      <c r="T809" s="2"/>
      <c r="U809" s="2"/>
      <c r="V809" s="2"/>
      <c r="W809" s="2"/>
      <c r="X809" s="2"/>
      <c r="Y809" s="2"/>
      <c r="Z809" s="2"/>
    </row>
    <row r="810" ht="22.5" customHeight="1">
      <c r="A810" s="7"/>
      <c r="B810" s="7"/>
      <c r="C810" s="7"/>
      <c r="D810" s="7"/>
      <c r="E810" s="7"/>
      <c r="F810" s="7"/>
      <c r="G810" s="7"/>
      <c r="H810" s="2"/>
      <c r="I810" s="62"/>
      <c r="J810" s="7"/>
      <c r="K810" s="2"/>
      <c r="L810" s="2"/>
      <c r="M810" s="2"/>
      <c r="N810" s="2"/>
      <c r="O810" s="2"/>
      <c r="P810" s="2"/>
      <c r="Q810" s="2"/>
      <c r="R810" s="2"/>
      <c r="S810" s="2"/>
      <c r="T810" s="2"/>
      <c r="U810" s="2"/>
      <c r="V810" s="2"/>
      <c r="W810" s="2"/>
      <c r="X810" s="2"/>
      <c r="Y810" s="2"/>
      <c r="Z810" s="2"/>
    </row>
    <row r="811" ht="22.5" customHeight="1">
      <c r="A811" s="7"/>
      <c r="B811" s="7"/>
      <c r="C811" s="7"/>
      <c r="D811" s="7"/>
      <c r="E811" s="7"/>
      <c r="F811" s="7"/>
      <c r="G811" s="7"/>
      <c r="H811" s="2"/>
      <c r="I811" s="62"/>
      <c r="J811" s="7"/>
      <c r="K811" s="2"/>
      <c r="L811" s="2"/>
      <c r="M811" s="2"/>
      <c r="N811" s="2"/>
      <c r="O811" s="2"/>
      <c r="P811" s="2"/>
      <c r="Q811" s="2"/>
      <c r="R811" s="2"/>
      <c r="S811" s="2"/>
      <c r="T811" s="2"/>
      <c r="U811" s="2"/>
      <c r="V811" s="2"/>
      <c r="W811" s="2"/>
      <c r="X811" s="2"/>
      <c r="Y811" s="2"/>
      <c r="Z811" s="2"/>
    </row>
    <row r="812" ht="22.5" customHeight="1">
      <c r="A812" s="7"/>
      <c r="B812" s="7"/>
      <c r="C812" s="7"/>
      <c r="D812" s="7"/>
      <c r="E812" s="7"/>
      <c r="F812" s="7"/>
      <c r="G812" s="7"/>
      <c r="H812" s="2"/>
      <c r="I812" s="62"/>
      <c r="J812" s="7"/>
      <c r="K812" s="2"/>
      <c r="L812" s="2"/>
      <c r="M812" s="2"/>
      <c r="N812" s="2"/>
      <c r="O812" s="2"/>
      <c r="P812" s="2"/>
      <c r="Q812" s="2"/>
      <c r="R812" s="2"/>
      <c r="S812" s="2"/>
      <c r="T812" s="2"/>
      <c r="U812" s="2"/>
      <c r="V812" s="2"/>
      <c r="W812" s="2"/>
      <c r="X812" s="2"/>
      <c r="Y812" s="2"/>
      <c r="Z812" s="2"/>
    </row>
    <row r="813" ht="22.5" customHeight="1">
      <c r="A813" s="7"/>
      <c r="B813" s="7"/>
      <c r="C813" s="7"/>
      <c r="D813" s="7"/>
      <c r="E813" s="7"/>
      <c r="F813" s="7"/>
      <c r="G813" s="7"/>
      <c r="H813" s="2"/>
      <c r="I813" s="62"/>
      <c r="J813" s="7"/>
      <c r="K813" s="2"/>
      <c r="L813" s="2"/>
      <c r="M813" s="2"/>
      <c r="N813" s="2"/>
      <c r="O813" s="2"/>
      <c r="P813" s="2"/>
      <c r="Q813" s="2"/>
      <c r="R813" s="2"/>
      <c r="S813" s="2"/>
      <c r="T813" s="2"/>
      <c r="U813" s="2"/>
      <c r="V813" s="2"/>
      <c r="W813" s="2"/>
      <c r="X813" s="2"/>
      <c r="Y813" s="2"/>
      <c r="Z813" s="2"/>
    </row>
    <row r="814" ht="22.5" customHeight="1">
      <c r="A814" s="7"/>
      <c r="B814" s="7"/>
      <c r="C814" s="7"/>
      <c r="D814" s="7"/>
      <c r="E814" s="7"/>
      <c r="F814" s="7"/>
      <c r="G814" s="7"/>
      <c r="H814" s="2"/>
      <c r="I814" s="62"/>
      <c r="J814" s="7"/>
      <c r="K814" s="2"/>
      <c r="L814" s="2"/>
      <c r="M814" s="2"/>
      <c r="N814" s="2"/>
      <c r="O814" s="2"/>
      <c r="P814" s="2"/>
      <c r="Q814" s="2"/>
      <c r="R814" s="2"/>
      <c r="S814" s="2"/>
      <c r="T814" s="2"/>
      <c r="U814" s="2"/>
      <c r="V814" s="2"/>
      <c r="W814" s="2"/>
      <c r="X814" s="2"/>
      <c r="Y814" s="2"/>
      <c r="Z814" s="2"/>
    </row>
    <row r="815" ht="22.5" customHeight="1">
      <c r="A815" s="7"/>
      <c r="B815" s="7"/>
      <c r="C815" s="7"/>
      <c r="D815" s="7"/>
      <c r="E815" s="7"/>
      <c r="F815" s="7"/>
      <c r="G815" s="7"/>
      <c r="H815" s="2"/>
      <c r="I815" s="62"/>
      <c r="J815" s="7"/>
      <c r="K815" s="2"/>
      <c r="L815" s="2"/>
      <c r="M815" s="2"/>
      <c r="N815" s="2"/>
      <c r="O815" s="2"/>
      <c r="P815" s="2"/>
      <c r="Q815" s="2"/>
      <c r="R815" s="2"/>
      <c r="S815" s="2"/>
      <c r="T815" s="2"/>
      <c r="U815" s="2"/>
      <c r="V815" s="2"/>
      <c r="W815" s="2"/>
      <c r="X815" s="2"/>
      <c r="Y815" s="2"/>
      <c r="Z815" s="2"/>
    </row>
    <row r="816" ht="22.5" customHeight="1">
      <c r="A816" s="7"/>
      <c r="B816" s="7"/>
      <c r="C816" s="7"/>
      <c r="D816" s="7"/>
      <c r="E816" s="7"/>
      <c r="F816" s="7"/>
      <c r="G816" s="7"/>
      <c r="H816" s="2"/>
      <c r="I816" s="62"/>
      <c r="J816" s="7"/>
      <c r="K816" s="2"/>
      <c r="L816" s="2"/>
      <c r="M816" s="2"/>
      <c r="N816" s="2"/>
      <c r="O816" s="2"/>
      <c r="P816" s="2"/>
      <c r="Q816" s="2"/>
      <c r="R816" s="2"/>
      <c r="S816" s="2"/>
      <c r="T816" s="2"/>
      <c r="U816" s="2"/>
      <c r="V816" s="2"/>
      <c r="W816" s="2"/>
      <c r="X816" s="2"/>
      <c r="Y816" s="2"/>
      <c r="Z816" s="2"/>
    </row>
    <row r="817" ht="22.5" customHeight="1">
      <c r="A817" s="7"/>
      <c r="B817" s="7"/>
      <c r="C817" s="7"/>
      <c r="D817" s="7"/>
      <c r="E817" s="7"/>
      <c r="F817" s="7"/>
      <c r="G817" s="7"/>
      <c r="H817" s="2"/>
      <c r="I817" s="62"/>
      <c r="J817" s="7"/>
      <c r="K817" s="2"/>
      <c r="L817" s="2"/>
      <c r="M817" s="2"/>
      <c r="N817" s="2"/>
      <c r="O817" s="2"/>
      <c r="P817" s="2"/>
      <c r="Q817" s="2"/>
      <c r="R817" s="2"/>
      <c r="S817" s="2"/>
      <c r="T817" s="2"/>
      <c r="U817" s="2"/>
      <c r="V817" s="2"/>
      <c r="W817" s="2"/>
      <c r="X817" s="2"/>
      <c r="Y817" s="2"/>
      <c r="Z817" s="2"/>
    </row>
    <row r="818" ht="22.5" customHeight="1">
      <c r="A818" s="7"/>
      <c r="B818" s="7"/>
      <c r="C818" s="7"/>
      <c r="D818" s="7"/>
      <c r="E818" s="7"/>
      <c r="F818" s="7"/>
      <c r="G818" s="7"/>
      <c r="H818" s="2"/>
      <c r="I818" s="62"/>
      <c r="J818" s="7"/>
      <c r="K818" s="2"/>
      <c r="L818" s="2"/>
      <c r="M818" s="2"/>
      <c r="N818" s="2"/>
      <c r="O818" s="2"/>
      <c r="P818" s="2"/>
      <c r="Q818" s="2"/>
      <c r="R818" s="2"/>
      <c r="S818" s="2"/>
      <c r="T818" s="2"/>
      <c r="U818" s="2"/>
      <c r="V818" s="2"/>
      <c r="W818" s="2"/>
      <c r="X818" s="2"/>
      <c r="Y818" s="2"/>
      <c r="Z818" s="2"/>
    </row>
    <row r="819" ht="22.5" customHeight="1">
      <c r="A819" s="7"/>
      <c r="B819" s="7"/>
      <c r="C819" s="7"/>
      <c r="D819" s="7"/>
      <c r="E819" s="7"/>
      <c r="F819" s="7"/>
      <c r="G819" s="7"/>
      <c r="H819" s="2"/>
      <c r="I819" s="62"/>
      <c r="J819" s="7"/>
      <c r="K819" s="2"/>
      <c r="L819" s="2"/>
      <c r="M819" s="2"/>
      <c r="N819" s="2"/>
      <c r="O819" s="2"/>
      <c r="P819" s="2"/>
      <c r="Q819" s="2"/>
      <c r="R819" s="2"/>
      <c r="S819" s="2"/>
      <c r="T819" s="2"/>
      <c r="U819" s="2"/>
      <c r="V819" s="2"/>
      <c r="W819" s="2"/>
      <c r="X819" s="2"/>
      <c r="Y819" s="2"/>
      <c r="Z819" s="2"/>
    </row>
    <row r="820" ht="22.5" customHeight="1">
      <c r="A820" s="7"/>
      <c r="B820" s="7"/>
      <c r="C820" s="7"/>
      <c r="D820" s="7"/>
      <c r="E820" s="7"/>
      <c r="F820" s="7"/>
      <c r="G820" s="7"/>
      <c r="H820" s="2"/>
      <c r="I820" s="62"/>
      <c r="J820" s="7"/>
      <c r="K820" s="2"/>
      <c r="L820" s="2"/>
      <c r="M820" s="2"/>
      <c r="N820" s="2"/>
      <c r="O820" s="2"/>
      <c r="P820" s="2"/>
      <c r="Q820" s="2"/>
      <c r="R820" s="2"/>
      <c r="S820" s="2"/>
      <c r="T820" s="2"/>
      <c r="U820" s="2"/>
      <c r="V820" s="2"/>
      <c r="W820" s="2"/>
      <c r="X820" s="2"/>
      <c r="Y820" s="2"/>
      <c r="Z820" s="2"/>
    </row>
    <row r="821" ht="22.5" customHeight="1">
      <c r="A821" s="7"/>
      <c r="B821" s="7"/>
      <c r="C821" s="7"/>
      <c r="D821" s="7"/>
      <c r="E821" s="7"/>
      <c r="F821" s="7"/>
      <c r="G821" s="7"/>
      <c r="H821" s="2"/>
      <c r="I821" s="62"/>
      <c r="J821" s="7"/>
      <c r="K821" s="2"/>
      <c r="L821" s="2"/>
      <c r="M821" s="2"/>
      <c r="N821" s="2"/>
      <c r="O821" s="2"/>
      <c r="P821" s="2"/>
      <c r="Q821" s="2"/>
      <c r="R821" s="2"/>
      <c r="S821" s="2"/>
      <c r="T821" s="2"/>
      <c r="U821" s="2"/>
      <c r="V821" s="2"/>
      <c r="W821" s="2"/>
      <c r="X821" s="2"/>
      <c r="Y821" s="2"/>
      <c r="Z821" s="2"/>
    </row>
    <row r="822" ht="22.5" customHeight="1">
      <c r="A822" s="7"/>
      <c r="B822" s="7"/>
      <c r="C822" s="7"/>
      <c r="D822" s="7"/>
      <c r="E822" s="7"/>
      <c r="F822" s="7"/>
      <c r="G822" s="7"/>
      <c r="H822" s="2"/>
      <c r="I822" s="62"/>
      <c r="J822" s="7"/>
      <c r="K822" s="2"/>
      <c r="L822" s="2"/>
      <c r="M822" s="2"/>
      <c r="N822" s="2"/>
      <c r="O822" s="2"/>
      <c r="P822" s="2"/>
      <c r="Q822" s="2"/>
      <c r="R822" s="2"/>
      <c r="S822" s="2"/>
      <c r="T822" s="2"/>
      <c r="U822" s="2"/>
      <c r="V822" s="2"/>
      <c r="W822" s="2"/>
      <c r="X822" s="2"/>
      <c r="Y822" s="2"/>
      <c r="Z822" s="2"/>
    </row>
    <row r="823" ht="22.5" customHeight="1">
      <c r="A823" s="7"/>
      <c r="B823" s="7"/>
      <c r="C823" s="7"/>
      <c r="D823" s="7"/>
      <c r="E823" s="7"/>
      <c r="F823" s="7"/>
      <c r="G823" s="7"/>
      <c r="H823" s="2"/>
      <c r="I823" s="62"/>
      <c r="J823" s="7"/>
      <c r="K823" s="2"/>
      <c r="L823" s="2"/>
      <c r="M823" s="2"/>
      <c r="N823" s="2"/>
      <c r="O823" s="2"/>
      <c r="P823" s="2"/>
      <c r="Q823" s="2"/>
      <c r="R823" s="2"/>
      <c r="S823" s="2"/>
      <c r="T823" s="2"/>
      <c r="U823" s="2"/>
      <c r="V823" s="2"/>
      <c r="W823" s="2"/>
      <c r="X823" s="2"/>
      <c r="Y823" s="2"/>
      <c r="Z823" s="2"/>
    </row>
    <row r="824" ht="22.5" customHeight="1">
      <c r="A824" s="7"/>
      <c r="B824" s="7"/>
      <c r="C824" s="7"/>
      <c r="D824" s="7"/>
      <c r="E824" s="7"/>
      <c r="F824" s="7"/>
      <c r="G824" s="7"/>
      <c r="H824" s="2"/>
      <c r="I824" s="62"/>
      <c r="J824" s="7"/>
      <c r="K824" s="2"/>
      <c r="L824" s="2"/>
      <c r="M824" s="2"/>
      <c r="N824" s="2"/>
      <c r="O824" s="2"/>
      <c r="P824" s="2"/>
      <c r="Q824" s="2"/>
      <c r="R824" s="2"/>
      <c r="S824" s="2"/>
      <c r="T824" s="2"/>
      <c r="U824" s="2"/>
      <c r="V824" s="2"/>
      <c r="W824" s="2"/>
      <c r="X824" s="2"/>
      <c r="Y824" s="2"/>
      <c r="Z824" s="2"/>
    </row>
    <row r="825" ht="22.5" customHeight="1">
      <c r="A825" s="7"/>
      <c r="B825" s="7"/>
      <c r="C825" s="7"/>
      <c r="D825" s="7"/>
      <c r="E825" s="7"/>
      <c r="F825" s="7"/>
      <c r="G825" s="7"/>
      <c r="H825" s="2"/>
      <c r="I825" s="62"/>
      <c r="J825" s="7"/>
      <c r="K825" s="2"/>
      <c r="L825" s="2"/>
      <c r="M825" s="2"/>
      <c r="N825" s="2"/>
      <c r="O825" s="2"/>
      <c r="P825" s="2"/>
      <c r="Q825" s="2"/>
      <c r="R825" s="2"/>
      <c r="S825" s="2"/>
      <c r="T825" s="2"/>
      <c r="U825" s="2"/>
      <c r="V825" s="2"/>
      <c r="W825" s="2"/>
      <c r="X825" s="2"/>
      <c r="Y825" s="2"/>
      <c r="Z825" s="2"/>
    </row>
    <row r="826" ht="22.5" customHeight="1">
      <c r="A826" s="7"/>
      <c r="B826" s="7"/>
      <c r="C826" s="7"/>
      <c r="D826" s="7"/>
      <c r="E826" s="7"/>
      <c r="F826" s="7"/>
      <c r="G826" s="7"/>
      <c r="H826" s="2"/>
      <c r="I826" s="62"/>
      <c r="J826" s="7"/>
      <c r="K826" s="2"/>
      <c r="L826" s="2"/>
      <c r="M826" s="2"/>
      <c r="N826" s="2"/>
      <c r="O826" s="2"/>
      <c r="P826" s="2"/>
      <c r="Q826" s="2"/>
      <c r="R826" s="2"/>
      <c r="S826" s="2"/>
      <c r="T826" s="2"/>
      <c r="U826" s="2"/>
      <c r="V826" s="2"/>
      <c r="W826" s="2"/>
      <c r="X826" s="2"/>
      <c r="Y826" s="2"/>
      <c r="Z826" s="2"/>
    </row>
    <row r="827" ht="22.5" customHeight="1">
      <c r="A827" s="7"/>
      <c r="B827" s="7"/>
      <c r="C827" s="7"/>
      <c r="D827" s="7"/>
      <c r="E827" s="7"/>
      <c r="F827" s="7"/>
      <c r="G827" s="7"/>
      <c r="H827" s="2"/>
      <c r="I827" s="62"/>
      <c r="J827" s="7"/>
      <c r="K827" s="2"/>
      <c r="L827" s="2"/>
      <c r="M827" s="2"/>
      <c r="N827" s="2"/>
      <c r="O827" s="2"/>
      <c r="P827" s="2"/>
      <c r="Q827" s="2"/>
      <c r="R827" s="2"/>
      <c r="S827" s="2"/>
      <c r="T827" s="2"/>
      <c r="U827" s="2"/>
      <c r="V827" s="2"/>
      <c r="W827" s="2"/>
      <c r="X827" s="2"/>
      <c r="Y827" s="2"/>
      <c r="Z827" s="2"/>
    </row>
    <row r="828" ht="22.5" customHeight="1">
      <c r="A828" s="7"/>
      <c r="B828" s="7"/>
      <c r="C828" s="7"/>
      <c r="D828" s="7"/>
      <c r="E828" s="7"/>
      <c r="F828" s="7"/>
      <c r="G828" s="7"/>
      <c r="H828" s="2"/>
      <c r="I828" s="62"/>
      <c r="J828" s="7"/>
      <c r="K828" s="2"/>
      <c r="L828" s="2"/>
      <c r="M828" s="2"/>
      <c r="N828" s="2"/>
      <c r="O828" s="2"/>
      <c r="P828" s="2"/>
      <c r="Q828" s="2"/>
      <c r="R828" s="2"/>
      <c r="S828" s="2"/>
      <c r="T828" s="2"/>
      <c r="U828" s="2"/>
      <c r="V828" s="2"/>
      <c r="W828" s="2"/>
      <c r="X828" s="2"/>
      <c r="Y828" s="2"/>
      <c r="Z828" s="2"/>
    </row>
    <row r="829" ht="22.5" customHeight="1">
      <c r="A829" s="7"/>
      <c r="B829" s="7"/>
      <c r="C829" s="7"/>
      <c r="D829" s="7"/>
      <c r="E829" s="7"/>
      <c r="F829" s="7"/>
      <c r="G829" s="7"/>
      <c r="H829" s="2"/>
      <c r="I829" s="62"/>
      <c r="J829" s="7"/>
      <c r="K829" s="2"/>
      <c r="L829" s="2"/>
      <c r="M829" s="2"/>
      <c r="N829" s="2"/>
      <c r="O829" s="2"/>
      <c r="P829" s="2"/>
      <c r="Q829" s="2"/>
      <c r="R829" s="2"/>
      <c r="S829" s="2"/>
      <c r="T829" s="2"/>
      <c r="U829" s="2"/>
      <c r="V829" s="2"/>
      <c r="W829" s="2"/>
      <c r="X829" s="2"/>
      <c r="Y829" s="2"/>
      <c r="Z829" s="2"/>
    </row>
    <row r="830" ht="22.5" customHeight="1">
      <c r="A830" s="7"/>
      <c r="B830" s="7"/>
      <c r="C830" s="7"/>
      <c r="D830" s="7"/>
      <c r="E830" s="7"/>
      <c r="F830" s="7"/>
      <c r="G830" s="7"/>
      <c r="H830" s="2"/>
      <c r="I830" s="62"/>
      <c r="J830" s="7"/>
      <c r="K830" s="2"/>
      <c r="L830" s="2"/>
      <c r="M830" s="2"/>
      <c r="N830" s="2"/>
      <c r="O830" s="2"/>
      <c r="P830" s="2"/>
      <c r="Q830" s="2"/>
      <c r="R830" s="2"/>
      <c r="S830" s="2"/>
      <c r="T830" s="2"/>
      <c r="U830" s="2"/>
      <c r="V830" s="2"/>
      <c r="W830" s="2"/>
      <c r="X830" s="2"/>
      <c r="Y830" s="2"/>
      <c r="Z830" s="2"/>
    </row>
    <row r="831" ht="22.5" customHeight="1">
      <c r="A831" s="7"/>
      <c r="B831" s="7"/>
      <c r="C831" s="7"/>
      <c r="D831" s="7"/>
      <c r="E831" s="7"/>
      <c r="F831" s="7"/>
      <c r="G831" s="7"/>
      <c r="H831" s="2"/>
      <c r="I831" s="62"/>
      <c r="J831" s="7"/>
      <c r="K831" s="2"/>
      <c r="L831" s="2"/>
      <c r="M831" s="2"/>
      <c r="N831" s="2"/>
      <c r="O831" s="2"/>
      <c r="P831" s="2"/>
      <c r="Q831" s="2"/>
      <c r="R831" s="2"/>
      <c r="S831" s="2"/>
      <c r="T831" s="2"/>
      <c r="U831" s="2"/>
      <c r="V831" s="2"/>
      <c r="W831" s="2"/>
      <c r="X831" s="2"/>
      <c r="Y831" s="2"/>
      <c r="Z831" s="2"/>
    </row>
    <row r="832" ht="22.5" customHeight="1">
      <c r="A832" s="7"/>
      <c r="B832" s="7"/>
      <c r="C832" s="7"/>
      <c r="D832" s="7"/>
      <c r="E832" s="7"/>
      <c r="F832" s="7"/>
      <c r="G832" s="7"/>
      <c r="H832" s="2"/>
      <c r="I832" s="62"/>
      <c r="J832" s="7"/>
      <c r="K832" s="2"/>
      <c r="L832" s="2"/>
      <c r="M832" s="2"/>
      <c r="N832" s="2"/>
      <c r="O832" s="2"/>
      <c r="P832" s="2"/>
      <c r="Q832" s="2"/>
      <c r="R832" s="2"/>
      <c r="S832" s="2"/>
      <c r="T832" s="2"/>
      <c r="U832" s="2"/>
      <c r="V832" s="2"/>
      <c r="W832" s="2"/>
      <c r="X832" s="2"/>
      <c r="Y832" s="2"/>
      <c r="Z832" s="2"/>
    </row>
    <row r="833" ht="22.5" customHeight="1">
      <c r="A833" s="7"/>
      <c r="B833" s="7"/>
      <c r="C833" s="7"/>
      <c r="D833" s="7"/>
      <c r="E833" s="7"/>
      <c r="F833" s="7"/>
      <c r="G833" s="7"/>
      <c r="H833" s="2"/>
      <c r="I833" s="62"/>
      <c r="J833" s="7"/>
      <c r="K833" s="2"/>
      <c r="L833" s="2"/>
      <c r="M833" s="2"/>
      <c r="N833" s="2"/>
      <c r="O833" s="2"/>
      <c r="P833" s="2"/>
      <c r="Q833" s="2"/>
      <c r="R833" s="2"/>
      <c r="S833" s="2"/>
      <c r="T833" s="2"/>
      <c r="U833" s="2"/>
      <c r="V833" s="2"/>
      <c r="W833" s="2"/>
      <c r="X833" s="2"/>
      <c r="Y833" s="2"/>
      <c r="Z833" s="2"/>
    </row>
    <row r="834" ht="22.5" customHeight="1">
      <c r="A834" s="7"/>
      <c r="B834" s="7"/>
      <c r="C834" s="7"/>
      <c r="D834" s="7"/>
      <c r="E834" s="7"/>
      <c r="F834" s="7"/>
      <c r="G834" s="7"/>
      <c r="H834" s="2"/>
      <c r="I834" s="62"/>
      <c r="J834" s="7"/>
      <c r="K834" s="2"/>
      <c r="L834" s="2"/>
      <c r="M834" s="2"/>
      <c r="N834" s="2"/>
      <c r="O834" s="2"/>
      <c r="P834" s="2"/>
      <c r="Q834" s="2"/>
      <c r="R834" s="2"/>
      <c r="S834" s="2"/>
      <c r="T834" s="2"/>
      <c r="U834" s="2"/>
      <c r="V834" s="2"/>
      <c r="W834" s="2"/>
      <c r="X834" s="2"/>
      <c r="Y834" s="2"/>
      <c r="Z834" s="2"/>
    </row>
    <row r="835" ht="22.5" customHeight="1">
      <c r="A835" s="7"/>
      <c r="B835" s="7"/>
      <c r="C835" s="7"/>
      <c r="D835" s="7"/>
      <c r="E835" s="7"/>
      <c r="F835" s="7"/>
      <c r="G835" s="7"/>
      <c r="H835" s="2"/>
      <c r="I835" s="62"/>
      <c r="J835" s="7"/>
      <c r="K835" s="2"/>
      <c r="L835" s="2"/>
      <c r="M835" s="2"/>
      <c r="N835" s="2"/>
      <c r="O835" s="2"/>
      <c r="P835" s="2"/>
      <c r="Q835" s="2"/>
      <c r="R835" s="2"/>
      <c r="S835" s="2"/>
      <c r="T835" s="2"/>
      <c r="U835" s="2"/>
      <c r="V835" s="2"/>
      <c r="W835" s="2"/>
      <c r="X835" s="2"/>
      <c r="Y835" s="2"/>
      <c r="Z835" s="2"/>
    </row>
    <row r="836" ht="22.5" customHeight="1">
      <c r="A836" s="7"/>
      <c r="B836" s="7"/>
      <c r="C836" s="7"/>
      <c r="D836" s="7"/>
      <c r="E836" s="7"/>
      <c r="F836" s="7"/>
      <c r="G836" s="7"/>
      <c r="H836" s="2"/>
      <c r="I836" s="62"/>
      <c r="J836" s="7"/>
      <c r="K836" s="2"/>
      <c r="L836" s="2"/>
      <c r="M836" s="2"/>
      <c r="N836" s="2"/>
      <c r="O836" s="2"/>
      <c r="P836" s="2"/>
      <c r="Q836" s="2"/>
      <c r="R836" s="2"/>
      <c r="S836" s="2"/>
      <c r="T836" s="2"/>
      <c r="U836" s="2"/>
      <c r="V836" s="2"/>
      <c r="W836" s="2"/>
      <c r="X836" s="2"/>
      <c r="Y836" s="2"/>
      <c r="Z836" s="2"/>
    </row>
    <row r="837" ht="22.5" customHeight="1">
      <c r="A837" s="7"/>
      <c r="B837" s="7"/>
      <c r="C837" s="7"/>
      <c r="D837" s="7"/>
      <c r="E837" s="7"/>
      <c r="F837" s="7"/>
      <c r="G837" s="7"/>
      <c r="H837" s="2"/>
      <c r="I837" s="62"/>
      <c r="J837" s="7"/>
      <c r="K837" s="2"/>
      <c r="L837" s="2"/>
      <c r="M837" s="2"/>
      <c r="N837" s="2"/>
      <c r="O837" s="2"/>
      <c r="P837" s="2"/>
      <c r="Q837" s="2"/>
      <c r="R837" s="2"/>
      <c r="S837" s="2"/>
      <c r="T837" s="2"/>
      <c r="U837" s="2"/>
      <c r="V837" s="2"/>
      <c r="W837" s="2"/>
      <c r="X837" s="2"/>
      <c r="Y837" s="2"/>
      <c r="Z837" s="2"/>
    </row>
    <row r="838" ht="22.5" customHeight="1">
      <c r="A838" s="7"/>
      <c r="B838" s="7"/>
      <c r="C838" s="7"/>
      <c r="D838" s="7"/>
      <c r="E838" s="7"/>
      <c r="F838" s="7"/>
      <c r="G838" s="7"/>
      <c r="H838" s="2"/>
      <c r="I838" s="62"/>
      <c r="J838" s="7"/>
      <c r="K838" s="2"/>
      <c r="L838" s="2"/>
      <c r="M838" s="2"/>
      <c r="N838" s="2"/>
      <c r="O838" s="2"/>
      <c r="P838" s="2"/>
      <c r="Q838" s="2"/>
      <c r="R838" s="2"/>
      <c r="S838" s="2"/>
      <c r="T838" s="2"/>
      <c r="U838" s="2"/>
      <c r="V838" s="2"/>
      <c r="W838" s="2"/>
      <c r="X838" s="2"/>
      <c r="Y838" s="2"/>
      <c r="Z838" s="2"/>
    </row>
    <row r="839" ht="22.5" customHeight="1">
      <c r="A839" s="7"/>
      <c r="B839" s="7"/>
      <c r="C839" s="7"/>
      <c r="D839" s="7"/>
      <c r="E839" s="7"/>
      <c r="F839" s="7"/>
      <c r="G839" s="7"/>
      <c r="H839" s="2"/>
      <c r="I839" s="62"/>
      <c r="J839" s="7"/>
      <c r="K839" s="2"/>
      <c r="L839" s="2"/>
      <c r="M839" s="2"/>
      <c r="N839" s="2"/>
      <c r="O839" s="2"/>
      <c r="P839" s="2"/>
      <c r="Q839" s="2"/>
      <c r="R839" s="2"/>
      <c r="S839" s="2"/>
      <c r="T839" s="2"/>
      <c r="U839" s="2"/>
      <c r="V839" s="2"/>
      <c r="W839" s="2"/>
      <c r="X839" s="2"/>
      <c r="Y839" s="2"/>
      <c r="Z839" s="2"/>
    </row>
    <row r="840" ht="22.5" customHeight="1">
      <c r="A840" s="7"/>
      <c r="B840" s="7"/>
      <c r="C840" s="7"/>
      <c r="D840" s="7"/>
      <c r="E840" s="7"/>
      <c r="F840" s="7"/>
      <c r="G840" s="7"/>
      <c r="H840" s="2"/>
      <c r="I840" s="62"/>
      <c r="J840" s="7"/>
      <c r="K840" s="2"/>
      <c r="L840" s="2"/>
      <c r="M840" s="2"/>
      <c r="N840" s="2"/>
      <c r="O840" s="2"/>
      <c r="P840" s="2"/>
      <c r="Q840" s="2"/>
      <c r="R840" s="2"/>
      <c r="S840" s="2"/>
      <c r="T840" s="2"/>
      <c r="U840" s="2"/>
      <c r="V840" s="2"/>
      <c r="W840" s="2"/>
      <c r="X840" s="2"/>
      <c r="Y840" s="2"/>
      <c r="Z840" s="2"/>
    </row>
    <row r="841" ht="22.5" customHeight="1">
      <c r="A841" s="7"/>
      <c r="B841" s="7"/>
      <c r="C841" s="7"/>
      <c r="D841" s="7"/>
      <c r="E841" s="7"/>
      <c r="F841" s="7"/>
      <c r="G841" s="7"/>
      <c r="H841" s="2"/>
      <c r="I841" s="62"/>
      <c r="J841" s="7"/>
      <c r="K841" s="2"/>
      <c r="L841" s="2"/>
      <c r="M841" s="2"/>
      <c r="N841" s="2"/>
      <c r="O841" s="2"/>
      <c r="P841" s="2"/>
      <c r="Q841" s="2"/>
      <c r="R841" s="2"/>
      <c r="S841" s="2"/>
      <c r="T841" s="2"/>
      <c r="U841" s="2"/>
      <c r="V841" s="2"/>
      <c r="W841" s="2"/>
      <c r="X841" s="2"/>
      <c r="Y841" s="2"/>
      <c r="Z841" s="2"/>
    </row>
    <row r="842" ht="22.5" customHeight="1">
      <c r="A842" s="7"/>
      <c r="B842" s="7"/>
      <c r="C842" s="7"/>
      <c r="D842" s="7"/>
      <c r="E842" s="7"/>
      <c r="F842" s="7"/>
      <c r="G842" s="7"/>
      <c r="H842" s="2"/>
      <c r="I842" s="62"/>
      <c r="J842" s="7"/>
      <c r="K842" s="2"/>
      <c r="L842" s="2"/>
      <c r="M842" s="2"/>
      <c r="N842" s="2"/>
      <c r="O842" s="2"/>
      <c r="P842" s="2"/>
      <c r="Q842" s="2"/>
      <c r="R842" s="2"/>
      <c r="S842" s="2"/>
      <c r="T842" s="2"/>
      <c r="U842" s="2"/>
      <c r="V842" s="2"/>
      <c r="W842" s="2"/>
      <c r="X842" s="2"/>
      <c r="Y842" s="2"/>
      <c r="Z842" s="2"/>
    </row>
    <row r="843" ht="22.5" customHeight="1">
      <c r="A843" s="7"/>
      <c r="B843" s="7"/>
      <c r="C843" s="7"/>
      <c r="D843" s="7"/>
      <c r="E843" s="7"/>
      <c r="F843" s="7"/>
      <c r="G843" s="7"/>
      <c r="H843" s="2"/>
      <c r="I843" s="62"/>
      <c r="J843" s="7"/>
      <c r="K843" s="2"/>
      <c r="L843" s="2"/>
      <c r="M843" s="2"/>
      <c r="N843" s="2"/>
      <c r="O843" s="2"/>
      <c r="P843" s="2"/>
      <c r="Q843" s="2"/>
      <c r="R843" s="2"/>
      <c r="S843" s="2"/>
      <c r="T843" s="2"/>
      <c r="U843" s="2"/>
      <c r="V843" s="2"/>
      <c r="W843" s="2"/>
      <c r="X843" s="2"/>
      <c r="Y843" s="2"/>
      <c r="Z843" s="2"/>
    </row>
    <row r="844" ht="22.5" customHeight="1">
      <c r="A844" s="7"/>
      <c r="B844" s="7"/>
      <c r="C844" s="7"/>
      <c r="D844" s="7"/>
      <c r="E844" s="7"/>
      <c r="F844" s="7"/>
      <c r="G844" s="7"/>
      <c r="H844" s="2"/>
      <c r="I844" s="62"/>
      <c r="J844" s="7"/>
      <c r="K844" s="2"/>
      <c r="L844" s="2"/>
      <c r="M844" s="2"/>
      <c r="N844" s="2"/>
      <c r="O844" s="2"/>
      <c r="P844" s="2"/>
      <c r="Q844" s="2"/>
      <c r="R844" s="2"/>
      <c r="S844" s="2"/>
      <c r="T844" s="2"/>
      <c r="U844" s="2"/>
      <c r="V844" s="2"/>
      <c r="W844" s="2"/>
      <c r="X844" s="2"/>
      <c r="Y844" s="2"/>
      <c r="Z844" s="2"/>
    </row>
    <row r="845" ht="22.5" customHeight="1">
      <c r="A845" s="7"/>
      <c r="B845" s="7"/>
      <c r="C845" s="7"/>
      <c r="D845" s="7"/>
      <c r="E845" s="7"/>
      <c r="F845" s="7"/>
      <c r="G845" s="7"/>
      <c r="H845" s="2"/>
      <c r="I845" s="62"/>
      <c r="J845" s="7"/>
      <c r="K845" s="2"/>
      <c r="L845" s="2"/>
      <c r="M845" s="2"/>
      <c r="N845" s="2"/>
      <c r="O845" s="2"/>
      <c r="P845" s="2"/>
      <c r="Q845" s="2"/>
      <c r="R845" s="2"/>
      <c r="S845" s="2"/>
      <c r="T845" s="2"/>
      <c r="U845" s="2"/>
      <c r="V845" s="2"/>
      <c r="W845" s="2"/>
      <c r="X845" s="2"/>
      <c r="Y845" s="2"/>
      <c r="Z845" s="2"/>
    </row>
    <row r="846" ht="22.5" customHeight="1">
      <c r="A846" s="7"/>
      <c r="B846" s="7"/>
      <c r="C846" s="7"/>
      <c r="D846" s="7"/>
      <c r="E846" s="7"/>
      <c r="F846" s="7"/>
      <c r="G846" s="7"/>
      <c r="H846" s="2"/>
      <c r="I846" s="62"/>
      <c r="J846" s="7"/>
      <c r="K846" s="2"/>
      <c r="L846" s="2"/>
      <c r="M846" s="2"/>
      <c r="N846" s="2"/>
      <c r="O846" s="2"/>
      <c r="P846" s="2"/>
      <c r="Q846" s="2"/>
      <c r="R846" s="2"/>
      <c r="S846" s="2"/>
      <c r="T846" s="2"/>
      <c r="U846" s="2"/>
      <c r="V846" s="2"/>
      <c r="W846" s="2"/>
      <c r="X846" s="2"/>
      <c r="Y846" s="2"/>
      <c r="Z846" s="2"/>
    </row>
    <row r="847" ht="22.5" customHeight="1">
      <c r="A847" s="7"/>
      <c r="B847" s="7"/>
      <c r="C847" s="7"/>
      <c r="D847" s="7"/>
      <c r="E847" s="7"/>
      <c r="F847" s="7"/>
      <c r="G847" s="7"/>
      <c r="H847" s="2"/>
      <c r="I847" s="62"/>
      <c r="J847" s="7"/>
      <c r="K847" s="2"/>
      <c r="L847" s="2"/>
      <c r="M847" s="2"/>
      <c r="N847" s="2"/>
      <c r="O847" s="2"/>
      <c r="P847" s="2"/>
      <c r="Q847" s="2"/>
      <c r="R847" s="2"/>
      <c r="S847" s="2"/>
      <c r="T847" s="2"/>
      <c r="U847" s="2"/>
      <c r="V847" s="2"/>
      <c r="W847" s="2"/>
      <c r="X847" s="2"/>
      <c r="Y847" s="2"/>
      <c r="Z847" s="2"/>
    </row>
    <row r="848" ht="22.5" customHeight="1">
      <c r="A848" s="7"/>
      <c r="B848" s="7"/>
      <c r="C848" s="7"/>
      <c r="D848" s="7"/>
      <c r="E848" s="7"/>
      <c r="F848" s="7"/>
      <c r="G848" s="7"/>
      <c r="H848" s="2"/>
      <c r="I848" s="62"/>
      <c r="J848" s="7"/>
      <c r="K848" s="2"/>
      <c r="L848" s="2"/>
      <c r="M848" s="2"/>
      <c r="N848" s="2"/>
      <c r="O848" s="2"/>
      <c r="P848" s="2"/>
      <c r="Q848" s="2"/>
      <c r="R848" s="2"/>
      <c r="S848" s="2"/>
      <c r="T848" s="2"/>
      <c r="U848" s="2"/>
      <c r="V848" s="2"/>
      <c r="W848" s="2"/>
      <c r="X848" s="2"/>
      <c r="Y848" s="2"/>
      <c r="Z848" s="2"/>
    </row>
    <row r="849" ht="22.5" customHeight="1">
      <c r="A849" s="7"/>
      <c r="B849" s="7"/>
      <c r="C849" s="7"/>
      <c r="D849" s="7"/>
      <c r="E849" s="7"/>
      <c r="F849" s="7"/>
      <c r="G849" s="7"/>
      <c r="H849" s="2"/>
      <c r="I849" s="62"/>
      <c r="J849" s="7"/>
      <c r="K849" s="2"/>
      <c r="L849" s="2"/>
      <c r="M849" s="2"/>
      <c r="N849" s="2"/>
      <c r="O849" s="2"/>
      <c r="P849" s="2"/>
      <c r="Q849" s="2"/>
      <c r="R849" s="2"/>
      <c r="S849" s="2"/>
      <c r="T849" s="2"/>
      <c r="U849" s="2"/>
      <c r="V849" s="2"/>
      <c r="W849" s="2"/>
      <c r="X849" s="2"/>
      <c r="Y849" s="2"/>
      <c r="Z849" s="2"/>
    </row>
    <row r="850" ht="22.5" customHeight="1">
      <c r="A850" s="7"/>
      <c r="B850" s="7"/>
      <c r="C850" s="7"/>
      <c r="D850" s="7"/>
      <c r="E850" s="7"/>
      <c r="F850" s="7"/>
      <c r="G850" s="7"/>
      <c r="H850" s="2"/>
      <c r="I850" s="62"/>
      <c r="J850" s="7"/>
      <c r="K850" s="2"/>
      <c r="L850" s="2"/>
      <c r="M850" s="2"/>
      <c r="N850" s="2"/>
      <c r="O850" s="2"/>
      <c r="P850" s="2"/>
      <c r="Q850" s="2"/>
      <c r="R850" s="2"/>
      <c r="S850" s="2"/>
      <c r="T850" s="2"/>
      <c r="U850" s="2"/>
      <c r="V850" s="2"/>
      <c r="W850" s="2"/>
      <c r="X850" s="2"/>
      <c r="Y850" s="2"/>
      <c r="Z850" s="2"/>
    </row>
    <row r="851" ht="22.5" customHeight="1">
      <c r="A851" s="7"/>
      <c r="B851" s="7"/>
      <c r="C851" s="7"/>
      <c r="D851" s="7"/>
      <c r="E851" s="7"/>
      <c r="F851" s="7"/>
      <c r="G851" s="7"/>
      <c r="H851" s="2"/>
      <c r="I851" s="62"/>
      <c r="J851" s="7"/>
      <c r="K851" s="2"/>
      <c r="L851" s="2"/>
      <c r="M851" s="2"/>
      <c r="N851" s="2"/>
      <c r="O851" s="2"/>
      <c r="P851" s="2"/>
      <c r="Q851" s="2"/>
      <c r="R851" s="2"/>
      <c r="S851" s="2"/>
      <c r="T851" s="2"/>
      <c r="U851" s="2"/>
      <c r="V851" s="2"/>
      <c r="W851" s="2"/>
      <c r="X851" s="2"/>
      <c r="Y851" s="2"/>
      <c r="Z851" s="2"/>
    </row>
    <row r="852" ht="22.5" customHeight="1">
      <c r="A852" s="7"/>
      <c r="B852" s="7"/>
      <c r="C852" s="7"/>
      <c r="D852" s="7"/>
      <c r="E852" s="7"/>
      <c r="F852" s="7"/>
      <c r="G852" s="7"/>
      <c r="H852" s="2"/>
      <c r="I852" s="62"/>
      <c r="J852" s="7"/>
      <c r="K852" s="2"/>
      <c r="L852" s="2"/>
      <c r="M852" s="2"/>
      <c r="N852" s="2"/>
      <c r="O852" s="2"/>
      <c r="P852" s="2"/>
      <c r="Q852" s="2"/>
      <c r="R852" s="2"/>
      <c r="S852" s="2"/>
      <c r="T852" s="2"/>
      <c r="U852" s="2"/>
      <c r="V852" s="2"/>
      <c r="W852" s="2"/>
      <c r="X852" s="2"/>
      <c r="Y852" s="2"/>
      <c r="Z852" s="2"/>
    </row>
    <row r="853" ht="22.5" customHeight="1">
      <c r="A853" s="7"/>
      <c r="B853" s="7"/>
      <c r="C853" s="7"/>
      <c r="D853" s="7"/>
      <c r="E853" s="7"/>
      <c r="F853" s="7"/>
      <c r="G853" s="7"/>
      <c r="H853" s="2"/>
      <c r="I853" s="62"/>
      <c r="J853" s="7"/>
      <c r="K853" s="2"/>
      <c r="L853" s="2"/>
      <c r="M853" s="2"/>
      <c r="N853" s="2"/>
      <c r="O853" s="2"/>
      <c r="P853" s="2"/>
      <c r="Q853" s="2"/>
      <c r="R853" s="2"/>
      <c r="S853" s="2"/>
      <c r="T853" s="2"/>
      <c r="U853" s="2"/>
      <c r="V853" s="2"/>
      <c r="W853" s="2"/>
      <c r="X853" s="2"/>
      <c r="Y853" s="2"/>
      <c r="Z853" s="2"/>
    </row>
    <row r="854" ht="22.5" customHeight="1">
      <c r="A854" s="7"/>
      <c r="B854" s="7"/>
      <c r="C854" s="7"/>
      <c r="D854" s="7"/>
      <c r="E854" s="7"/>
      <c r="F854" s="7"/>
      <c r="G854" s="7"/>
      <c r="H854" s="2"/>
      <c r="I854" s="62"/>
      <c r="J854" s="7"/>
      <c r="K854" s="2"/>
      <c r="L854" s="2"/>
      <c r="M854" s="2"/>
      <c r="N854" s="2"/>
      <c r="O854" s="2"/>
      <c r="P854" s="2"/>
      <c r="Q854" s="2"/>
      <c r="R854" s="2"/>
      <c r="S854" s="2"/>
      <c r="T854" s="2"/>
      <c r="U854" s="2"/>
      <c r="V854" s="2"/>
      <c r="W854" s="2"/>
      <c r="X854" s="2"/>
      <c r="Y854" s="2"/>
      <c r="Z854" s="2"/>
    </row>
    <row r="855" ht="22.5" customHeight="1">
      <c r="A855" s="7"/>
      <c r="B855" s="7"/>
      <c r="C855" s="7"/>
      <c r="D855" s="7"/>
      <c r="E855" s="7"/>
      <c r="F855" s="7"/>
      <c r="G855" s="7"/>
      <c r="H855" s="2"/>
      <c r="I855" s="62"/>
      <c r="J855" s="7"/>
      <c r="K855" s="2"/>
      <c r="L855" s="2"/>
      <c r="M855" s="2"/>
      <c r="N855" s="2"/>
      <c r="O855" s="2"/>
      <c r="P855" s="2"/>
      <c r="Q855" s="2"/>
      <c r="R855" s="2"/>
      <c r="S855" s="2"/>
      <c r="T855" s="2"/>
      <c r="U855" s="2"/>
      <c r="V855" s="2"/>
      <c r="W855" s="2"/>
      <c r="X855" s="2"/>
      <c r="Y855" s="2"/>
      <c r="Z855" s="2"/>
    </row>
    <row r="856" ht="22.5" customHeight="1">
      <c r="A856" s="7"/>
      <c r="B856" s="7"/>
      <c r="C856" s="7"/>
      <c r="D856" s="7"/>
      <c r="E856" s="7"/>
      <c r="F856" s="7"/>
      <c r="G856" s="7"/>
      <c r="H856" s="2"/>
      <c r="I856" s="62"/>
      <c r="J856" s="7"/>
      <c r="K856" s="2"/>
      <c r="L856" s="2"/>
      <c r="M856" s="2"/>
      <c r="N856" s="2"/>
      <c r="O856" s="2"/>
      <c r="P856" s="2"/>
      <c r="Q856" s="2"/>
      <c r="R856" s="2"/>
      <c r="S856" s="2"/>
      <c r="T856" s="2"/>
      <c r="U856" s="2"/>
      <c r="V856" s="2"/>
      <c r="W856" s="2"/>
      <c r="X856" s="2"/>
      <c r="Y856" s="2"/>
      <c r="Z856" s="2"/>
    </row>
    <row r="857" ht="22.5" customHeight="1">
      <c r="A857" s="7"/>
      <c r="B857" s="7"/>
      <c r="C857" s="7"/>
      <c r="D857" s="7"/>
      <c r="E857" s="7"/>
      <c r="F857" s="7"/>
      <c r="G857" s="7"/>
      <c r="H857" s="2"/>
      <c r="I857" s="62"/>
      <c r="J857" s="7"/>
      <c r="K857" s="2"/>
      <c r="L857" s="2"/>
      <c r="M857" s="2"/>
      <c r="N857" s="2"/>
      <c r="O857" s="2"/>
      <c r="P857" s="2"/>
      <c r="Q857" s="2"/>
      <c r="R857" s="2"/>
      <c r="S857" s="2"/>
      <c r="T857" s="2"/>
      <c r="U857" s="2"/>
      <c r="V857" s="2"/>
      <c r="W857" s="2"/>
      <c r="X857" s="2"/>
      <c r="Y857" s="2"/>
      <c r="Z857" s="2"/>
    </row>
    <row r="858" ht="22.5" customHeight="1">
      <c r="A858" s="7"/>
      <c r="B858" s="7"/>
      <c r="C858" s="7"/>
      <c r="D858" s="7"/>
      <c r="E858" s="7"/>
      <c r="F858" s="7"/>
      <c r="G858" s="7"/>
      <c r="H858" s="2"/>
      <c r="I858" s="62"/>
      <c r="J858" s="7"/>
      <c r="K858" s="2"/>
      <c r="L858" s="2"/>
      <c r="M858" s="2"/>
      <c r="N858" s="2"/>
      <c r="O858" s="2"/>
      <c r="P858" s="2"/>
      <c r="Q858" s="2"/>
      <c r="R858" s="2"/>
      <c r="S858" s="2"/>
      <c r="T858" s="2"/>
      <c r="U858" s="2"/>
      <c r="V858" s="2"/>
      <c r="W858" s="2"/>
      <c r="X858" s="2"/>
      <c r="Y858" s="2"/>
      <c r="Z858" s="2"/>
    </row>
    <row r="859" ht="22.5" customHeight="1">
      <c r="A859" s="7"/>
      <c r="B859" s="7"/>
      <c r="C859" s="7"/>
      <c r="D859" s="7"/>
      <c r="E859" s="7"/>
      <c r="F859" s="7"/>
      <c r="G859" s="7"/>
      <c r="H859" s="2"/>
      <c r="I859" s="62"/>
      <c r="J859" s="7"/>
      <c r="K859" s="2"/>
      <c r="L859" s="2"/>
      <c r="M859" s="2"/>
      <c r="N859" s="2"/>
      <c r="O859" s="2"/>
      <c r="P859" s="2"/>
      <c r="Q859" s="2"/>
      <c r="R859" s="2"/>
      <c r="S859" s="2"/>
      <c r="T859" s="2"/>
      <c r="U859" s="2"/>
      <c r="V859" s="2"/>
      <c r="W859" s="2"/>
      <c r="X859" s="2"/>
      <c r="Y859" s="2"/>
      <c r="Z859" s="2"/>
    </row>
    <row r="860" ht="22.5" customHeight="1">
      <c r="A860" s="7"/>
      <c r="B860" s="7"/>
      <c r="C860" s="7"/>
      <c r="D860" s="7"/>
      <c r="E860" s="7"/>
      <c r="F860" s="7"/>
      <c r="G860" s="7"/>
      <c r="H860" s="2"/>
      <c r="I860" s="62"/>
      <c r="J860" s="7"/>
      <c r="K860" s="2"/>
      <c r="L860" s="2"/>
      <c r="M860" s="2"/>
      <c r="N860" s="2"/>
      <c r="O860" s="2"/>
      <c r="P860" s="2"/>
      <c r="Q860" s="2"/>
      <c r="R860" s="2"/>
      <c r="S860" s="2"/>
      <c r="T860" s="2"/>
      <c r="U860" s="2"/>
      <c r="V860" s="2"/>
      <c r="W860" s="2"/>
      <c r="X860" s="2"/>
      <c r="Y860" s="2"/>
      <c r="Z860" s="2"/>
    </row>
    <row r="861" ht="22.5" customHeight="1">
      <c r="A861" s="7"/>
      <c r="B861" s="7"/>
      <c r="C861" s="7"/>
      <c r="D861" s="7"/>
      <c r="E861" s="7"/>
      <c r="F861" s="7"/>
      <c r="G861" s="7"/>
      <c r="H861" s="2"/>
      <c r="I861" s="62"/>
      <c r="J861" s="7"/>
      <c r="K861" s="2"/>
      <c r="L861" s="2"/>
      <c r="M861" s="2"/>
      <c r="N861" s="2"/>
      <c r="O861" s="2"/>
      <c r="P861" s="2"/>
      <c r="Q861" s="2"/>
      <c r="R861" s="2"/>
      <c r="S861" s="2"/>
      <c r="T861" s="2"/>
      <c r="U861" s="2"/>
      <c r="V861" s="2"/>
      <c r="W861" s="2"/>
      <c r="X861" s="2"/>
      <c r="Y861" s="2"/>
      <c r="Z861" s="2"/>
    </row>
    <row r="862" ht="22.5" customHeight="1">
      <c r="A862" s="7"/>
      <c r="B862" s="7"/>
      <c r="C862" s="7"/>
      <c r="D862" s="7"/>
      <c r="E862" s="7"/>
      <c r="F862" s="7"/>
      <c r="G862" s="7"/>
      <c r="H862" s="2"/>
      <c r="I862" s="62"/>
      <c r="J862" s="7"/>
      <c r="K862" s="2"/>
      <c r="L862" s="2"/>
      <c r="M862" s="2"/>
      <c r="N862" s="2"/>
      <c r="O862" s="2"/>
      <c r="P862" s="2"/>
      <c r="Q862" s="2"/>
      <c r="R862" s="2"/>
      <c r="S862" s="2"/>
      <c r="T862" s="2"/>
      <c r="U862" s="2"/>
      <c r="V862" s="2"/>
      <c r="W862" s="2"/>
      <c r="X862" s="2"/>
      <c r="Y862" s="2"/>
      <c r="Z862" s="2"/>
    </row>
    <row r="863" ht="22.5" customHeight="1">
      <c r="A863" s="7"/>
      <c r="B863" s="7"/>
      <c r="C863" s="7"/>
      <c r="D863" s="7"/>
      <c r="E863" s="7"/>
      <c r="F863" s="7"/>
      <c r="G863" s="7"/>
      <c r="H863" s="2"/>
      <c r="I863" s="62"/>
      <c r="J863" s="7"/>
      <c r="K863" s="2"/>
      <c r="L863" s="2"/>
      <c r="M863" s="2"/>
      <c r="N863" s="2"/>
      <c r="O863" s="2"/>
      <c r="P863" s="2"/>
      <c r="Q863" s="2"/>
      <c r="R863" s="2"/>
      <c r="S863" s="2"/>
      <c r="T863" s="2"/>
      <c r="U863" s="2"/>
      <c r="V863" s="2"/>
      <c r="W863" s="2"/>
      <c r="X863" s="2"/>
      <c r="Y863" s="2"/>
      <c r="Z863" s="2"/>
    </row>
    <row r="864" ht="22.5" customHeight="1">
      <c r="A864" s="7"/>
      <c r="B864" s="7"/>
      <c r="C864" s="7"/>
      <c r="D864" s="7"/>
      <c r="E864" s="7"/>
      <c r="F864" s="7"/>
      <c r="G864" s="7"/>
      <c r="H864" s="2"/>
      <c r="I864" s="62"/>
      <c r="J864" s="7"/>
      <c r="K864" s="2"/>
      <c r="L864" s="2"/>
      <c r="M864" s="2"/>
      <c r="N864" s="2"/>
      <c r="O864" s="2"/>
      <c r="P864" s="2"/>
      <c r="Q864" s="2"/>
      <c r="R864" s="2"/>
      <c r="S864" s="2"/>
      <c r="T864" s="2"/>
      <c r="U864" s="2"/>
      <c r="V864" s="2"/>
      <c r="W864" s="2"/>
      <c r="X864" s="2"/>
      <c r="Y864" s="2"/>
      <c r="Z864" s="2"/>
    </row>
    <row r="865" ht="22.5" customHeight="1">
      <c r="A865" s="7"/>
      <c r="B865" s="7"/>
      <c r="C865" s="7"/>
      <c r="D865" s="7"/>
      <c r="E865" s="7"/>
      <c r="F865" s="7"/>
      <c r="G865" s="7"/>
      <c r="H865" s="2"/>
      <c r="I865" s="62"/>
      <c r="J865" s="7"/>
      <c r="K865" s="2"/>
      <c r="L865" s="2"/>
      <c r="M865" s="2"/>
      <c r="N865" s="2"/>
      <c r="O865" s="2"/>
      <c r="P865" s="2"/>
      <c r="Q865" s="2"/>
      <c r="R865" s="2"/>
      <c r="S865" s="2"/>
      <c r="T865" s="2"/>
      <c r="U865" s="2"/>
      <c r="V865" s="2"/>
      <c r="W865" s="2"/>
      <c r="X865" s="2"/>
      <c r="Y865" s="2"/>
      <c r="Z865" s="2"/>
    </row>
    <row r="866" ht="22.5" customHeight="1">
      <c r="A866" s="7"/>
      <c r="B866" s="7"/>
      <c r="C866" s="7"/>
      <c r="D866" s="7"/>
      <c r="E866" s="7"/>
      <c r="F866" s="7"/>
      <c r="G866" s="7"/>
      <c r="H866" s="2"/>
      <c r="I866" s="62"/>
      <c r="J866" s="7"/>
      <c r="K866" s="2"/>
      <c r="L866" s="2"/>
      <c r="M866" s="2"/>
      <c r="N866" s="2"/>
      <c r="O866" s="2"/>
      <c r="P866" s="2"/>
      <c r="Q866" s="2"/>
      <c r="R866" s="2"/>
      <c r="S866" s="2"/>
      <c r="T866" s="2"/>
      <c r="U866" s="2"/>
      <c r="V866" s="2"/>
      <c r="W866" s="2"/>
      <c r="X866" s="2"/>
      <c r="Y866" s="2"/>
      <c r="Z866" s="2"/>
    </row>
    <row r="867" ht="22.5" customHeight="1">
      <c r="A867" s="7"/>
      <c r="B867" s="7"/>
      <c r="C867" s="7"/>
      <c r="D867" s="7"/>
      <c r="E867" s="7"/>
      <c r="F867" s="7"/>
      <c r="G867" s="7"/>
      <c r="H867" s="2"/>
      <c r="I867" s="62"/>
      <c r="J867" s="7"/>
      <c r="K867" s="2"/>
      <c r="L867" s="2"/>
      <c r="M867" s="2"/>
      <c r="N867" s="2"/>
      <c r="O867" s="2"/>
      <c r="P867" s="2"/>
      <c r="Q867" s="2"/>
      <c r="R867" s="2"/>
      <c r="S867" s="2"/>
      <c r="T867" s="2"/>
      <c r="U867" s="2"/>
      <c r="V867" s="2"/>
      <c r="W867" s="2"/>
      <c r="X867" s="2"/>
      <c r="Y867" s="2"/>
      <c r="Z867" s="2"/>
    </row>
    <row r="868" ht="22.5" customHeight="1">
      <c r="A868" s="7"/>
      <c r="B868" s="7"/>
      <c r="C868" s="7"/>
      <c r="D868" s="7"/>
      <c r="E868" s="7"/>
      <c r="F868" s="7"/>
      <c r="G868" s="7"/>
      <c r="H868" s="2"/>
      <c r="I868" s="62"/>
      <c r="J868" s="7"/>
      <c r="K868" s="2"/>
      <c r="L868" s="2"/>
      <c r="M868" s="2"/>
      <c r="N868" s="2"/>
      <c r="O868" s="2"/>
      <c r="P868" s="2"/>
      <c r="Q868" s="2"/>
      <c r="R868" s="2"/>
      <c r="S868" s="2"/>
      <c r="T868" s="2"/>
      <c r="U868" s="2"/>
      <c r="V868" s="2"/>
      <c r="W868" s="2"/>
      <c r="X868" s="2"/>
      <c r="Y868" s="2"/>
      <c r="Z868" s="2"/>
    </row>
    <row r="869" ht="22.5" customHeight="1">
      <c r="A869" s="7"/>
      <c r="B869" s="7"/>
      <c r="C869" s="7"/>
      <c r="D869" s="7"/>
      <c r="E869" s="7"/>
      <c r="F869" s="7"/>
      <c r="G869" s="7"/>
      <c r="H869" s="2"/>
      <c r="I869" s="62"/>
      <c r="J869" s="7"/>
      <c r="K869" s="2"/>
      <c r="L869" s="2"/>
      <c r="M869" s="2"/>
      <c r="N869" s="2"/>
      <c r="O869" s="2"/>
      <c r="P869" s="2"/>
      <c r="Q869" s="2"/>
      <c r="R869" s="2"/>
      <c r="S869" s="2"/>
      <c r="T869" s="2"/>
      <c r="U869" s="2"/>
      <c r="V869" s="2"/>
      <c r="W869" s="2"/>
      <c r="X869" s="2"/>
      <c r="Y869" s="2"/>
      <c r="Z869" s="2"/>
    </row>
    <row r="870" ht="22.5" customHeight="1">
      <c r="A870" s="7"/>
      <c r="B870" s="7"/>
      <c r="C870" s="7"/>
      <c r="D870" s="7"/>
      <c r="E870" s="7"/>
      <c r="F870" s="7"/>
      <c r="G870" s="7"/>
      <c r="H870" s="2"/>
      <c r="I870" s="62"/>
      <c r="J870" s="7"/>
      <c r="K870" s="2"/>
      <c r="L870" s="2"/>
      <c r="M870" s="2"/>
      <c r="N870" s="2"/>
      <c r="O870" s="2"/>
      <c r="P870" s="2"/>
      <c r="Q870" s="2"/>
      <c r="R870" s="2"/>
      <c r="S870" s="2"/>
      <c r="T870" s="2"/>
      <c r="U870" s="2"/>
      <c r="V870" s="2"/>
      <c r="W870" s="2"/>
      <c r="X870" s="2"/>
      <c r="Y870" s="2"/>
      <c r="Z870" s="2"/>
    </row>
    <row r="871" ht="22.5" customHeight="1">
      <c r="A871" s="7"/>
      <c r="B871" s="7"/>
      <c r="C871" s="7"/>
      <c r="D871" s="7"/>
      <c r="E871" s="7"/>
      <c r="F871" s="7"/>
      <c r="G871" s="7"/>
      <c r="H871" s="2"/>
      <c r="I871" s="62"/>
      <c r="J871" s="7"/>
      <c r="K871" s="2"/>
      <c r="L871" s="2"/>
      <c r="M871" s="2"/>
      <c r="N871" s="2"/>
      <c r="O871" s="2"/>
      <c r="P871" s="2"/>
      <c r="Q871" s="2"/>
      <c r="R871" s="2"/>
      <c r="S871" s="2"/>
      <c r="T871" s="2"/>
      <c r="U871" s="2"/>
      <c r="V871" s="2"/>
      <c r="W871" s="2"/>
      <c r="X871" s="2"/>
      <c r="Y871" s="2"/>
      <c r="Z871" s="2"/>
    </row>
    <row r="872" ht="22.5" customHeight="1">
      <c r="A872" s="7"/>
      <c r="B872" s="7"/>
      <c r="C872" s="7"/>
      <c r="D872" s="7"/>
      <c r="E872" s="7"/>
      <c r="F872" s="7"/>
      <c r="G872" s="7"/>
      <c r="H872" s="2"/>
      <c r="I872" s="62"/>
      <c r="J872" s="7"/>
      <c r="K872" s="2"/>
      <c r="L872" s="2"/>
      <c r="M872" s="2"/>
      <c r="N872" s="2"/>
      <c r="O872" s="2"/>
      <c r="P872" s="2"/>
      <c r="Q872" s="2"/>
      <c r="R872" s="2"/>
      <c r="S872" s="2"/>
      <c r="T872" s="2"/>
      <c r="U872" s="2"/>
      <c r="V872" s="2"/>
      <c r="W872" s="2"/>
      <c r="X872" s="2"/>
      <c r="Y872" s="2"/>
      <c r="Z872" s="2"/>
    </row>
    <row r="873" ht="22.5" customHeight="1">
      <c r="A873" s="7"/>
      <c r="B873" s="7"/>
      <c r="C873" s="7"/>
      <c r="D873" s="7"/>
      <c r="E873" s="7"/>
      <c r="F873" s="7"/>
      <c r="G873" s="7"/>
      <c r="H873" s="2"/>
      <c r="I873" s="62"/>
      <c r="J873" s="7"/>
      <c r="K873" s="2"/>
      <c r="L873" s="2"/>
      <c r="M873" s="2"/>
      <c r="N873" s="2"/>
      <c r="O873" s="2"/>
      <c r="P873" s="2"/>
      <c r="Q873" s="2"/>
      <c r="R873" s="2"/>
      <c r="S873" s="2"/>
      <c r="T873" s="2"/>
      <c r="U873" s="2"/>
      <c r="V873" s="2"/>
      <c r="W873" s="2"/>
      <c r="X873" s="2"/>
      <c r="Y873" s="2"/>
      <c r="Z873" s="2"/>
    </row>
    <row r="874" ht="22.5" customHeight="1">
      <c r="A874" s="7"/>
      <c r="B874" s="7"/>
      <c r="C874" s="7"/>
      <c r="D874" s="7"/>
      <c r="E874" s="7"/>
      <c r="F874" s="7"/>
      <c r="G874" s="7"/>
      <c r="H874" s="2"/>
      <c r="I874" s="62"/>
      <c r="J874" s="7"/>
      <c r="K874" s="2"/>
      <c r="L874" s="2"/>
      <c r="M874" s="2"/>
      <c r="N874" s="2"/>
      <c r="O874" s="2"/>
      <c r="P874" s="2"/>
      <c r="Q874" s="2"/>
      <c r="R874" s="2"/>
      <c r="S874" s="2"/>
      <c r="T874" s="2"/>
      <c r="U874" s="2"/>
      <c r="V874" s="2"/>
      <c r="W874" s="2"/>
      <c r="X874" s="2"/>
      <c r="Y874" s="2"/>
      <c r="Z874" s="2"/>
    </row>
    <row r="875" ht="22.5" customHeight="1">
      <c r="A875" s="7"/>
      <c r="B875" s="7"/>
      <c r="C875" s="7"/>
      <c r="D875" s="7"/>
      <c r="E875" s="7"/>
      <c r="F875" s="7"/>
      <c r="G875" s="7"/>
      <c r="H875" s="2"/>
      <c r="I875" s="62"/>
      <c r="J875" s="7"/>
      <c r="K875" s="2"/>
      <c r="L875" s="2"/>
      <c r="M875" s="2"/>
      <c r="N875" s="2"/>
      <c r="O875" s="2"/>
      <c r="P875" s="2"/>
      <c r="Q875" s="2"/>
      <c r="R875" s="2"/>
      <c r="S875" s="2"/>
      <c r="T875" s="2"/>
      <c r="U875" s="2"/>
      <c r="V875" s="2"/>
      <c r="W875" s="2"/>
      <c r="X875" s="2"/>
      <c r="Y875" s="2"/>
      <c r="Z875" s="2"/>
    </row>
    <row r="876" ht="22.5" customHeight="1">
      <c r="A876" s="7"/>
      <c r="B876" s="7"/>
      <c r="C876" s="7"/>
      <c r="D876" s="7"/>
      <c r="E876" s="7"/>
      <c r="F876" s="7"/>
      <c r="G876" s="7"/>
      <c r="H876" s="2"/>
      <c r="I876" s="62"/>
      <c r="J876" s="7"/>
      <c r="K876" s="2"/>
      <c r="L876" s="2"/>
      <c r="M876" s="2"/>
      <c r="N876" s="2"/>
      <c r="O876" s="2"/>
      <c r="P876" s="2"/>
      <c r="Q876" s="2"/>
      <c r="R876" s="2"/>
      <c r="S876" s="2"/>
      <c r="T876" s="2"/>
      <c r="U876" s="2"/>
      <c r="V876" s="2"/>
      <c r="W876" s="2"/>
      <c r="X876" s="2"/>
      <c r="Y876" s="2"/>
      <c r="Z876" s="2"/>
    </row>
    <row r="877" ht="22.5" customHeight="1">
      <c r="A877" s="7"/>
      <c r="B877" s="7"/>
      <c r="C877" s="7"/>
      <c r="D877" s="7"/>
      <c r="E877" s="7"/>
      <c r="F877" s="7"/>
      <c r="G877" s="7"/>
      <c r="H877" s="2"/>
      <c r="I877" s="62"/>
      <c r="J877" s="7"/>
      <c r="K877" s="2"/>
      <c r="L877" s="2"/>
      <c r="M877" s="2"/>
      <c r="N877" s="2"/>
      <c r="O877" s="2"/>
      <c r="P877" s="2"/>
      <c r="Q877" s="2"/>
      <c r="R877" s="2"/>
      <c r="S877" s="2"/>
      <c r="T877" s="2"/>
      <c r="U877" s="2"/>
      <c r="V877" s="2"/>
      <c r="W877" s="2"/>
      <c r="X877" s="2"/>
      <c r="Y877" s="2"/>
      <c r="Z877" s="2"/>
    </row>
    <row r="878" ht="22.5" customHeight="1">
      <c r="A878" s="7"/>
      <c r="B878" s="7"/>
      <c r="C878" s="7"/>
      <c r="D878" s="7"/>
      <c r="E878" s="7"/>
      <c r="F878" s="7"/>
      <c r="G878" s="7"/>
      <c r="H878" s="2"/>
      <c r="I878" s="62"/>
      <c r="J878" s="7"/>
      <c r="K878" s="2"/>
      <c r="L878" s="2"/>
      <c r="M878" s="2"/>
      <c r="N878" s="2"/>
      <c r="O878" s="2"/>
      <c r="P878" s="2"/>
      <c r="Q878" s="2"/>
      <c r="R878" s="2"/>
      <c r="S878" s="2"/>
      <c r="T878" s="2"/>
      <c r="U878" s="2"/>
      <c r="V878" s="2"/>
      <c r="W878" s="2"/>
      <c r="X878" s="2"/>
      <c r="Y878" s="2"/>
      <c r="Z878" s="2"/>
    </row>
    <row r="879" ht="22.5" customHeight="1">
      <c r="A879" s="7"/>
      <c r="B879" s="7"/>
      <c r="C879" s="7"/>
      <c r="D879" s="7"/>
      <c r="E879" s="7"/>
      <c r="F879" s="7"/>
      <c r="G879" s="7"/>
      <c r="H879" s="2"/>
      <c r="I879" s="62"/>
      <c r="J879" s="7"/>
      <c r="K879" s="2"/>
      <c r="L879" s="2"/>
      <c r="M879" s="2"/>
      <c r="N879" s="2"/>
      <c r="O879" s="2"/>
      <c r="P879" s="2"/>
      <c r="Q879" s="2"/>
      <c r="R879" s="2"/>
      <c r="S879" s="2"/>
      <c r="T879" s="2"/>
      <c r="U879" s="2"/>
      <c r="V879" s="2"/>
      <c r="W879" s="2"/>
      <c r="X879" s="2"/>
      <c r="Y879" s="2"/>
      <c r="Z879" s="2"/>
    </row>
    <row r="880" ht="22.5" customHeight="1">
      <c r="A880" s="7"/>
      <c r="B880" s="7"/>
      <c r="C880" s="7"/>
      <c r="D880" s="7"/>
      <c r="E880" s="7"/>
      <c r="F880" s="7"/>
      <c r="G880" s="7"/>
      <c r="H880" s="2"/>
      <c r="I880" s="62"/>
      <c r="J880" s="7"/>
      <c r="K880" s="2"/>
      <c r="L880" s="2"/>
      <c r="M880" s="2"/>
      <c r="N880" s="2"/>
      <c r="O880" s="2"/>
      <c r="P880" s="2"/>
      <c r="Q880" s="2"/>
      <c r="R880" s="2"/>
      <c r="S880" s="2"/>
      <c r="T880" s="2"/>
      <c r="U880" s="2"/>
      <c r="V880" s="2"/>
      <c r="W880" s="2"/>
      <c r="X880" s="2"/>
      <c r="Y880" s="2"/>
      <c r="Z880" s="2"/>
    </row>
    <row r="881" ht="22.5" customHeight="1">
      <c r="A881" s="7"/>
      <c r="B881" s="7"/>
      <c r="C881" s="7"/>
      <c r="D881" s="7"/>
      <c r="E881" s="7"/>
      <c r="F881" s="7"/>
      <c r="G881" s="7"/>
      <c r="H881" s="2"/>
      <c r="I881" s="62"/>
      <c r="J881" s="7"/>
      <c r="K881" s="2"/>
      <c r="L881" s="2"/>
      <c r="M881" s="2"/>
      <c r="N881" s="2"/>
      <c r="O881" s="2"/>
      <c r="P881" s="2"/>
      <c r="Q881" s="2"/>
      <c r="R881" s="2"/>
      <c r="S881" s="2"/>
      <c r="T881" s="2"/>
      <c r="U881" s="2"/>
      <c r="V881" s="2"/>
      <c r="W881" s="2"/>
      <c r="X881" s="2"/>
      <c r="Y881" s="2"/>
      <c r="Z881" s="2"/>
    </row>
    <row r="882" ht="22.5" customHeight="1">
      <c r="A882" s="7"/>
      <c r="B882" s="7"/>
      <c r="C882" s="7"/>
      <c r="D882" s="7"/>
      <c r="E882" s="7"/>
      <c r="F882" s="7"/>
      <c r="G882" s="7"/>
      <c r="H882" s="2"/>
      <c r="I882" s="62"/>
      <c r="J882" s="7"/>
      <c r="K882" s="2"/>
      <c r="L882" s="2"/>
      <c r="M882" s="2"/>
      <c r="N882" s="2"/>
      <c r="O882" s="2"/>
      <c r="P882" s="2"/>
      <c r="Q882" s="2"/>
      <c r="R882" s="2"/>
      <c r="S882" s="2"/>
      <c r="T882" s="2"/>
      <c r="U882" s="2"/>
      <c r="V882" s="2"/>
      <c r="W882" s="2"/>
      <c r="X882" s="2"/>
      <c r="Y882" s="2"/>
      <c r="Z882" s="2"/>
    </row>
    <row r="883" ht="22.5" customHeight="1">
      <c r="A883" s="7"/>
      <c r="B883" s="7"/>
      <c r="C883" s="7"/>
      <c r="D883" s="7"/>
      <c r="E883" s="7"/>
      <c r="F883" s="7"/>
      <c r="G883" s="7"/>
      <c r="H883" s="2"/>
      <c r="I883" s="62"/>
      <c r="J883" s="7"/>
      <c r="K883" s="2"/>
      <c r="L883" s="2"/>
      <c r="M883" s="2"/>
      <c r="N883" s="2"/>
      <c r="O883" s="2"/>
      <c r="P883" s="2"/>
      <c r="Q883" s="2"/>
      <c r="R883" s="2"/>
      <c r="S883" s="2"/>
      <c r="T883" s="2"/>
      <c r="U883" s="2"/>
      <c r="V883" s="2"/>
      <c r="W883" s="2"/>
      <c r="X883" s="2"/>
      <c r="Y883" s="2"/>
      <c r="Z883" s="2"/>
    </row>
    <row r="884" ht="22.5" customHeight="1">
      <c r="A884" s="7"/>
      <c r="B884" s="7"/>
      <c r="C884" s="7"/>
      <c r="D884" s="7"/>
      <c r="E884" s="7"/>
      <c r="F884" s="7"/>
      <c r="G884" s="7"/>
      <c r="H884" s="2"/>
      <c r="I884" s="62"/>
      <c r="J884" s="7"/>
      <c r="K884" s="2"/>
      <c r="L884" s="2"/>
      <c r="M884" s="2"/>
      <c r="N884" s="2"/>
      <c r="O884" s="2"/>
      <c r="P884" s="2"/>
      <c r="Q884" s="2"/>
      <c r="R884" s="2"/>
      <c r="S884" s="2"/>
      <c r="T884" s="2"/>
      <c r="U884" s="2"/>
      <c r="V884" s="2"/>
      <c r="W884" s="2"/>
      <c r="X884" s="2"/>
      <c r="Y884" s="2"/>
      <c r="Z884" s="2"/>
    </row>
    <row r="885" ht="22.5" customHeight="1">
      <c r="A885" s="7"/>
      <c r="B885" s="7"/>
      <c r="C885" s="7"/>
      <c r="D885" s="7"/>
      <c r="E885" s="7"/>
      <c r="F885" s="7"/>
      <c r="G885" s="7"/>
      <c r="H885" s="2"/>
      <c r="I885" s="62"/>
      <c r="J885" s="7"/>
      <c r="K885" s="2"/>
      <c r="L885" s="2"/>
      <c r="M885" s="2"/>
      <c r="N885" s="2"/>
      <c r="O885" s="2"/>
      <c r="P885" s="2"/>
      <c r="Q885" s="2"/>
      <c r="R885" s="2"/>
      <c r="S885" s="2"/>
      <c r="T885" s="2"/>
      <c r="U885" s="2"/>
      <c r="V885" s="2"/>
      <c r="W885" s="2"/>
      <c r="X885" s="2"/>
      <c r="Y885" s="2"/>
      <c r="Z885" s="2"/>
    </row>
    <row r="886" ht="22.5" customHeight="1">
      <c r="A886" s="7"/>
      <c r="B886" s="7"/>
      <c r="C886" s="7"/>
      <c r="D886" s="7"/>
      <c r="E886" s="7"/>
      <c r="F886" s="7"/>
      <c r="G886" s="7"/>
      <c r="H886" s="2"/>
      <c r="I886" s="62"/>
      <c r="J886" s="7"/>
      <c r="K886" s="2"/>
      <c r="L886" s="2"/>
      <c r="M886" s="2"/>
      <c r="N886" s="2"/>
      <c r="O886" s="2"/>
      <c r="P886" s="2"/>
      <c r="Q886" s="2"/>
      <c r="R886" s="2"/>
      <c r="S886" s="2"/>
      <c r="T886" s="2"/>
      <c r="U886" s="2"/>
      <c r="V886" s="2"/>
      <c r="W886" s="2"/>
      <c r="X886" s="2"/>
      <c r="Y886" s="2"/>
      <c r="Z886" s="2"/>
    </row>
    <row r="887" ht="22.5" customHeight="1">
      <c r="A887" s="7"/>
      <c r="B887" s="7"/>
      <c r="C887" s="7"/>
      <c r="D887" s="7"/>
      <c r="E887" s="7"/>
      <c r="F887" s="7"/>
      <c r="G887" s="7"/>
      <c r="H887" s="2"/>
      <c r="I887" s="62"/>
      <c r="J887" s="7"/>
      <c r="K887" s="2"/>
      <c r="L887" s="2"/>
      <c r="M887" s="2"/>
      <c r="N887" s="2"/>
      <c r="O887" s="2"/>
      <c r="P887" s="2"/>
      <c r="Q887" s="2"/>
      <c r="R887" s="2"/>
      <c r="S887" s="2"/>
      <c r="T887" s="2"/>
      <c r="U887" s="2"/>
      <c r="V887" s="2"/>
      <c r="W887" s="2"/>
      <c r="X887" s="2"/>
      <c r="Y887" s="2"/>
      <c r="Z887" s="2"/>
    </row>
    <row r="888" ht="22.5" customHeight="1">
      <c r="A888" s="7"/>
      <c r="B888" s="7"/>
      <c r="C888" s="7"/>
      <c r="D888" s="7"/>
      <c r="E888" s="7"/>
      <c r="F888" s="7"/>
      <c r="G888" s="7"/>
      <c r="H888" s="2"/>
      <c r="I888" s="62"/>
      <c r="J888" s="7"/>
      <c r="K888" s="2"/>
      <c r="L888" s="2"/>
      <c r="M888" s="2"/>
      <c r="N888" s="2"/>
      <c r="O888" s="2"/>
      <c r="P888" s="2"/>
      <c r="Q888" s="2"/>
      <c r="R888" s="2"/>
      <c r="S888" s="2"/>
      <c r="T888" s="2"/>
      <c r="U888" s="2"/>
      <c r="V888" s="2"/>
      <c r="W888" s="2"/>
      <c r="X888" s="2"/>
      <c r="Y888" s="2"/>
      <c r="Z888" s="2"/>
    </row>
    <row r="889" ht="22.5" customHeight="1">
      <c r="A889" s="7"/>
      <c r="B889" s="7"/>
      <c r="C889" s="7"/>
      <c r="D889" s="7"/>
      <c r="E889" s="7"/>
      <c r="F889" s="7"/>
      <c r="G889" s="7"/>
      <c r="H889" s="2"/>
      <c r="I889" s="62"/>
      <c r="J889" s="7"/>
      <c r="K889" s="2"/>
      <c r="L889" s="2"/>
      <c r="M889" s="2"/>
      <c r="N889" s="2"/>
      <c r="O889" s="2"/>
      <c r="P889" s="2"/>
      <c r="Q889" s="2"/>
      <c r="R889" s="2"/>
      <c r="S889" s="2"/>
      <c r="T889" s="2"/>
      <c r="U889" s="2"/>
      <c r="V889" s="2"/>
      <c r="W889" s="2"/>
      <c r="X889" s="2"/>
      <c r="Y889" s="2"/>
      <c r="Z889" s="2"/>
    </row>
    <row r="890" ht="22.5" customHeight="1">
      <c r="A890" s="7"/>
      <c r="B890" s="7"/>
      <c r="C890" s="7"/>
      <c r="D890" s="7"/>
      <c r="E890" s="7"/>
      <c r="F890" s="7"/>
      <c r="G890" s="7"/>
      <c r="H890" s="2"/>
      <c r="I890" s="62"/>
      <c r="J890" s="7"/>
      <c r="K890" s="2"/>
      <c r="L890" s="2"/>
      <c r="M890" s="2"/>
      <c r="N890" s="2"/>
      <c r="O890" s="2"/>
      <c r="P890" s="2"/>
      <c r="Q890" s="2"/>
      <c r="R890" s="2"/>
      <c r="S890" s="2"/>
      <c r="T890" s="2"/>
      <c r="U890" s="2"/>
      <c r="V890" s="2"/>
      <c r="W890" s="2"/>
      <c r="X890" s="2"/>
      <c r="Y890" s="2"/>
      <c r="Z890" s="2"/>
    </row>
    <row r="891" ht="22.5" customHeight="1">
      <c r="A891" s="7"/>
      <c r="B891" s="7"/>
      <c r="C891" s="7"/>
      <c r="D891" s="7"/>
      <c r="E891" s="7"/>
      <c r="F891" s="7"/>
      <c r="G891" s="7"/>
      <c r="H891" s="2"/>
      <c r="I891" s="62"/>
      <c r="J891" s="7"/>
      <c r="K891" s="2"/>
      <c r="L891" s="2"/>
      <c r="M891" s="2"/>
      <c r="N891" s="2"/>
      <c r="O891" s="2"/>
      <c r="P891" s="2"/>
      <c r="Q891" s="2"/>
      <c r="R891" s="2"/>
      <c r="S891" s="2"/>
      <c r="T891" s="2"/>
      <c r="U891" s="2"/>
      <c r="V891" s="2"/>
      <c r="W891" s="2"/>
      <c r="X891" s="2"/>
      <c r="Y891" s="2"/>
      <c r="Z891" s="2"/>
    </row>
    <row r="892" ht="22.5" customHeight="1">
      <c r="A892" s="7"/>
      <c r="B892" s="7"/>
      <c r="C892" s="7"/>
      <c r="D892" s="7"/>
      <c r="E892" s="7"/>
      <c r="F892" s="7"/>
      <c r="G892" s="7"/>
      <c r="H892" s="2"/>
      <c r="I892" s="62"/>
      <c r="J892" s="7"/>
      <c r="K892" s="2"/>
      <c r="L892" s="2"/>
      <c r="M892" s="2"/>
      <c r="N892" s="2"/>
      <c r="O892" s="2"/>
      <c r="P892" s="2"/>
      <c r="Q892" s="2"/>
      <c r="R892" s="2"/>
      <c r="S892" s="2"/>
      <c r="T892" s="2"/>
      <c r="U892" s="2"/>
      <c r="V892" s="2"/>
      <c r="W892" s="2"/>
      <c r="X892" s="2"/>
      <c r="Y892" s="2"/>
      <c r="Z892" s="2"/>
    </row>
    <row r="893" ht="22.5" customHeight="1">
      <c r="A893" s="7"/>
      <c r="B893" s="7"/>
      <c r="C893" s="7"/>
      <c r="D893" s="7"/>
      <c r="E893" s="7"/>
      <c r="F893" s="7"/>
      <c r="G893" s="7"/>
      <c r="H893" s="2"/>
      <c r="I893" s="62"/>
      <c r="J893" s="7"/>
      <c r="K893" s="2"/>
      <c r="L893" s="2"/>
      <c r="M893" s="2"/>
      <c r="N893" s="2"/>
      <c r="O893" s="2"/>
      <c r="P893" s="2"/>
      <c r="Q893" s="2"/>
      <c r="R893" s="2"/>
      <c r="S893" s="2"/>
      <c r="T893" s="2"/>
      <c r="U893" s="2"/>
      <c r="V893" s="2"/>
      <c r="W893" s="2"/>
      <c r="X893" s="2"/>
      <c r="Y893" s="2"/>
      <c r="Z893" s="2"/>
    </row>
    <row r="894" ht="22.5" customHeight="1">
      <c r="A894" s="7"/>
      <c r="B894" s="7"/>
      <c r="C894" s="7"/>
      <c r="D894" s="7"/>
      <c r="E894" s="7"/>
      <c r="F894" s="7"/>
      <c r="G894" s="7"/>
      <c r="H894" s="2"/>
      <c r="I894" s="62"/>
      <c r="J894" s="7"/>
      <c r="K894" s="2"/>
      <c r="L894" s="2"/>
      <c r="M894" s="2"/>
      <c r="N894" s="2"/>
      <c r="O894" s="2"/>
      <c r="P894" s="2"/>
      <c r="Q894" s="2"/>
      <c r="R894" s="2"/>
      <c r="S894" s="2"/>
      <c r="T894" s="2"/>
      <c r="U894" s="2"/>
      <c r="V894" s="2"/>
      <c r="W894" s="2"/>
      <c r="X894" s="2"/>
      <c r="Y894" s="2"/>
      <c r="Z894" s="2"/>
    </row>
    <row r="895" ht="22.5" customHeight="1">
      <c r="A895" s="7"/>
      <c r="B895" s="7"/>
      <c r="C895" s="7"/>
      <c r="D895" s="7"/>
      <c r="E895" s="7"/>
      <c r="F895" s="7"/>
      <c r="G895" s="7"/>
      <c r="H895" s="2"/>
      <c r="I895" s="62"/>
      <c r="J895" s="7"/>
      <c r="K895" s="2"/>
      <c r="L895" s="2"/>
      <c r="M895" s="2"/>
      <c r="N895" s="2"/>
      <c r="O895" s="2"/>
      <c r="P895" s="2"/>
      <c r="Q895" s="2"/>
      <c r="R895" s="2"/>
      <c r="S895" s="2"/>
      <c r="T895" s="2"/>
      <c r="U895" s="2"/>
      <c r="V895" s="2"/>
      <c r="W895" s="2"/>
      <c r="X895" s="2"/>
      <c r="Y895" s="2"/>
      <c r="Z895" s="2"/>
    </row>
    <row r="896" ht="22.5" customHeight="1">
      <c r="A896" s="7"/>
      <c r="B896" s="7"/>
      <c r="C896" s="7"/>
      <c r="D896" s="7"/>
      <c r="E896" s="7"/>
      <c r="F896" s="7"/>
      <c r="G896" s="7"/>
      <c r="H896" s="2"/>
      <c r="I896" s="62"/>
      <c r="J896" s="7"/>
      <c r="K896" s="2"/>
      <c r="L896" s="2"/>
      <c r="M896" s="2"/>
      <c r="N896" s="2"/>
      <c r="O896" s="2"/>
      <c r="P896" s="2"/>
      <c r="Q896" s="2"/>
      <c r="R896" s="2"/>
      <c r="S896" s="2"/>
      <c r="T896" s="2"/>
      <c r="U896" s="2"/>
      <c r="V896" s="2"/>
      <c r="W896" s="2"/>
      <c r="X896" s="2"/>
      <c r="Y896" s="2"/>
      <c r="Z896" s="2"/>
    </row>
    <row r="897" ht="22.5" customHeight="1">
      <c r="A897" s="7"/>
      <c r="B897" s="7"/>
      <c r="C897" s="7"/>
      <c r="D897" s="7"/>
      <c r="E897" s="7"/>
      <c r="F897" s="7"/>
      <c r="G897" s="7"/>
      <c r="H897" s="2"/>
      <c r="I897" s="62"/>
      <c r="J897" s="7"/>
      <c r="K897" s="2"/>
      <c r="L897" s="2"/>
      <c r="M897" s="2"/>
      <c r="N897" s="2"/>
      <c r="O897" s="2"/>
      <c r="P897" s="2"/>
      <c r="Q897" s="2"/>
      <c r="R897" s="2"/>
      <c r="S897" s="2"/>
      <c r="T897" s="2"/>
      <c r="U897" s="2"/>
      <c r="V897" s="2"/>
      <c r="W897" s="2"/>
      <c r="X897" s="2"/>
      <c r="Y897" s="2"/>
      <c r="Z897" s="2"/>
    </row>
    <row r="898" ht="22.5" customHeight="1">
      <c r="A898" s="7"/>
      <c r="B898" s="7"/>
      <c r="C898" s="7"/>
      <c r="D898" s="7"/>
      <c r="E898" s="7"/>
      <c r="F898" s="7"/>
      <c r="G898" s="7"/>
      <c r="H898" s="2"/>
      <c r="I898" s="62"/>
      <c r="J898" s="7"/>
      <c r="K898" s="2"/>
      <c r="L898" s="2"/>
      <c r="M898" s="2"/>
      <c r="N898" s="2"/>
      <c r="O898" s="2"/>
      <c r="P898" s="2"/>
      <c r="Q898" s="2"/>
      <c r="R898" s="2"/>
      <c r="S898" s="2"/>
      <c r="T898" s="2"/>
      <c r="U898" s="2"/>
      <c r="V898" s="2"/>
      <c r="W898" s="2"/>
      <c r="X898" s="2"/>
      <c r="Y898" s="2"/>
      <c r="Z898" s="2"/>
    </row>
    <row r="899" ht="22.5" customHeight="1">
      <c r="A899" s="7"/>
      <c r="B899" s="7"/>
      <c r="C899" s="7"/>
      <c r="D899" s="7"/>
      <c r="E899" s="7"/>
      <c r="F899" s="7"/>
      <c r="G899" s="7"/>
      <c r="H899" s="2"/>
      <c r="I899" s="62"/>
      <c r="J899" s="7"/>
      <c r="K899" s="2"/>
      <c r="L899" s="2"/>
      <c r="M899" s="2"/>
      <c r="N899" s="2"/>
      <c r="O899" s="2"/>
      <c r="P899" s="2"/>
      <c r="Q899" s="2"/>
      <c r="R899" s="2"/>
      <c r="S899" s="2"/>
      <c r="T899" s="2"/>
      <c r="U899" s="2"/>
      <c r="V899" s="2"/>
      <c r="W899" s="2"/>
      <c r="X899" s="2"/>
      <c r="Y899" s="2"/>
      <c r="Z899" s="2"/>
    </row>
    <row r="900" ht="22.5" customHeight="1">
      <c r="A900" s="7"/>
      <c r="B900" s="7"/>
      <c r="C900" s="7"/>
      <c r="D900" s="7"/>
      <c r="E900" s="7"/>
      <c r="F900" s="7"/>
      <c r="G900" s="7"/>
      <c r="H900" s="2"/>
      <c r="I900" s="62"/>
      <c r="J900" s="7"/>
      <c r="K900" s="2"/>
      <c r="L900" s="2"/>
      <c r="M900" s="2"/>
      <c r="N900" s="2"/>
      <c r="O900" s="2"/>
      <c r="P900" s="2"/>
      <c r="Q900" s="2"/>
      <c r="R900" s="2"/>
      <c r="S900" s="2"/>
      <c r="T900" s="2"/>
      <c r="U900" s="2"/>
      <c r="V900" s="2"/>
      <c r="W900" s="2"/>
      <c r="X900" s="2"/>
      <c r="Y900" s="2"/>
      <c r="Z900" s="2"/>
    </row>
    <row r="901" ht="22.5" customHeight="1">
      <c r="A901" s="7"/>
      <c r="B901" s="7"/>
      <c r="C901" s="7"/>
      <c r="D901" s="7"/>
      <c r="E901" s="7"/>
      <c r="F901" s="7"/>
      <c r="G901" s="7"/>
      <c r="H901" s="2"/>
      <c r="I901" s="62"/>
      <c r="J901" s="7"/>
      <c r="K901" s="2"/>
      <c r="L901" s="2"/>
      <c r="M901" s="2"/>
      <c r="N901" s="2"/>
      <c r="O901" s="2"/>
      <c r="P901" s="2"/>
      <c r="Q901" s="2"/>
      <c r="R901" s="2"/>
      <c r="S901" s="2"/>
      <c r="T901" s="2"/>
      <c r="U901" s="2"/>
      <c r="V901" s="2"/>
      <c r="W901" s="2"/>
      <c r="X901" s="2"/>
      <c r="Y901" s="2"/>
      <c r="Z901" s="2"/>
    </row>
    <row r="902" ht="22.5" customHeight="1">
      <c r="A902" s="7"/>
      <c r="B902" s="7"/>
      <c r="C902" s="7"/>
      <c r="D902" s="7"/>
      <c r="E902" s="7"/>
      <c r="F902" s="7"/>
      <c r="G902" s="7"/>
      <c r="H902" s="2"/>
      <c r="I902" s="62"/>
      <c r="J902" s="7"/>
      <c r="K902" s="2"/>
      <c r="L902" s="2"/>
      <c r="M902" s="2"/>
      <c r="N902" s="2"/>
      <c r="O902" s="2"/>
      <c r="P902" s="2"/>
      <c r="Q902" s="2"/>
      <c r="R902" s="2"/>
      <c r="S902" s="2"/>
      <c r="T902" s="2"/>
      <c r="U902" s="2"/>
      <c r="V902" s="2"/>
      <c r="W902" s="2"/>
      <c r="X902" s="2"/>
      <c r="Y902" s="2"/>
      <c r="Z902" s="2"/>
    </row>
    <row r="903" ht="22.5" customHeight="1">
      <c r="A903" s="7"/>
      <c r="B903" s="7"/>
      <c r="C903" s="7"/>
      <c r="D903" s="7"/>
      <c r="E903" s="7"/>
      <c r="F903" s="7"/>
      <c r="G903" s="7"/>
      <c r="H903" s="2"/>
      <c r="I903" s="62"/>
      <c r="J903" s="7"/>
      <c r="K903" s="2"/>
      <c r="L903" s="2"/>
      <c r="M903" s="2"/>
      <c r="N903" s="2"/>
      <c r="O903" s="2"/>
      <c r="P903" s="2"/>
      <c r="Q903" s="2"/>
      <c r="R903" s="2"/>
      <c r="S903" s="2"/>
      <c r="T903" s="2"/>
      <c r="U903" s="2"/>
      <c r="V903" s="2"/>
      <c r="W903" s="2"/>
      <c r="X903" s="2"/>
      <c r="Y903" s="2"/>
      <c r="Z903" s="2"/>
    </row>
    <row r="904" ht="22.5" customHeight="1">
      <c r="A904" s="7"/>
      <c r="B904" s="7"/>
      <c r="C904" s="7"/>
      <c r="D904" s="7"/>
      <c r="E904" s="7"/>
      <c r="F904" s="7"/>
      <c r="G904" s="7"/>
      <c r="H904" s="2"/>
      <c r="I904" s="62"/>
      <c r="J904" s="7"/>
      <c r="K904" s="2"/>
      <c r="L904" s="2"/>
      <c r="M904" s="2"/>
      <c r="N904" s="2"/>
      <c r="O904" s="2"/>
      <c r="P904" s="2"/>
      <c r="Q904" s="2"/>
      <c r="R904" s="2"/>
      <c r="S904" s="2"/>
      <c r="T904" s="2"/>
      <c r="U904" s="2"/>
      <c r="V904" s="2"/>
      <c r="W904" s="2"/>
      <c r="X904" s="2"/>
      <c r="Y904" s="2"/>
      <c r="Z904" s="2"/>
    </row>
    <row r="905" ht="22.5" customHeight="1">
      <c r="A905" s="7"/>
      <c r="B905" s="7"/>
      <c r="C905" s="7"/>
      <c r="D905" s="7"/>
      <c r="E905" s="7"/>
      <c r="F905" s="7"/>
      <c r="G905" s="7"/>
      <c r="H905" s="2"/>
      <c r="I905" s="62"/>
      <c r="J905" s="7"/>
      <c r="K905" s="2"/>
      <c r="L905" s="2"/>
      <c r="M905" s="2"/>
      <c r="N905" s="2"/>
      <c r="O905" s="2"/>
      <c r="P905" s="2"/>
      <c r="Q905" s="2"/>
      <c r="R905" s="2"/>
      <c r="S905" s="2"/>
      <c r="T905" s="2"/>
      <c r="U905" s="2"/>
      <c r="V905" s="2"/>
      <c r="W905" s="2"/>
      <c r="X905" s="2"/>
      <c r="Y905" s="2"/>
      <c r="Z905" s="2"/>
    </row>
    <row r="906" ht="22.5" customHeight="1">
      <c r="A906" s="7"/>
      <c r="B906" s="7"/>
      <c r="C906" s="7"/>
      <c r="D906" s="7"/>
      <c r="E906" s="7"/>
      <c r="F906" s="7"/>
      <c r="G906" s="7"/>
      <c r="H906" s="2"/>
      <c r="I906" s="62"/>
      <c r="J906" s="7"/>
      <c r="K906" s="2"/>
      <c r="L906" s="2"/>
      <c r="M906" s="2"/>
      <c r="N906" s="2"/>
      <c r="O906" s="2"/>
      <c r="P906" s="2"/>
      <c r="Q906" s="2"/>
      <c r="R906" s="2"/>
      <c r="S906" s="2"/>
      <c r="T906" s="2"/>
      <c r="U906" s="2"/>
      <c r="V906" s="2"/>
      <c r="W906" s="2"/>
      <c r="X906" s="2"/>
      <c r="Y906" s="2"/>
      <c r="Z906" s="2"/>
    </row>
    <row r="907" ht="22.5" customHeight="1">
      <c r="A907" s="7"/>
      <c r="B907" s="7"/>
      <c r="C907" s="7"/>
      <c r="D907" s="7"/>
      <c r="E907" s="7"/>
      <c r="F907" s="7"/>
      <c r="G907" s="7"/>
      <c r="H907" s="2"/>
      <c r="I907" s="62"/>
      <c r="J907" s="7"/>
      <c r="K907" s="2"/>
      <c r="L907" s="2"/>
      <c r="M907" s="2"/>
      <c r="N907" s="2"/>
      <c r="O907" s="2"/>
      <c r="P907" s="2"/>
      <c r="Q907" s="2"/>
      <c r="R907" s="2"/>
      <c r="S907" s="2"/>
      <c r="T907" s="2"/>
      <c r="U907" s="2"/>
      <c r="V907" s="2"/>
      <c r="W907" s="2"/>
      <c r="X907" s="2"/>
      <c r="Y907" s="2"/>
      <c r="Z907" s="2"/>
    </row>
    <row r="908" ht="22.5" customHeight="1">
      <c r="A908" s="7"/>
      <c r="B908" s="7"/>
      <c r="C908" s="7"/>
      <c r="D908" s="7"/>
      <c r="E908" s="7"/>
      <c r="F908" s="7"/>
      <c r="G908" s="7"/>
      <c r="H908" s="2"/>
      <c r="I908" s="62"/>
      <c r="J908" s="7"/>
      <c r="K908" s="2"/>
      <c r="L908" s="2"/>
      <c r="M908" s="2"/>
      <c r="N908" s="2"/>
      <c r="O908" s="2"/>
      <c r="P908" s="2"/>
      <c r="Q908" s="2"/>
      <c r="R908" s="2"/>
      <c r="S908" s="2"/>
      <c r="T908" s="2"/>
      <c r="U908" s="2"/>
      <c r="V908" s="2"/>
      <c r="W908" s="2"/>
      <c r="X908" s="2"/>
      <c r="Y908" s="2"/>
      <c r="Z908" s="2"/>
    </row>
    <row r="909" ht="22.5" customHeight="1">
      <c r="A909" s="7"/>
      <c r="B909" s="7"/>
      <c r="C909" s="7"/>
      <c r="D909" s="7"/>
      <c r="E909" s="7"/>
      <c r="F909" s="7"/>
      <c r="G909" s="7"/>
      <c r="H909" s="2"/>
      <c r="I909" s="62"/>
      <c r="J909" s="7"/>
      <c r="K909" s="2"/>
      <c r="L909" s="2"/>
      <c r="M909" s="2"/>
      <c r="N909" s="2"/>
      <c r="O909" s="2"/>
      <c r="P909" s="2"/>
      <c r="Q909" s="2"/>
      <c r="R909" s="2"/>
      <c r="S909" s="2"/>
      <c r="T909" s="2"/>
      <c r="U909" s="2"/>
      <c r="V909" s="2"/>
      <c r="W909" s="2"/>
      <c r="X909" s="2"/>
      <c r="Y909" s="2"/>
      <c r="Z909" s="2"/>
    </row>
    <row r="910" ht="22.5" customHeight="1">
      <c r="A910" s="7"/>
      <c r="B910" s="7"/>
      <c r="C910" s="7"/>
      <c r="D910" s="7"/>
      <c r="E910" s="7"/>
      <c r="F910" s="7"/>
      <c r="G910" s="7"/>
      <c r="H910" s="2"/>
      <c r="I910" s="62"/>
      <c r="J910" s="7"/>
      <c r="K910" s="2"/>
      <c r="L910" s="2"/>
      <c r="M910" s="2"/>
      <c r="N910" s="2"/>
      <c r="O910" s="2"/>
      <c r="P910" s="2"/>
      <c r="Q910" s="2"/>
      <c r="R910" s="2"/>
      <c r="S910" s="2"/>
      <c r="T910" s="2"/>
      <c r="U910" s="2"/>
      <c r="V910" s="2"/>
      <c r="W910" s="2"/>
      <c r="X910" s="2"/>
      <c r="Y910" s="2"/>
      <c r="Z910" s="2"/>
    </row>
    <row r="911" ht="22.5" customHeight="1">
      <c r="A911" s="7"/>
      <c r="B911" s="7"/>
      <c r="C911" s="7"/>
      <c r="D911" s="7"/>
      <c r="E911" s="7"/>
      <c r="F911" s="7"/>
      <c r="G911" s="7"/>
      <c r="H911" s="2"/>
      <c r="I911" s="62"/>
      <c r="J911" s="7"/>
      <c r="K911" s="2"/>
      <c r="L911" s="2"/>
      <c r="M911" s="2"/>
      <c r="N911" s="2"/>
      <c r="O911" s="2"/>
      <c r="P911" s="2"/>
      <c r="Q911" s="2"/>
      <c r="R911" s="2"/>
      <c r="S911" s="2"/>
      <c r="T911" s="2"/>
      <c r="U911" s="2"/>
      <c r="V911" s="2"/>
      <c r="W911" s="2"/>
      <c r="X911" s="2"/>
      <c r="Y911" s="2"/>
      <c r="Z911" s="2"/>
    </row>
    <row r="912" ht="22.5" customHeight="1">
      <c r="A912" s="7"/>
      <c r="B912" s="7"/>
      <c r="C912" s="7"/>
      <c r="D912" s="7"/>
      <c r="E912" s="7"/>
      <c r="F912" s="7"/>
      <c r="G912" s="7"/>
      <c r="H912" s="2"/>
      <c r="I912" s="62"/>
      <c r="J912" s="7"/>
      <c r="K912" s="2"/>
      <c r="L912" s="2"/>
      <c r="M912" s="2"/>
      <c r="N912" s="2"/>
      <c r="O912" s="2"/>
      <c r="P912" s="2"/>
      <c r="Q912" s="2"/>
      <c r="R912" s="2"/>
      <c r="S912" s="2"/>
      <c r="T912" s="2"/>
      <c r="U912" s="2"/>
      <c r="V912" s="2"/>
      <c r="W912" s="2"/>
      <c r="X912" s="2"/>
      <c r="Y912" s="2"/>
      <c r="Z912" s="2"/>
    </row>
    <row r="913" ht="22.5" customHeight="1">
      <c r="A913" s="7"/>
      <c r="B913" s="7"/>
      <c r="C913" s="7"/>
      <c r="D913" s="7"/>
      <c r="E913" s="7"/>
      <c r="F913" s="7"/>
      <c r="G913" s="7"/>
      <c r="H913" s="2"/>
      <c r="I913" s="62"/>
      <c r="J913" s="7"/>
      <c r="K913" s="2"/>
      <c r="L913" s="2"/>
      <c r="M913" s="2"/>
      <c r="N913" s="2"/>
      <c r="O913" s="2"/>
      <c r="P913" s="2"/>
      <c r="Q913" s="2"/>
      <c r="R913" s="2"/>
      <c r="S913" s="2"/>
      <c r="T913" s="2"/>
      <c r="U913" s="2"/>
      <c r="V913" s="2"/>
      <c r="W913" s="2"/>
      <c r="X913" s="2"/>
      <c r="Y913" s="2"/>
      <c r="Z913" s="2"/>
    </row>
    <row r="914" ht="22.5" customHeight="1">
      <c r="A914" s="7"/>
      <c r="B914" s="7"/>
      <c r="C914" s="7"/>
      <c r="D914" s="7"/>
      <c r="E914" s="7"/>
      <c r="F914" s="7"/>
      <c r="G914" s="7"/>
      <c r="H914" s="2"/>
      <c r="I914" s="62"/>
      <c r="J914" s="7"/>
      <c r="K914" s="2"/>
      <c r="L914" s="2"/>
      <c r="M914" s="2"/>
      <c r="N914" s="2"/>
      <c r="O914" s="2"/>
      <c r="P914" s="2"/>
      <c r="Q914" s="2"/>
      <c r="R914" s="2"/>
      <c r="S914" s="2"/>
      <c r="T914" s="2"/>
      <c r="U914" s="2"/>
      <c r="V914" s="2"/>
      <c r="W914" s="2"/>
      <c r="X914" s="2"/>
      <c r="Y914" s="2"/>
      <c r="Z914" s="2"/>
    </row>
    <row r="915" ht="22.5" customHeight="1">
      <c r="A915" s="7"/>
      <c r="B915" s="7"/>
      <c r="C915" s="7"/>
      <c r="D915" s="7"/>
      <c r="E915" s="7"/>
      <c r="F915" s="7"/>
      <c r="G915" s="7"/>
      <c r="H915" s="2"/>
      <c r="I915" s="62"/>
      <c r="J915" s="7"/>
      <c r="K915" s="2"/>
      <c r="L915" s="2"/>
      <c r="M915" s="2"/>
      <c r="N915" s="2"/>
      <c r="O915" s="2"/>
      <c r="P915" s="2"/>
      <c r="Q915" s="2"/>
      <c r="R915" s="2"/>
      <c r="S915" s="2"/>
      <c r="T915" s="2"/>
      <c r="U915" s="2"/>
      <c r="V915" s="2"/>
      <c r="W915" s="2"/>
      <c r="X915" s="2"/>
      <c r="Y915" s="2"/>
      <c r="Z915" s="2"/>
    </row>
    <row r="916" ht="22.5" customHeight="1">
      <c r="A916" s="7"/>
      <c r="B916" s="7"/>
      <c r="C916" s="7"/>
      <c r="D916" s="7"/>
      <c r="E916" s="7"/>
      <c r="F916" s="7"/>
      <c r="G916" s="7"/>
      <c r="H916" s="2"/>
      <c r="I916" s="62"/>
      <c r="J916" s="7"/>
      <c r="K916" s="2"/>
      <c r="L916" s="2"/>
      <c r="M916" s="2"/>
      <c r="N916" s="2"/>
      <c r="O916" s="2"/>
      <c r="P916" s="2"/>
      <c r="Q916" s="2"/>
      <c r="R916" s="2"/>
      <c r="S916" s="2"/>
      <c r="T916" s="2"/>
      <c r="U916" s="2"/>
      <c r="V916" s="2"/>
      <c r="W916" s="2"/>
      <c r="X916" s="2"/>
      <c r="Y916" s="2"/>
      <c r="Z916" s="2"/>
    </row>
    <row r="917" ht="22.5" customHeight="1">
      <c r="A917" s="7"/>
      <c r="B917" s="7"/>
      <c r="C917" s="7"/>
      <c r="D917" s="7"/>
      <c r="E917" s="7"/>
      <c r="F917" s="7"/>
      <c r="G917" s="7"/>
      <c r="H917" s="2"/>
      <c r="I917" s="62"/>
      <c r="J917" s="7"/>
      <c r="K917" s="2"/>
      <c r="L917" s="2"/>
      <c r="M917" s="2"/>
      <c r="N917" s="2"/>
      <c r="O917" s="2"/>
      <c r="P917" s="2"/>
      <c r="Q917" s="2"/>
      <c r="R917" s="2"/>
      <c r="S917" s="2"/>
      <c r="T917" s="2"/>
      <c r="U917" s="2"/>
      <c r="V917" s="2"/>
      <c r="W917" s="2"/>
      <c r="X917" s="2"/>
      <c r="Y917" s="2"/>
      <c r="Z917" s="2"/>
    </row>
    <row r="918" ht="22.5" customHeight="1">
      <c r="A918" s="7"/>
      <c r="B918" s="7"/>
      <c r="C918" s="7"/>
      <c r="D918" s="7"/>
      <c r="E918" s="7"/>
      <c r="F918" s="7"/>
      <c r="G918" s="7"/>
      <c r="H918" s="2"/>
      <c r="I918" s="62"/>
      <c r="J918" s="7"/>
      <c r="K918" s="2"/>
      <c r="L918" s="2"/>
      <c r="M918" s="2"/>
      <c r="N918" s="2"/>
      <c r="O918" s="2"/>
      <c r="P918" s="2"/>
      <c r="Q918" s="2"/>
      <c r="R918" s="2"/>
      <c r="S918" s="2"/>
      <c r="T918" s="2"/>
      <c r="U918" s="2"/>
      <c r="V918" s="2"/>
      <c r="W918" s="2"/>
      <c r="X918" s="2"/>
      <c r="Y918" s="2"/>
      <c r="Z918" s="2"/>
    </row>
    <row r="919" ht="22.5" customHeight="1">
      <c r="A919" s="7"/>
      <c r="B919" s="7"/>
      <c r="C919" s="7"/>
      <c r="D919" s="7"/>
      <c r="E919" s="7"/>
      <c r="F919" s="7"/>
      <c r="G919" s="7"/>
      <c r="H919" s="2"/>
      <c r="I919" s="62"/>
      <c r="J919" s="7"/>
      <c r="K919" s="2"/>
      <c r="L919" s="2"/>
      <c r="M919" s="2"/>
      <c r="N919" s="2"/>
      <c r="O919" s="2"/>
      <c r="P919" s="2"/>
      <c r="Q919" s="2"/>
      <c r="R919" s="2"/>
      <c r="S919" s="2"/>
      <c r="T919" s="2"/>
      <c r="U919" s="2"/>
      <c r="V919" s="2"/>
      <c r="W919" s="2"/>
      <c r="X919" s="2"/>
      <c r="Y919" s="2"/>
      <c r="Z919" s="2"/>
    </row>
    <row r="920" ht="22.5" customHeight="1">
      <c r="A920" s="7"/>
      <c r="B920" s="7"/>
      <c r="C920" s="7"/>
      <c r="D920" s="7"/>
      <c r="E920" s="7"/>
      <c r="F920" s="7"/>
      <c r="G920" s="7"/>
      <c r="H920" s="2"/>
      <c r="I920" s="62"/>
      <c r="J920" s="7"/>
      <c r="K920" s="2"/>
      <c r="L920" s="2"/>
      <c r="M920" s="2"/>
      <c r="N920" s="2"/>
      <c r="O920" s="2"/>
      <c r="P920" s="2"/>
      <c r="Q920" s="2"/>
      <c r="R920" s="2"/>
      <c r="S920" s="2"/>
      <c r="T920" s="2"/>
      <c r="U920" s="2"/>
      <c r="V920" s="2"/>
      <c r="W920" s="2"/>
      <c r="X920" s="2"/>
      <c r="Y920" s="2"/>
      <c r="Z920" s="2"/>
    </row>
    <row r="921" ht="22.5" customHeight="1">
      <c r="A921" s="7"/>
      <c r="B921" s="7"/>
      <c r="C921" s="7"/>
      <c r="D921" s="7"/>
      <c r="E921" s="7"/>
      <c r="F921" s="7"/>
      <c r="G921" s="7"/>
      <c r="H921" s="2"/>
      <c r="I921" s="62"/>
      <c r="J921" s="7"/>
      <c r="K921" s="2"/>
      <c r="L921" s="2"/>
      <c r="M921" s="2"/>
      <c r="N921" s="2"/>
      <c r="O921" s="2"/>
      <c r="P921" s="2"/>
      <c r="Q921" s="2"/>
      <c r="R921" s="2"/>
      <c r="S921" s="2"/>
      <c r="T921" s="2"/>
      <c r="U921" s="2"/>
      <c r="V921" s="2"/>
      <c r="W921" s="2"/>
      <c r="X921" s="2"/>
      <c r="Y921" s="2"/>
      <c r="Z921" s="2"/>
    </row>
    <row r="922" ht="22.5" customHeight="1">
      <c r="A922" s="7"/>
      <c r="B922" s="7"/>
      <c r="C922" s="7"/>
      <c r="D922" s="7"/>
      <c r="E922" s="7"/>
      <c r="F922" s="7"/>
      <c r="G922" s="7"/>
      <c r="H922" s="2"/>
      <c r="I922" s="62"/>
      <c r="J922" s="7"/>
      <c r="K922" s="2"/>
      <c r="L922" s="2"/>
      <c r="M922" s="2"/>
      <c r="N922" s="2"/>
      <c r="O922" s="2"/>
      <c r="P922" s="2"/>
      <c r="Q922" s="2"/>
      <c r="R922" s="2"/>
      <c r="S922" s="2"/>
      <c r="T922" s="2"/>
      <c r="U922" s="2"/>
      <c r="V922" s="2"/>
      <c r="W922" s="2"/>
      <c r="X922" s="2"/>
      <c r="Y922" s="2"/>
      <c r="Z922" s="2"/>
    </row>
    <row r="923" ht="22.5" customHeight="1">
      <c r="A923" s="7"/>
      <c r="B923" s="7"/>
      <c r="C923" s="7"/>
      <c r="D923" s="7"/>
      <c r="E923" s="7"/>
      <c r="F923" s="7"/>
      <c r="G923" s="7"/>
      <c r="H923" s="2"/>
      <c r="I923" s="62"/>
      <c r="J923" s="7"/>
      <c r="K923" s="2"/>
      <c r="L923" s="2"/>
      <c r="M923" s="2"/>
      <c r="N923" s="2"/>
      <c r="O923" s="2"/>
      <c r="P923" s="2"/>
      <c r="Q923" s="2"/>
      <c r="R923" s="2"/>
      <c r="S923" s="2"/>
      <c r="T923" s="2"/>
      <c r="U923" s="2"/>
      <c r="V923" s="2"/>
      <c r="W923" s="2"/>
      <c r="X923" s="2"/>
      <c r="Y923" s="2"/>
      <c r="Z923" s="2"/>
    </row>
    <row r="924" ht="22.5" customHeight="1">
      <c r="A924" s="7"/>
      <c r="B924" s="7"/>
      <c r="C924" s="7"/>
      <c r="D924" s="7"/>
      <c r="E924" s="7"/>
      <c r="F924" s="7"/>
      <c r="G924" s="7"/>
      <c r="H924" s="2"/>
      <c r="I924" s="62"/>
      <c r="J924" s="7"/>
      <c r="K924" s="2"/>
      <c r="L924" s="2"/>
      <c r="M924" s="2"/>
      <c r="N924" s="2"/>
      <c r="O924" s="2"/>
      <c r="P924" s="2"/>
      <c r="Q924" s="2"/>
      <c r="R924" s="2"/>
      <c r="S924" s="2"/>
      <c r="T924" s="2"/>
      <c r="U924" s="2"/>
      <c r="V924" s="2"/>
      <c r="W924" s="2"/>
      <c r="X924" s="2"/>
      <c r="Y924" s="2"/>
      <c r="Z924" s="2"/>
    </row>
    <row r="925" ht="22.5" customHeight="1">
      <c r="A925" s="7"/>
      <c r="B925" s="7"/>
      <c r="C925" s="7"/>
      <c r="D925" s="7"/>
      <c r="E925" s="7"/>
      <c r="F925" s="7"/>
      <c r="G925" s="7"/>
      <c r="H925" s="2"/>
      <c r="I925" s="62"/>
      <c r="J925" s="7"/>
      <c r="K925" s="2"/>
      <c r="L925" s="2"/>
      <c r="M925" s="2"/>
      <c r="N925" s="2"/>
      <c r="O925" s="2"/>
      <c r="P925" s="2"/>
      <c r="Q925" s="2"/>
      <c r="R925" s="2"/>
      <c r="S925" s="2"/>
      <c r="T925" s="2"/>
      <c r="U925" s="2"/>
      <c r="V925" s="2"/>
      <c r="W925" s="2"/>
      <c r="X925" s="2"/>
      <c r="Y925" s="2"/>
      <c r="Z925" s="2"/>
    </row>
    <row r="926" ht="22.5" customHeight="1">
      <c r="A926" s="7"/>
      <c r="B926" s="7"/>
      <c r="C926" s="7"/>
      <c r="D926" s="7"/>
      <c r="E926" s="7"/>
      <c r="F926" s="7"/>
      <c r="G926" s="7"/>
      <c r="H926" s="2"/>
      <c r="I926" s="62"/>
      <c r="J926" s="7"/>
      <c r="K926" s="2"/>
      <c r="L926" s="2"/>
      <c r="M926" s="2"/>
      <c r="N926" s="2"/>
      <c r="O926" s="2"/>
      <c r="P926" s="2"/>
      <c r="Q926" s="2"/>
      <c r="R926" s="2"/>
      <c r="S926" s="2"/>
      <c r="T926" s="2"/>
      <c r="U926" s="2"/>
      <c r="V926" s="2"/>
      <c r="W926" s="2"/>
      <c r="X926" s="2"/>
      <c r="Y926" s="2"/>
      <c r="Z926" s="2"/>
    </row>
    <row r="927" ht="22.5" customHeight="1">
      <c r="A927" s="7"/>
      <c r="B927" s="7"/>
      <c r="C927" s="7"/>
      <c r="D927" s="7"/>
      <c r="E927" s="7"/>
      <c r="F927" s="7"/>
      <c r="G927" s="7"/>
      <c r="H927" s="2"/>
      <c r="I927" s="62"/>
      <c r="J927" s="7"/>
      <c r="K927" s="2"/>
      <c r="L927" s="2"/>
      <c r="M927" s="2"/>
      <c r="N927" s="2"/>
      <c r="O927" s="2"/>
      <c r="P927" s="2"/>
      <c r="Q927" s="2"/>
      <c r="R927" s="2"/>
      <c r="S927" s="2"/>
      <c r="T927" s="2"/>
      <c r="U927" s="2"/>
      <c r="V927" s="2"/>
      <c r="W927" s="2"/>
      <c r="X927" s="2"/>
      <c r="Y927" s="2"/>
      <c r="Z927" s="2"/>
    </row>
    <row r="928" ht="22.5" customHeight="1">
      <c r="A928" s="7"/>
      <c r="B928" s="7"/>
      <c r="C928" s="7"/>
      <c r="D928" s="7"/>
      <c r="E928" s="7"/>
      <c r="F928" s="7"/>
      <c r="G928" s="7"/>
      <c r="H928" s="2"/>
      <c r="I928" s="62"/>
      <c r="J928" s="7"/>
      <c r="K928" s="2"/>
      <c r="L928" s="2"/>
      <c r="M928" s="2"/>
      <c r="N928" s="2"/>
      <c r="O928" s="2"/>
      <c r="P928" s="2"/>
      <c r="Q928" s="2"/>
      <c r="R928" s="2"/>
      <c r="S928" s="2"/>
      <c r="T928" s="2"/>
      <c r="U928" s="2"/>
      <c r="V928" s="2"/>
      <c r="W928" s="2"/>
      <c r="X928" s="2"/>
      <c r="Y928" s="2"/>
      <c r="Z928" s="2"/>
    </row>
    <row r="929" ht="22.5" customHeight="1">
      <c r="A929" s="7"/>
      <c r="B929" s="7"/>
      <c r="C929" s="7"/>
      <c r="D929" s="7"/>
      <c r="E929" s="7"/>
      <c r="F929" s="7"/>
      <c r="G929" s="7"/>
      <c r="H929" s="2"/>
      <c r="I929" s="62"/>
      <c r="J929" s="7"/>
      <c r="K929" s="2"/>
      <c r="L929" s="2"/>
      <c r="M929" s="2"/>
      <c r="N929" s="2"/>
      <c r="O929" s="2"/>
      <c r="P929" s="2"/>
      <c r="Q929" s="2"/>
      <c r="R929" s="2"/>
      <c r="S929" s="2"/>
      <c r="T929" s="2"/>
      <c r="U929" s="2"/>
      <c r="V929" s="2"/>
      <c r="W929" s="2"/>
      <c r="X929" s="2"/>
      <c r="Y929" s="2"/>
      <c r="Z929" s="2"/>
    </row>
    <row r="930" ht="22.5" customHeight="1">
      <c r="A930" s="7"/>
      <c r="B930" s="7"/>
      <c r="C930" s="7"/>
      <c r="D930" s="7"/>
      <c r="E930" s="7"/>
      <c r="F930" s="7"/>
      <c r="G930" s="7"/>
      <c r="H930" s="2"/>
      <c r="I930" s="62"/>
      <c r="J930" s="7"/>
      <c r="K930" s="2"/>
      <c r="L930" s="2"/>
      <c r="M930" s="2"/>
      <c r="N930" s="2"/>
      <c r="O930" s="2"/>
      <c r="P930" s="2"/>
      <c r="Q930" s="2"/>
      <c r="R930" s="2"/>
      <c r="S930" s="2"/>
      <c r="T930" s="2"/>
      <c r="U930" s="2"/>
      <c r="V930" s="2"/>
      <c r="W930" s="2"/>
      <c r="X930" s="2"/>
      <c r="Y930" s="2"/>
      <c r="Z930" s="2"/>
    </row>
    <row r="931" ht="22.5" customHeight="1">
      <c r="A931" s="7"/>
      <c r="B931" s="7"/>
      <c r="C931" s="7"/>
      <c r="D931" s="7"/>
      <c r="E931" s="7"/>
      <c r="F931" s="7"/>
      <c r="G931" s="7"/>
      <c r="H931" s="2"/>
      <c r="I931" s="62"/>
      <c r="J931" s="7"/>
      <c r="K931" s="2"/>
      <c r="L931" s="2"/>
      <c r="M931" s="2"/>
      <c r="N931" s="2"/>
      <c r="O931" s="2"/>
      <c r="P931" s="2"/>
      <c r="Q931" s="2"/>
      <c r="R931" s="2"/>
      <c r="S931" s="2"/>
      <c r="T931" s="2"/>
      <c r="U931" s="2"/>
      <c r="V931" s="2"/>
      <c r="W931" s="2"/>
      <c r="X931" s="2"/>
      <c r="Y931" s="2"/>
      <c r="Z931" s="2"/>
    </row>
    <row r="932" ht="22.5" customHeight="1">
      <c r="A932" s="7"/>
      <c r="B932" s="7"/>
      <c r="C932" s="7"/>
      <c r="D932" s="7"/>
      <c r="E932" s="7"/>
      <c r="F932" s="7"/>
      <c r="G932" s="7"/>
      <c r="H932" s="2"/>
      <c r="I932" s="62"/>
      <c r="J932" s="7"/>
      <c r="K932" s="2"/>
      <c r="L932" s="2"/>
      <c r="M932" s="2"/>
      <c r="N932" s="2"/>
      <c r="O932" s="2"/>
      <c r="P932" s="2"/>
      <c r="Q932" s="2"/>
      <c r="R932" s="2"/>
      <c r="S932" s="2"/>
      <c r="T932" s="2"/>
      <c r="U932" s="2"/>
      <c r="V932" s="2"/>
      <c r="W932" s="2"/>
      <c r="X932" s="2"/>
      <c r="Y932" s="2"/>
      <c r="Z932" s="2"/>
    </row>
    <row r="933" ht="22.5" customHeight="1">
      <c r="A933" s="7"/>
      <c r="B933" s="7"/>
      <c r="C933" s="7"/>
      <c r="D933" s="7"/>
      <c r="E933" s="7"/>
      <c r="F933" s="7"/>
      <c r="G933" s="7"/>
      <c r="H933" s="2"/>
      <c r="I933" s="62"/>
      <c r="J933" s="7"/>
      <c r="K933" s="2"/>
      <c r="L933" s="2"/>
      <c r="M933" s="2"/>
      <c r="N933" s="2"/>
      <c r="O933" s="2"/>
      <c r="P933" s="2"/>
      <c r="Q933" s="2"/>
      <c r="R933" s="2"/>
      <c r="S933" s="2"/>
      <c r="T933" s="2"/>
      <c r="U933" s="2"/>
      <c r="V933" s="2"/>
      <c r="W933" s="2"/>
      <c r="X933" s="2"/>
      <c r="Y933" s="2"/>
      <c r="Z933" s="2"/>
    </row>
    <row r="934" ht="22.5" customHeight="1">
      <c r="A934" s="7"/>
      <c r="B934" s="7"/>
      <c r="C934" s="7"/>
      <c r="D934" s="7"/>
      <c r="E934" s="7"/>
      <c r="F934" s="7"/>
      <c r="G934" s="7"/>
      <c r="H934" s="2"/>
      <c r="I934" s="62"/>
      <c r="J934" s="7"/>
      <c r="K934" s="2"/>
      <c r="L934" s="2"/>
      <c r="M934" s="2"/>
      <c r="N934" s="2"/>
      <c r="O934" s="2"/>
      <c r="P934" s="2"/>
      <c r="Q934" s="2"/>
      <c r="R934" s="2"/>
      <c r="S934" s="2"/>
      <c r="T934" s="2"/>
      <c r="U934" s="2"/>
      <c r="V934" s="2"/>
      <c r="W934" s="2"/>
      <c r="X934" s="2"/>
      <c r="Y934" s="2"/>
      <c r="Z934" s="2"/>
    </row>
    <row r="935" ht="22.5" customHeight="1">
      <c r="A935" s="7"/>
      <c r="B935" s="7"/>
      <c r="C935" s="7"/>
      <c r="D935" s="7"/>
      <c r="E935" s="7"/>
      <c r="F935" s="7"/>
      <c r="G935" s="7"/>
      <c r="H935" s="2"/>
      <c r="I935" s="62"/>
      <c r="J935" s="7"/>
      <c r="K935" s="2"/>
      <c r="L935" s="2"/>
      <c r="M935" s="2"/>
      <c r="N935" s="2"/>
      <c r="O935" s="2"/>
      <c r="P935" s="2"/>
      <c r="Q935" s="2"/>
      <c r="R935" s="2"/>
      <c r="S935" s="2"/>
      <c r="T935" s="2"/>
      <c r="U935" s="2"/>
      <c r="V935" s="2"/>
      <c r="W935" s="2"/>
      <c r="X935" s="2"/>
      <c r="Y935" s="2"/>
      <c r="Z935" s="2"/>
    </row>
    <row r="936" ht="22.5" customHeight="1">
      <c r="A936" s="7"/>
      <c r="B936" s="7"/>
      <c r="C936" s="7"/>
      <c r="D936" s="7"/>
      <c r="E936" s="7"/>
      <c r="F936" s="7"/>
      <c r="G936" s="7"/>
      <c r="H936" s="2"/>
      <c r="I936" s="62"/>
      <c r="J936" s="7"/>
      <c r="K936" s="2"/>
      <c r="L936" s="2"/>
      <c r="M936" s="2"/>
      <c r="N936" s="2"/>
      <c r="O936" s="2"/>
      <c r="P936" s="2"/>
      <c r="Q936" s="2"/>
      <c r="R936" s="2"/>
      <c r="S936" s="2"/>
      <c r="T936" s="2"/>
      <c r="U936" s="2"/>
      <c r="V936" s="2"/>
      <c r="W936" s="2"/>
      <c r="X936" s="2"/>
      <c r="Y936" s="2"/>
      <c r="Z936" s="2"/>
    </row>
    <row r="937" ht="22.5" customHeight="1">
      <c r="A937" s="7"/>
      <c r="B937" s="7"/>
      <c r="C937" s="7"/>
      <c r="D937" s="7"/>
      <c r="E937" s="7"/>
      <c r="F937" s="7"/>
      <c r="G937" s="7"/>
      <c r="H937" s="2"/>
      <c r="I937" s="62"/>
      <c r="J937" s="7"/>
      <c r="K937" s="2"/>
      <c r="L937" s="2"/>
      <c r="M937" s="2"/>
      <c r="N937" s="2"/>
      <c r="O937" s="2"/>
      <c r="P937" s="2"/>
      <c r="Q937" s="2"/>
      <c r="R937" s="2"/>
      <c r="S937" s="2"/>
      <c r="T937" s="2"/>
      <c r="U937" s="2"/>
      <c r="V937" s="2"/>
      <c r="W937" s="2"/>
      <c r="X937" s="2"/>
      <c r="Y937" s="2"/>
      <c r="Z937" s="2"/>
    </row>
    <row r="938" ht="22.5" customHeight="1">
      <c r="A938" s="7"/>
      <c r="B938" s="7"/>
      <c r="C938" s="7"/>
      <c r="D938" s="7"/>
      <c r="E938" s="7"/>
      <c r="F938" s="7"/>
      <c r="G938" s="7"/>
      <c r="H938" s="2"/>
      <c r="I938" s="62"/>
      <c r="J938" s="7"/>
      <c r="K938" s="2"/>
      <c r="L938" s="2"/>
      <c r="M938" s="2"/>
      <c r="N938" s="2"/>
      <c r="O938" s="2"/>
      <c r="P938" s="2"/>
      <c r="Q938" s="2"/>
      <c r="R938" s="2"/>
      <c r="S938" s="2"/>
      <c r="T938" s="2"/>
      <c r="U938" s="2"/>
      <c r="V938" s="2"/>
      <c r="W938" s="2"/>
      <c r="X938" s="2"/>
      <c r="Y938" s="2"/>
      <c r="Z938" s="2"/>
    </row>
    <row r="939" ht="22.5" customHeight="1">
      <c r="A939" s="7"/>
      <c r="B939" s="7"/>
      <c r="C939" s="7"/>
      <c r="D939" s="7"/>
      <c r="E939" s="7"/>
      <c r="F939" s="7"/>
      <c r="G939" s="7"/>
      <c r="H939" s="2"/>
      <c r="I939" s="62"/>
      <c r="J939" s="7"/>
      <c r="K939" s="2"/>
      <c r="L939" s="2"/>
      <c r="M939" s="2"/>
      <c r="N939" s="2"/>
      <c r="O939" s="2"/>
      <c r="P939" s="2"/>
      <c r="Q939" s="2"/>
      <c r="R939" s="2"/>
      <c r="S939" s="2"/>
      <c r="T939" s="2"/>
      <c r="U939" s="2"/>
      <c r="V939" s="2"/>
      <c r="W939" s="2"/>
      <c r="X939" s="2"/>
      <c r="Y939" s="2"/>
      <c r="Z939" s="2"/>
    </row>
    <row r="940" ht="22.5" customHeight="1">
      <c r="A940" s="7"/>
      <c r="B940" s="7"/>
      <c r="C940" s="7"/>
      <c r="D940" s="7"/>
      <c r="E940" s="7"/>
      <c r="F940" s="7"/>
      <c r="G940" s="7"/>
      <c r="H940" s="2"/>
      <c r="I940" s="62"/>
      <c r="J940" s="7"/>
      <c r="K940" s="2"/>
      <c r="L940" s="2"/>
      <c r="M940" s="2"/>
      <c r="N940" s="2"/>
      <c r="O940" s="2"/>
      <c r="P940" s="2"/>
      <c r="Q940" s="2"/>
      <c r="R940" s="2"/>
      <c r="S940" s="2"/>
      <c r="T940" s="2"/>
      <c r="U940" s="2"/>
      <c r="V940" s="2"/>
      <c r="W940" s="2"/>
      <c r="X940" s="2"/>
      <c r="Y940" s="2"/>
      <c r="Z940" s="2"/>
    </row>
    <row r="941" ht="22.5" customHeight="1">
      <c r="A941" s="7"/>
      <c r="B941" s="7"/>
      <c r="C941" s="7"/>
      <c r="D941" s="7"/>
      <c r="E941" s="7"/>
      <c r="F941" s="7"/>
      <c r="G941" s="7"/>
      <c r="H941" s="2"/>
      <c r="I941" s="62"/>
      <c r="J941" s="7"/>
      <c r="K941" s="2"/>
      <c r="L941" s="2"/>
      <c r="M941" s="2"/>
      <c r="N941" s="2"/>
      <c r="O941" s="2"/>
      <c r="P941" s="2"/>
      <c r="Q941" s="2"/>
      <c r="R941" s="2"/>
      <c r="S941" s="2"/>
      <c r="T941" s="2"/>
      <c r="U941" s="2"/>
      <c r="V941" s="2"/>
      <c r="W941" s="2"/>
      <c r="X941" s="2"/>
      <c r="Y941" s="2"/>
      <c r="Z941" s="2"/>
    </row>
    <row r="942" ht="22.5" customHeight="1">
      <c r="A942" s="7"/>
      <c r="B942" s="7"/>
      <c r="C942" s="7"/>
      <c r="D942" s="7"/>
      <c r="E942" s="7"/>
      <c r="F942" s="7"/>
      <c r="G942" s="7"/>
      <c r="H942" s="2"/>
      <c r="I942" s="62"/>
      <c r="J942" s="7"/>
      <c r="K942" s="2"/>
      <c r="L942" s="2"/>
      <c r="M942" s="2"/>
      <c r="N942" s="2"/>
      <c r="O942" s="2"/>
      <c r="P942" s="2"/>
      <c r="Q942" s="2"/>
      <c r="R942" s="2"/>
      <c r="S942" s="2"/>
      <c r="T942" s="2"/>
      <c r="U942" s="2"/>
      <c r="V942" s="2"/>
      <c r="W942" s="2"/>
      <c r="X942" s="2"/>
      <c r="Y942" s="2"/>
      <c r="Z942" s="2"/>
    </row>
    <row r="943" ht="22.5" customHeight="1">
      <c r="A943" s="7"/>
      <c r="B943" s="7"/>
      <c r="C943" s="7"/>
      <c r="D943" s="7"/>
      <c r="E943" s="7"/>
      <c r="F943" s="7"/>
      <c r="G943" s="7"/>
      <c r="H943" s="2"/>
      <c r="K943" s="2"/>
      <c r="L943" s="2"/>
      <c r="M943" s="2"/>
      <c r="N943" s="2"/>
      <c r="O943" s="2"/>
      <c r="P943" s="2"/>
      <c r="Q943" s="2"/>
      <c r="R943" s="2"/>
      <c r="S943" s="2"/>
      <c r="T943" s="2"/>
      <c r="U943" s="2"/>
      <c r="V943" s="2"/>
      <c r="W943" s="2"/>
      <c r="X943" s="2"/>
      <c r="Y943" s="2"/>
      <c r="Z943" s="2"/>
    </row>
    <row r="944" ht="22.5" customHeight="1">
      <c r="A944" s="7"/>
      <c r="B944" s="7"/>
      <c r="C944" s="7"/>
      <c r="D944" s="7"/>
      <c r="E944" s="7"/>
      <c r="F944" s="7"/>
      <c r="G944" s="7"/>
      <c r="H944" s="2"/>
      <c r="K944" s="2"/>
      <c r="L944" s="2"/>
      <c r="M944" s="2"/>
      <c r="N944" s="2"/>
      <c r="O944" s="2"/>
      <c r="P944" s="2"/>
      <c r="Q944" s="2"/>
      <c r="R944" s="2"/>
      <c r="S944" s="2"/>
      <c r="T944" s="2"/>
      <c r="U944" s="2"/>
      <c r="V944" s="2"/>
      <c r="W944" s="2"/>
      <c r="X944" s="2"/>
      <c r="Y944" s="2"/>
      <c r="Z944" s="2"/>
    </row>
    <row r="945" ht="22.5" customHeight="1">
      <c r="A945" s="7"/>
      <c r="B945" s="7"/>
      <c r="C945" s="7"/>
      <c r="D945" s="7"/>
      <c r="E945" s="7"/>
      <c r="F945" s="7"/>
      <c r="G945" s="7"/>
      <c r="H945" s="2"/>
      <c r="K945" s="2"/>
      <c r="L945" s="2"/>
      <c r="M945" s="2"/>
      <c r="N945" s="2"/>
      <c r="O945" s="2"/>
      <c r="P945" s="2"/>
      <c r="Q945" s="2"/>
      <c r="R945" s="2"/>
      <c r="S945" s="2"/>
      <c r="T945" s="2"/>
      <c r="U945" s="2"/>
      <c r="V945" s="2"/>
      <c r="W945" s="2"/>
      <c r="X945" s="2"/>
      <c r="Y945" s="2"/>
      <c r="Z945" s="2"/>
    </row>
    <row r="946" ht="22.5" customHeight="1">
      <c r="A946" s="7"/>
      <c r="B946" s="7"/>
      <c r="C946" s="7"/>
      <c r="D946" s="7"/>
      <c r="E946" s="7"/>
      <c r="F946" s="7"/>
      <c r="G946" s="7"/>
      <c r="H946" s="2"/>
      <c r="K946" s="2"/>
      <c r="L946" s="2"/>
      <c r="M946" s="2"/>
      <c r="N946" s="2"/>
      <c r="O946" s="2"/>
      <c r="P946" s="2"/>
      <c r="Q946" s="2"/>
      <c r="R946" s="2"/>
      <c r="S946" s="2"/>
      <c r="T946" s="2"/>
      <c r="U946" s="2"/>
      <c r="V946" s="2"/>
      <c r="W946" s="2"/>
      <c r="X946" s="2"/>
      <c r="Y946" s="2"/>
      <c r="Z946" s="2"/>
    </row>
    <row r="947" ht="22.5" customHeight="1">
      <c r="A947" s="7"/>
      <c r="B947" s="7"/>
      <c r="C947" s="7"/>
      <c r="D947" s="7"/>
      <c r="E947" s="7"/>
      <c r="F947" s="7"/>
      <c r="G947" s="7"/>
      <c r="H947" s="2"/>
      <c r="K947" s="2"/>
      <c r="L947" s="2"/>
      <c r="M947" s="2"/>
      <c r="N947" s="2"/>
      <c r="O947" s="2"/>
      <c r="P947" s="2"/>
      <c r="Q947" s="2"/>
      <c r="R947" s="2"/>
      <c r="S947" s="2"/>
      <c r="T947" s="2"/>
      <c r="U947" s="2"/>
      <c r="V947" s="2"/>
      <c r="W947" s="2"/>
      <c r="X947" s="2"/>
      <c r="Y947" s="2"/>
      <c r="Z947" s="2"/>
    </row>
    <row r="948" ht="22.5" customHeight="1">
      <c r="A948" s="7"/>
      <c r="B948" s="7"/>
      <c r="C948" s="7"/>
      <c r="D948" s="7"/>
      <c r="E948" s="7"/>
      <c r="F948" s="7"/>
      <c r="G948" s="7"/>
      <c r="H948" s="2"/>
      <c r="K948" s="2"/>
      <c r="L948" s="2"/>
      <c r="M948" s="2"/>
      <c r="N948" s="2"/>
      <c r="O948" s="2"/>
      <c r="P948" s="2"/>
      <c r="Q948" s="2"/>
      <c r="R948" s="2"/>
      <c r="S948" s="2"/>
      <c r="T948" s="2"/>
      <c r="U948" s="2"/>
      <c r="V948" s="2"/>
      <c r="W948" s="2"/>
      <c r="X948" s="2"/>
      <c r="Y948" s="2"/>
      <c r="Z948" s="2"/>
    </row>
    <row r="949" ht="22.5" customHeight="1">
      <c r="A949" s="7"/>
      <c r="B949" s="7"/>
      <c r="C949" s="7"/>
      <c r="D949" s="7"/>
      <c r="E949" s="7"/>
      <c r="F949" s="7"/>
      <c r="G949" s="7"/>
      <c r="H949" s="2"/>
      <c r="K949" s="2"/>
      <c r="L949" s="2"/>
      <c r="M949" s="2"/>
      <c r="N949" s="2"/>
      <c r="O949" s="2"/>
      <c r="P949" s="2"/>
      <c r="Q949" s="2"/>
      <c r="R949" s="2"/>
      <c r="S949" s="2"/>
      <c r="T949" s="2"/>
      <c r="U949" s="2"/>
      <c r="V949" s="2"/>
      <c r="W949" s="2"/>
      <c r="X949" s="2"/>
      <c r="Y949" s="2"/>
      <c r="Z949" s="2"/>
    </row>
    <row r="950" ht="22.5" customHeight="1">
      <c r="A950" s="7"/>
      <c r="B950" s="7"/>
      <c r="C950" s="7"/>
      <c r="D950" s="7"/>
      <c r="E950" s="7"/>
      <c r="F950" s="7"/>
      <c r="G950" s="7"/>
      <c r="H950" s="2"/>
      <c r="K950" s="2"/>
      <c r="L950" s="2"/>
      <c r="M950" s="2"/>
      <c r="N950" s="2"/>
      <c r="O950" s="2"/>
      <c r="P950" s="2"/>
      <c r="Q950" s="2"/>
      <c r="R950" s="2"/>
      <c r="S950" s="2"/>
      <c r="T950" s="2"/>
      <c r="U950" s="2"/>
      <c r="V950" s="2"/>
      <c r="W950" s="2"/>
      <c r="X950" s="2"/>
      <c r="Y950" s="2"/>
      <c r="Z950" s="2"/>
    </row>
    <row r="951" ht="22.5" customHeight="1">
      <c r="A951" s="7"/>
      <c r="B951" s="7"/>
      <c r="C951" s="7"/>
      <c r="D951" s="7"/>
      <c r="E951" s="7"/>
      <c r="F951" s="7"/>
      <c r="G951" s="7"/>
      <c r="H951" s="2"/>
      <c r="K951" s="2"/>
      <c r="L951" s="2"/>
      <c r="M951" s="2"/>
      <c r="N951" s="2"/>
      <c r="O951" s="2"/>
      <c r="P951" s="2"/>
      <c r="Q951" s="2"/>
      <c r="R951" s="2"/>
      <c r="S951" s="2"/>
      <c r="T951" s="2"/>
      <c r="U951" s="2"/>
      <c r="V951" s="2"/>
      <c r="W951" s="2"/>
      <c r="X951" s="2"/>
      <c r="Y951" s="2"/>
      <c r="Z951" s="2"/>
    </row>
    <row r="952" ht="22.5" customHeight="1">
      <c r="A952" s="7"/>
      <c r="B952" s="7"/>
      <c r="C952" s="7"/>
      <c r="D952" s="7"/>
      <c r="E952" s="7"/>
      <c r="F952" s="7"/>
      <c r="G952" s="7"/>
      <c r="H952" s="2"/>
      <c r="K952" s="2"/>
      <c r="L952" s="2"/>
      <c r="M952" s="2"/>
      <c r="N952" s="2"/>
      <c r="O952" s="2"/>
      <c r="P952" s="2"/>
      <c r="Q952" s="2"/>
      <c r="R952" s="2"/>
      <c r="S952" s="2"/>
      <c r="T952" s="2"/>
      <c r="U952" s="2"/>
      <c r="V952" s="2"/>
      <c r="W952" s="2"/>
      <c r="X952" s="2"/>
      <c r="Y952" s="2"/>
      <c r="Z952" s="2"/>
    </row>
    <row r="953" ht="22.5" customHeight="1">
      <c r="A953" s="7"/>
      <c r="B953" s="7"/>
      <c r="C953" s="7"/>
      <c r="D953" s="7"/>
      <c r="E953" s="7"/>
      <c r="F953" s="7"/>
      <c r="G953" s="7"/>
      <c r="H953" s="2"/>
      <c r="K953" s="2"/>
      <c r="L953" s="2"/>
      <c r="M953" s="2"/>
      <c r="N953" s="2"/>
      <c r="O953" s="2"/>
      <c r="P953" s="2"/>
      <c r="Q953" s="2"/>
      <c r="R953" s="2"/>
      <c r="S953" s="2"/>
      <c r="T953" s="2"/>
      <c r="U953" s="2"/>
      <c r="V953" s="2"/>
      <c r="W953" s="2"/>
      <c r="X953" s="2"/>
      <c r="Y953" s="2"/>
      <c r="Z953" s="2"/>
    </row>
    <row r="954" ht="22.5" customHeight="1">
      <c r="A954" s="7"/>
      <c r="B954" s="7"/>
      <c r="C954" s="7"/>
      <c r="D954" s="7"/>
      <c r="E954" s="7"/>
      <c r="F954" s="7"/>
      <c r="G954" s="7"/>
      <c r="H954" s="2"/>
      <c r="K954" s="2"/>
      <c r="L954" s="2"/>
      <c r="M954" s="2"/>
      <c r="N954" s="2"/>
      <c r="O954" s="2"/>
      <c r="P954" s="2"/>
      <c r="Q954" s="2"/>
      <c r="R954" s="2"/>
      <c r="S954" s="2"/>
      <c r="T954" s="2"/>
      <c r="U954" s="2"/>
      <c r="V954" s="2"/>
      <c r="W954" s="2"/>
      <c r="X954" s="2"/>
      <c r="Y954" s="2"/>
      <c r="Z954" s="2"/>
    </row>
    <row r="955" ht="22.5" customHeight="1">
      <c r="A955" s="7"/>
      <c r="B955" s="7"/>
      <c r="C955" s="7"/>
      <c r="D955" s="7"/>
      <c r="E955" s="7"/>
      <c r="F955" s="7"/>
      <c r="G955" s="7"/>
      <c r="H955" s="2"/>
      <c r="K955" s="2"/>
      <c r="L955" s="2"/>
      <c r="M955" s="2"/>
      <c r="N955" s="2"/>
      <c r="O955" s="2"/>
      <c r="P955" s="2"/>
      <c r="Q955" s="2"/>
      <c r="R955" s="2"/>
      <c r="S955" s="2"/>
      <c r="T955" s="2"/>
      <c r="U955" s="2"/>
      <c r="V955" s="2"/>
      <c r="W955" s="2"/>
      <c r="X955" s="2"/>
      <c r="Y955" s="2"/>
      <c r="Z955" s="2"/>
    </row>
    <row r="956" ht="22.5" customHeight="1">
      <c r="A956" s="7"/>
      <c r="B956" s="7"/>
      <c r="C956" s="7"/>
      <c r="D956" s="7"/>
      <c r="E956" s="7"/>
      <c r="F956" s="7"/>
      <c r="G956" s="7"/>
      <c r="H956" s="2"/>
      <c r="K956" s="2"/>
      <c r="L956" s="2"/>
      <c r="M956" s="2"/>
      <c r="N956" s="2"/>
      <c r="O956" s="2"/>
      <c r="P956" s="2"/>
      <c r="Q956" s="2"/>
      <c r="R956" s="2"/>
      <c r="S956" s="2"/>
      <c r="T956" s="2"/>
      <c r="U956" s="2"/>
      <c r="V956" s="2"/>
      <c r="W956" s="2"/>
      <c r="X956" s="2"/>
      <c r="Y956" s="2"/>
      <c r="Z956" s="2"/>
    </row>
    <row r="957" ht="22.5" customHeight="1">
      <c r="A957" s="7"/>
      <c r="B957" s="7"/>
      <c r="C957" s="7"/>
      <c r="D957" s="7"/>
      <c r="E957" s="7"/>
      <c r="F957" s="7"/>
      <c r="G957" s="7"/>
      <c r="H957" s="2"/>
      <c r="K957" s="2"/>
      <c r="L957" s="2"/>
      <c r="M957" s="2"/>
      <c r="N957" s="2"/>
      <c r="O957" s="2"/>
      <c r="P957" s="2"/>
      <c r="Q957" s="2"/>
      <c r="R957" s="2"/>
      <c r="S957" s="2"/>
      <c r="T957" s="2"/>
      <c r="U957" s="2"/>
      <c r="V957" s="2"/>
      <c r="W957" s="2"/>
      <c r="X957" s="2"/>
      <c r="Y957" s="2"/>
      <c r="Z957" s="2"/>
    </row>
    <row r="958" ht="22.5" customHeight="1">
      <c r="A958" s="7"/>
      <c r="B958" s="7"/>
      <c r="C958" s="7"/>
      <c r="D958" s="7"/>
      <c r="E958" s="7"/>
      <c r="F958" s="7"/>
      <c r="G958" s="7"/>
      <c r="H958" s="2"/>
      <c r="K958" s="2"/>
      <c r="L958" s="2"/>
      <c r="M958" s="2"/>
      <c r="N958" s="2"/>
      <c r="O958" s="2"/>
      <c r="P958" s="2"/>
      <c r="Q958" s="2"/>
      <c r="R958" s="2"/>
      <c r="S958" s="2"/>
      <c r="T958" s="2"/>
      <c r="U958" s="2"/>
      <c r="V958" s="2"/>
      <c r="W958" s="2"/>
      <c r="X958" s="2"/>
      <c r="Y958" s="2"/>
      <c r="Z958" s="2"/>
    </row>
    <row r="959" ht="22.5" customHeight="1">
      <c r="A959" s="7"/>
      <c r="B959" s="7"/>
      <c r="C959" s="7"/>
      <c r="D959" s="7"/>
      <c r="E959" s="7"/>
      <c r="F959" s="7"/>
      <c r="G959" s="7"/>
      <c r="H959" s="2"/>
      <c r="K959" s="2"/>
      <c r="L959" s="2"/>
      <c r="M959" s="2"/>
      <c r="N959" s="2"/>
      <c r="O959" s="2"/>
      <c r="P959" s="2"/>
      <c r="Q959" s="2"/>
      <c r="R959" s="2"/>
      <c r="S959" s="2"/>
      <c r="T959" s="2"/>
      <c r="U959" s="2"/>
      <c r="V959" s="2"/>
      <c r="W959" s="2"/>
      <c r="X959" s="2"/>
      <c r="Y959" s="2"/>
      <c r="Z959" s="2"/>
    </row>
    <row r="960" ht="22.5" customHeight="1">
      <c r="A960" s="7"/>
      <c r="B960" s="7"/>
      <c r="C960" s="7"/>
      <c r="D960" s="7"/>
      <c r="E960" s="7"/>
      <c r="F960" s="7"/>
      <c r="G960" s="7"/>
      <c r="H960" s="2"/>
      <c r="K960" s="2"/>
      <c r="L960" s="2"/>
      <c r="M960" s="2"/>
      <c r="N960" s="2"/>
      <c r="O960" s="2"/>
      <c r="P960" s="2"/>
      <c r="Q960" s="2"/>
      <c r="R960" s="2"/>
      <c r="S960" s="2"/>
      <c r="T960" s="2"/>
      <c r="U960" s="2"/>
      <c r="V960" s="2"/>
      <c r="W960" s="2"/>
      <c r="X960" s="2"/>
      <c r="Y960" s="2"/>
      <c r="Z960" s="2"/>
    </row>
    <row r="961" ht="22.5" customHeight="1">
      <c r="A961" s="7"/>
      <c r="B961" s="7"/>
      <c r="C961" s="7"/>
      <c r="D961" s="7"/>
      <c r="E961" s="7"/>
      <c r="F961" s="7"/>
      <c r="G961" s="7"/>
      <c r="H961" s="2"/>
      <c r="K961" s="2"/>
      <c r="L961" s="2"/>
      <c r="M961" s="2"/>
      <c r="N961" s="2"/>
      <c r="O961" s="2"/>
      <c r="P961" s="2"/>
      <c r="Q961" s="2"/>
      <c r="R961" s="2"/>
      <c r="S961" s="2"/>
      <c r="T961" s="2"/>
      <c r="U961" s="2"/>
      <c r="V961" s="2"/>
      <c r="W961" s="2"/>
      <c r="X961" s="2"/>
      <c r="Y961" s="2"/>
      <c r="Z961" s="2"/>
    </row>
    <row r="962" ht="22.5" customHeight="1">
      <c r="A962" s="7"/>
      <c r="B962" s="7"/>
      <c r="C962" s="7"/>
      <c r="D962" s="7"/>
      <c r="E962" s="7"/>
      <c r="F962" s="7"/>
      <c r="G962" s="7"/>
      <c r="H962" s="2"/>
      <c r="K962" s="2"/>
      <c r="L962" s="2"/>
      <c r="M962" s="2"/>
      <c r="N962" s="2"/>
      <c r="O962" s="2"/>
      <c r="P962" s="2"/>
      <c r="Q962" s="2"/>
      <c r="R962" s="2"/>
      <c r="S962" s="2"/>
      <c r="T962" s="2"/>
      <c r="U962" s="2"/>
      <c r="V962" s="2"/>
      <c r="W962" s="2"/>
      <c r="X962" s="2"/>
      <c r="Y962" s="2"/>
      <c r="Z962" s="2"/>
    </row>
    <row r="963" ht="22.5" customHeight="1">
      <c r="A963" s="7"/>
      <c r="B963" s="7"/>
      <c r="C963" s="7"/>
      <c r="D963" s="7"/>
      <c r="E963" s="7"/>
      <c r="F963" s="7"/>
      <c r="G963" s="7"/>
      <c r="H963" s="2"/>
      <c r="K963" s="2"/>
      <c r="L963" s="2"/>
      <c r="M963" s="2"/>
      <c r="N963" s="2"/>
      <c r="O963" s="2"/>
      <c r="P963" s="2"/>
      <c r="Q963" s="2"/>
      <c r="R963" s="2"/>
      <c r="S963" s="2"/>
      <c r="T963" s="2"/>
      <c r="U963" s="2"/>
      <c r="V963" s="2"/>
      <c r="W963" s="2"/>
      <c r="X963" s="2"/>
      <c r="Y963" s="2"/>
      <c r="Z963" s="2"/>
    </row>
    <row r="964" ht="22.5" customHeight="1">
      <c r="A964" s="7"/>
      <c r="B964" s="7"/>
      <c r="C964" s="7"/>
      <c r="D964" s="7"/>
      <c r="E964" s="7"/>
      <c r="F964" s="7"/>
      <c r="G964" s="7"/>
      <c r="H964" s="2"/>
      <c r="K964" s="2"/>
      <c r="L964" s="2"/>
      <c r="M964" s="2"/>
      <c r="N964" s="2"/>
      <c r="O964" s="2"/>
      <c r="P964" s="2"/>
      <c r="Q964" s="2"/>
      <c r="R964" s="2"/>
      <c r="S964" s="2"/>
      <c r="T964" s="2"/>
      <c r="U964" s="2"/>
      <c r="V964" s="2"/>
      <c r="W964" s="2"/>
      <c r="X964" s="2"/>
      <c r="Y964" s="2"/>
      <c r="Z964" s="2"/>
    </row>
    <row r="965" ht="22.5" customHeight="1">
      <c r="A965" s="7"/>
      <c r="B965" s="7"/>
      <c r="C965" s="7"/>
      <c r="D965" s="7"/>
      <c r="E965" s="7"/>
      <c r="F965" s="7"/>
      <c r="G965" s="7"/>
      <c r="H965" s="2"/>
      <c r="K965" s="2"/>
      <c r="L965" s="2"/>
      <c r="M965" s="2"/>
      <c r="N965" s="2"/>
      <c r="O965" s="2"/>
      <c r="P965" s="2"/>
      <c r="Q965" s="2"/>
      <c r="R965" s="2"/>
      <c r="S965" s="2"/>
      <c r="T965" s="2"/>
      <c r="U965" s="2"/>
      <c r="V965" s="2"/>
      <c r="W965" s="2"/>
      <c r="X965" s="2"/>
      <c r="Y965" s="2"/>
      <c r="Z965" s="2"/>
    </row>
    <row r="966" ht="22.5" customHeight="1">
      <c r="A966" s="7"/>
      <c r="B966" s="7"/>
      <c r="C966" s="7"/>
      <c r="D966" s="7"/>
      <c r="E966" s="7"/>
      <c r="F966" s="7"/>
      <c r="G966" s="7"/>
      <c r="H966" s="2"/>
      <c r="K966" s="2"/>
      <c r="L966" s="2"/>
      <c r="M966" s="2"/>
      <c r="N966" s="2"/>
      <c r="O966" s="2"/>
      <c r="P966" s="2"/>
      <c r="Q966" s="2"/>
      <c r="R966" s="2"/>
      <c r="S966" s="2"/>
      <c r="T966" s="2"/>
      <c r="U966" s="2"/>
      <c r="V966" s="2"/>
      <c r="W966" s="2"/>
      <c r="X966" s="2"/>
      <c r="Y966" s="2"/>
      <c r="Z966" s="2"/>
    </row>
    <row r="967" ht="22.5" customHeight="1">
      <c r="A967" s="7"/>
      <c r="B967" s="7"/>
      <c r="C967" s="7"/>
      <c r="D967" s="7"/>
      <c r="E967" s="7"/>
      <c r="F967" s="7"/>
      <c r="G967" s="7"/>
      <c r="H967" s="2"/>
      <c r="K967" s="2"/>
      <c r="L967" s="2"/>
      <c r="M967" s="2"/>
      <c r="N967" s="2"/>
      <c r="O967" s="2"/>
      <c r="P967" s="2"/>
      <c r="Q967" s="2"/>
      <c r="R967" s="2"/>
      <c r="S967" s="2"/>
      <c r="T967" s="2"/>
      <c r="U967" s="2"/>
      <c r="V967" s="2"/>
      <c r="W967" s="2"/>
      <c r="X967" s="2"/>
      <c r="Y967" s="2"/>
      <c r="Z967" s="2"/>
    </row>
    <row r="968" ht="22.5" customHeight="1">
      <c r="A968" s="7"/>
      <c r="B968" s="7"/>
      <c r="C968" s="7"/>
      <c r="D968" s="7"/>
      <c r="E968" s="7"/>
      <c r="F968" s="7"/>
      <c r="G968" s="7"/>
      <c r="H968" s="2"/>
      <c r="K968" s="2"/>
      <c r="L968" s="2"/>
      <c r="M968" s="2"/>
      <c r="N968" s="2"/>
      <c r="O968" s="2"/>
      <c r="P968" s="2"/>
      <c r="Q968" s="2"/>
      <c r="R968" s="2"/>
      <c r="S968" s="2"/>
      <c r="T968" s="2"/>
      <c r="U968" s="2"/>
      <c r="V968" s="2"/>
      <c r="W968" s="2"/>
      <c r="X968" s="2"/>
      <c r="Y968" s="2"/>
      <c r="Z968" s="2"/>
    </row>
    <row r="969" ht="22.5" customHeight="1">
      <c r="A969" s="7"/>
      <c r="B969" s="7"/>
      <c r="C969" s="7"/>
      <c r="D969" s="7"/>
      <c r="E969" s="7"/>
      <c r="F969" s="7"/>
      <c r="G969" s="7"/>
      <c r="H969" s="2"/>
      <c r="K969" s="2"/>
      <c r="L969" s="2"/>
      <c r="M969" s="2"/>
      <c r="N969" s="2"/>
      <c r="O969" s="2"/>
      <c r="P969" s="2"/>
      <c r="Q969" s="2"/>
      <c r="R969" s="2"/>
      <c r="S969" s="2"/>
      <c r="T969" s="2"/>
      <c r="U969" s="2"/>
      <c r="V969" s="2"/>
      <c r="W969" s="2"/>
      <c r="X969" s="2"/>
      <c r="Y969" s="2"/>
      <c r="Z969" s="2"/>
    </row>
    <row r="970" ht="22.5" customHeight="1">
      <c r="A970" s="7"/>
      <c r="B970" s="7"/>
      <c r="C970" s="7"/>
      <c r="D970" s="7"/>
      <c r="E970" s="7"/>
      <c r="F970" s="7"/>
      <c r="G970" s="7"/>
      <c r="H970" s="2"/>
      <c r="K970" s="2"/>
      <c r="L970" s="2"/>
      <c r="M970" s="2"/>
      <c r="N970" s="2"/>
      <c r="O970" s="2"/>
      <c r="P970" s="2"/>
      <c r="Q970" s="2"/>
      <c r="R970" s="2"/>
      <c r="S970" s="2"/>
      <c r="T970" s="2"/>
      <c r="U970" s="2"/>
      <c r="V970" s="2"/>
      <c r="W970" s="2"/>
      <c r="X970" s="2"/>
      <c r="Y970" s="2"/>
      <c r="Z970" s="2"/>
    </row>
    <row r="971" ht="22.5" customHeight="1">
      <c r="A971" s="7"/>
      <c r="B971" s="7"/>
      <c r="C971" s="7"/>
      <c r="D971" s="7"/>
      <c r="E971" s="7"/>
      <c r="F971" s="7"/>
      <c r="G971" s="7"/>
      <c r="H971" s="2"/>
      <c r="K971" s="2"/>
      <c r="L971" s="2"/>
      <c r="M971" s="2"/>
      <c r="N971" s="2"/>
      <c r="O971" s="2"/>
      <c r="P971" s="2"/>
      <c r="Q971" s="2"/>
      <c r="R971" s="2"/>
      <c r="S971" s="2"/>
      <c r="T971" s="2"/>
      <c r="U971" s="2"/>
      <c r="V971" s="2"/>
      <c r="W971" s="2"/>
      <c r="X971" s="2"/>
      <c r="Y971" s="2"/>
      <c r="Z971" s="2"/>
    </row>
    <row r="972" ht="22.5" customHeight="1">
      <c r="A972" s="7"/>
      <c r="B972" s="7"/>
      <c r="C972" s="7"/>
      <c r="D972" s="7"/>
      <c r="E972" s="7"/>
      <c r="F972" s="7"/>
      <c r="G972" s="7"/>
      <c r="H972" s="2"/>
      <c r="K972" s="2"/>
      <c r="L972" s="2"/>
      <c r="M972" s="2"/>
      <c r="N972" s="2"/>
      <c r="O972" s="2"/>
      <c r="P972" s="2"/>
      <c r="Q972" s="2"/>
      <c r="R972" s="2"/>
      <c r="S972" s="2"/>
      <c r="T972" s="2"/>
      <c r="U972" s="2"/>
      <c r="V972" s="2"/>
      <c r="W972" s="2"/>
      <c r="X972" s="2"/>
      <c r="Y972" s="2"/>
      <c r="Z972" s="2"/>
    </row>
    <row r="973" ht="22.5" customHeight="1">
      <c r="A973" s="7"/>
      <c r="B973" s="7"/>
      <c r="C973" s="7"/>
      <c r="D973" s="7"/>
      <c r="E973" s="7"/>
      <c r="F973" s="7"/>
      <c r="G973" s="7"/>
      <c r="H973" s="2"/>
      <c r="K973" s="2"/>
      <c r="L973" s="2"/>
      <c r="M973" s="2"/>
      <c r="N973" s="2"/>
      <c r="O973" s="2"/>
      <c r="P973" s="2"/>
      <c r="Q973" s="2"/>
      <c r="R973" s="2"/>
      <c r="S973" s="2"/>
      <c r="T973" s="2"/>
      <c r="U973" s="2"/>
      <c r="V973" s="2"/>
      <c r="W973" s="2"/>
      <c r="X973" s="2"/>
      <c r="Y973" s="2"/>
      <c r="Z973" s="2"/>
    </row>
    <row r="974" ht="22.5" customHeight="1">
      <c r="A974" s="7"/>
      <c r="B974" s="7"/>
      <c r="C974" s="7"/>
      <c r="D974" s="7"/>
      <c r="E974" s="7"/>
      <c r="F974" s="7"/>
      <c r="G974" s="7"/>
      <c r="H974" s="2"/>
      <c r="K974" s="2"/>
      <c r="L974" s="2"/>
      <c r="M974" s="2"/>
      <c r="N974" s="2"/>
      <c r="O974" s="2"/>
      <c r="P974" s="2"/>
      <c r="Q974" s="2"/>
      <c r="R974" s="2"/>
      <c r="S974" s="2"/>
      <c r="T974" s="2"/>
      <c r="U974" s="2"/>
      <c r="V974" s="2"/>
      <c r="W974" s="2"/>
      <c r="X974" s="2"/>
      <c r="Y974" s="2"/>
      <c r="Z974" s="2"/>
    </row>
    <row r="975" ht="22.5" customHeight="1">
      <c r="A975" s="7"/>
      <c r="B975" s="7"/>
      <c r="C975" s="7"/>
      <c r="D975" s="7"/>
      <c r="E975" s="7"/>
      <c r="F975" s="7"/>
      <c r="G975" s="7"/>
      <c r="H975" s="2"/>
      <c r="K975" s="2"/>
      <c r="L975" s="2"/>
      <c r="M975" s="2"/>
      <c r="N975" s="2"/>
      <c r="O975" s="2"/>
      <c r="P975" s="2"/>
      <c r="Q975" s="2"/>
      <c r="R975" s="2"/>
      <c r="S975" s="2"/>
      <c r="T975" s="2"/>
      <c r="U975" s="2"/>
      <c r="V975" s="2"/>
      <c r="W975" s="2"/>
      <c r="X975" s="2"/>
      <c r="Y975" s="2"/>
      <c r="Z975" s="2"/>
    </row>
    <row r="976" ht="22.5" customHeight="1">
      <c r="A976" s="7"/>
      <c r="B976" s="7"/>
      <c r="C976" s="7"/>
      <c r="D976" s="7"/>
      <c r="E976" s="7"/>
      <c r="F976" s="7"/>
      <c r="G976" s="7"/>
      <c r="H976" s="2"/>
      <c r="K976" s="2"/>
      <c r="L976" s="2"/>
      <c r="M976" s="2"/>
      <c r="N976" s="2"/>
      <c r="O976" s="2"/>
      <c r="P976" s="2"/>
      <c r="Q976" s="2"/>
      <c r="R976" s="2"/>
      <c r="S976" s="2"/>
      <c r="T976" s="2"/>
      <c r="U976" s="2"/>
      <c r="V976" s="2"/>
      <c r="W976" s="2"/>
      <c r="X976" s="2"/>
      <c r="Y976" s="2"/>
      <c r="Z976" s="2"/>
    </row>
    <row r="977" ht="22.5" customHeight="1">
      <c r="A977" s="7"/>
      <c r="B977" s="7"/>
      <c r="C977" s="7"/>
      <c r="D977" s="7"/>
      <c r="E977" s="7"/>
      <c r="F977" s="7"/>
      <c r="G977" s="7"/>
      <c r="H977" s="2"/>
      <c r="K977" s="2"/>
      <c r="L977" s="2"/>
      <c r="M977" s="2"/>
      <c r="N977" s="2"/>
      <c r="O977" s="2"/>
      <c r="P977" s="2"/>
      <c r="Q977" s="2"/>
      <c r="R977" s="2"/>
      <c r="S977" s="2"/>
      <c r="T977" s="2"/>
      <c r="U977" s="2"/>
      <c r="V977" s="2"/>
      <c r="W977" s="2"/>
      <c r="X977" s="2"/>
      <c r="Y977" s="2"/>
      <c r="Z977" s="2"/>
    </row>
    <row r="978" ht="22.5" customHeight="1">
      <c r="A978" s="7"/>
      <c r="B978" s="7"/>
      <c r="C978" s="7"/>
      <c r="D978" s="7"/>
      <c r="E978" s="7"/>
      <c r="F978" s="7"/>
      <c r="G978" s="7"/>
      <c r="H978" s="2"/>
      <c r="K978" s="2"/>
      <c r="L978" s="2"/>
      <c r="M978" s="2"/>
      <c r="N978" s="2"/>
      <c r="O978" s="2"/>
      <c r="P978" s="2"/>
      <c r="Q978" s="2"/>
      <c r="R978" s="2"/>
      <c r="S978" s="2"/>
      <c r="T978" s="2"/>
      <c r="U978" s="2"/>
      <c r="V978" s="2"/>
      <c r="W978" s="2"/>
      <c r="X978" s="2"/>
      <c r="Y978" s="2"/>
      <c r="Z978" s="2"/>
    </row>
    <row r="979" ht="22.5" customHeight="1">
      <c r="A979" s="7"/>
      <c r="B979" s="7"/>
      <c r="C979" s="7"/>
      <c r="D979" s="7"/>
      <c r="E979" s="7"/>
      <c r="F979" s="7"/>
      <c r="G979" s="7"/>
      <c r="H979" s="2"/>
      <c r="K979" s="2"/>
      <c r="L979" s="2"/>
      <c r="M979" s="2"/>
      <c r="N979" s="2"/>
      <c r="O979" s="2"/>
      <c r="P979" s="2"/>
      <c r="Q979" s="2"/>
      <c r="R979" s="2"/>
      <c r="S979" s="2"/>
      <c r="T979" s="2"/>
      <c r="U979" s="2"/>
      <c r="V979" s="2"/>
      <c r="W979" s="2"/>
      <c r="X979" s="2"/>
      <c r="Y979" s="2"/>
      <c r="Z979" s="2"/>
    </row>
    <row r="980" ht="22.5" customHeight="1">
      <c r="A980" s="7"/>
      <c r="B980" s="7"/>
      <c r="C980" s="7"/>
      <c r="D980" s="7"/>
      <c r="E980" s="7"/>
      <c r="F980" s="7"/>
      <c r="G980" s="7"/>
      <c r="H980" s="2"/>
      <c r="K980" s="2"/>
      <c r="L980" s="2"/>
      <c r="M980" s="2"/>
      <c r="N980" s="2"/>
      <c r="O980" s="2"/>
      <c r="P980" s="2"/>
      <c r="Q980" s="2"/>
      <c r="R980" s="2"/>
      <c r="S980" s="2"/>
      <c r="T980" s="2"/>
      <c r="U980" s="2"/>
      <c r="V980" s="2"/>
      <c r="W980" s="2"/>
      <c r="X980" s="2"/>
      <c r="Y980" s="2"/>
      <c r="Z980" s="2"/>
    </row>
    <row r="981" ht="22.5" customHeight="1">
      <c r="A981" s="7"/>
      <c r="B981" s="7"/>
      <c r="C981" s="7"/>
      <c r="D981" s="7"/>
      <c r="E981" s="7"/>
      <c r="F981" s="7"/>
      <c r="G981" s="7"/>
      <c r="H981" s="2"/>
      <c r="K981" s="2"/>
      <c r="L981" s="2"/>
      <c r="M981" s="2"/>
      <c r="N981" s="2"/>
      <c r="O981" s="2"/>
      <c r="P981" s="2"/>
      <c r="Q981" s="2"/>
      <c r="R981" s="2"/>
      <c r="S981" s="2"/>
      <c r="T981" s="2"/>
      <c r="U981" s="2"/>
      <c r="V981" s="2"/>
      <c r="W981" s="2"/>
      <c r="X981" s="2"/>
      <c r="Y981" s="2"/>
      <c r="Z981" s="2"/>
    </row>
    <row r="982" ht="22.5" customHeight="1">
      <c r="A982" s="7"/>
      <c r="B982" s="7"/>
      <c r="C982" s="7"/>
      <c r="D982" s="7"/>
      <c r="E982" s="7"/>
      <c r="F982" s="7"/>
      <c r="G982" s="7"/>
      <c r="H982" s="2"/>
      <c r="K982" s="2"/>
      <c r="L982" s="2"/>
      <c r="M982" s="2"/>
      <c r="N982" s="2"/>
      <c r="O982" s="2"/>
      <c r="P982" s="2"/>
      <c r="Q982" s="2"/>
      <c r="R982" s="2"/>
      <c r="S982" s="2"/>
      <c r="T982" s="2"/>
      <c r="U982" s="2"/>
      <c r="V982" s="2"/>
      <c r="W982" s="2"/>
      <c r="X982" s="2"/>
      <c r="Y982" s="2"/>
      <c r="Z982" s="2"/>
    </row>
    <row r="983" ht="22.5" customHeight="1">
      <c r="A983" s="7"/>
      <c r="B983" s="7"/>
      <c r="C983" s="7"/>
      <c r="D983" s="7"/>
      <c r="E983" s="7"/>
      <c r="F983" s="7"/>
      <c r="G983" s="7"/>
      <c r="H983" s="2"/>
      <c r="K983" s="2"/>
      <c r="L983" s="2"/>
      <c r="M983" s="2"/>
      <c r="N983" s="2"/>
      <c r="O983" s="2"/>
      <c r="P983" s="2"/>
      <c r="Q983" s="2"/>
      <c r="R983" s="2"/>
      <c r="S983" s="2"/>
      <c r="T983" s="2"/>
      <c r="U983" s="2"/>
      <c r="V983" s="2"/>
      <c r="W983" s="2"/>
      <c r="X983" s="2"/>
      <c r="Y983" s="2"/>
      <c r="Z983" s="2"/>
    </row>
    <row r="984" ht="22.5" customHeight="1">
      <c r="A984" s="7"/>
      <c r="B984" s="7"/>
      <c r="C984" s="7"/>
      <c r="D984" s="7"/>
      <c r="E984" s="7"/>
      <c r="F984" s="7"/>
      <c r="G984" s="7"/>
      <c r="H984" s="2"/>
      <c r="K984" s="2"/>
      <c r="L984" s="2"/>
      <c r="M984" s="2"/>
      <c r="N984" s="2"/>
      <c r="O984" s="2"/>
      <c r="P984" s="2"/>
      <c r="Q984" s="2"/>
      <c r="R984" s="2"/>
      <c r="S984" s="2"/>
      <c r="T984" s="2"/>
      <c r="U984" s="2"/>
      <c r="V984" s="2"/>
      <c r="W984" s="2"/>
      <c r="X984" s="2"/>
      <c r="Y984" s="2"/>
      <c r="Z984" s="2"/>
    </row>
    <row r="985" ht="22.5" customHeight="1">
      <c r="A985" s="7"/>
      <c r="B985" s="7"/>
      <c r="C985" s="7"/>
      <c r="D985" s="7"/>
      <c r="E985" s="7"/>
      <c r="F985" s="7"/>
      <c r="G985" s="7"/>
      <c r="H985" s="2"/>
      <c r="K985" s="2"/>
      <c r="L985" s="2"/>
      <c r="M985" s="2"/>
      <c r="N985" s="2"/>
      <c r="O985" s="2"/>
      <c r="P985" s="2"/>
      <c r="Q985" s="2"/>
      <c r="R985" s="2"/>
      <c r="S985" s="2"/>
      <c r="T985" s="2"/>
      <c r="U985" s="2"/>
      <c r="V985" s="2"/>
      <c r="W985" s="2"/>
      <c r="X985" s="2"/>
      <c r="Y985" s="2"/>
      <c r="Z985" s="2"/>
    </row>
    <row r="986" ht="22.5" customHeight="1">
      <c r="A986" s="7"/>
      <c r="B986" s="7"/>
      <c r="C986" s="7"/>
      <c r="D986" s="7"/>
      <c r="E986" s="7"/>
      <c r="F986" s="7"/>
      <c r="G986" s="7"/>
      <c r="H986" s="2"/>
      <c r="K986" s="2"/>
      <c r="L986" s="2"/>
      <c r="M986" s="2"/>
      <c r="N986" s="2"/>
      <c r="O986" s="2"/>
      <c r="P986" s="2"/>
      <c r="Q986" s="2"/>
      <c r="R986" s="2"/>
      <c r="S986" s="2"/>
      <c r="T986" s="2"/>
      <c r="U986" s="2"/>
      <c r="V986" s="2"/>
      <c r="W986" s="2"/>
      <c r="X986" s="2"/>
      <c r="Y986" s="2"/>
      <c r="Z986" s="2"/>
    </row>
    <row r="987" ht="22.5" customHeight="1">
      <c r="A987" s="7"/>
      <c r="B987" s="7"/>
      <c r="C987" s="7"/>
      <c r="D987" s="7"/>
      <c r="E987" s="7"/>
      <c r="F987" s="7"/>
      <c r="G987" s="7"/>
      <c r="H987" s="2"/>
      <c r="K987" s="2"/>
      <c r="L987" s="2"/>
      <c r="M987" s="2"/>
      <c r="N987" s="2"/>
      <c r="O987" s="2"/>
      <c r="P987" s="2"/>
      <c r="Q987" s="2"/>
      <c r="R987" s="2"/>
      <c r="S987" s="2"/>
      <c r="T987" s="2"/>
      <c r="U987" s="2"/>
      <c r="V987" s="2"/>
      <c r="W987" s="2"/>
      <c r="X987" s="2"/>
      <c r="Y987" s="2"/>
      <c r="Z987" s="2"/>
    </row>
    <row r="988" ht="22.5" customHeight="1">
      <c r="A988" s="7"/>
      <c r="B988" s="7"/>
      <c r="C988" s="7"/>
      <c r="D988" s="7"/>
      <c r="E988" s="7"/>
      <c r="F988" s="7"/>
      <c r="G988" s="7"/>
      <c r="H988" s="2"/>
      <c r="K988" s="2"/>
      <c r="L988" s="2"/>
      <c r="M988" s="2"/>
      <c r="N988" s="2"/>
      <c r="O988" s="2"/>
      <c r="P988" s="2"/>
      <c r="Q988" s="2"/>
      <c r="R988" s="2"/>
      <c r="S988" s="2"/>
      <c r="T988" s="2"/>
      <c r="U988" s="2"/>
      <c r="V988" s="2"/>
      <c r="W988" s="2"/>
      <c r="X988" s="2"/>
      <c r="Y988" s="2"/>
      <c r="Z988" s="2"/>
    </row>
    <row r="989" ht="22.5" customHeight="1">
      <c r="A989" s="7"/>
      <c r="B989" s="7"/>
      <c r="C989" s="7"/>
      <c r="D989" s="7"/>
      <c r="E989" s="7"/>
      <c r="F989" s="7"/>
      <c r="G989" s="7"/>
      <c r="H989" s="2"/>
      <c r="K989" s="2"/>
      <c r="L989" s="2"/>
      <c r="M989" s="2"/>
      <c r="N989" s="2"/>
      <c r="O989" s="2"/>
      <c r="P989" s="2"/>
      <c r="Q989" s="2"/>
      <c r="R989" s="2"/>
      <c r="S989" s="2"/>
      <c r="T989" s="2"/>
      <c r="U989" s="2"/>
      <c r="V989" s="2"/>
      <c r="W989" s="2"/>
      <c r="X989" s="2"/>
      <c r="Y989" s="2"/>
      <c r="Z989" s="2"/>
    </row>
    <row r="990" ht="22.5" customHeight="1">
      <c r="A990" s="7"/>
      <c r="B990" s="7"/>
      <c r="C990" s="7"/>
      <c r="D990" s="7"/>
      <c r="E990" s="7"/>
      <c r="F990" s="7"/>
      <c r="G990" s="7"/>
      <c r="H990" s="2"/>
      <c r="K990" s="2"/>
      <c r="L990" s="2"/>
      <c r="M990" s="2"/>
      <c r="N990" s="2"/>
      <c r="O990" s="2"/>
      <c r="P990" s="2"/>
      <c r="Q990" s="2"/>
      <c r="R990" s="2"/>
      <c r="S990" s="2"/>
      <c r="T990" s="2"/>
      <c r="U990" s="2"/>
      <c r="V990" s="2"/>
      <c r="W990" s="2"/>
      <c r="X990" s="2"/>
      <c r="Y990" s="2"/>
      <c r="Z990" s="2"/>
    </row>
    <row r="991" ht="22.5" customHeight="1">
      <c r="A991" s="7"/>
      <c r="B991" s="7"/>
      <c r="C991" s="7"/>
      <c r="D991" s="7"/>
      <c r="E991" s="7"/>
      <c r="F991" s="7"/>
      <c r="G991" s="7"/>
      <c r="H991" s="2"/>
      <c r="K991" s="2"/>
      <c r="L991" s="2"/>
      <c r="M991" s="2"/>
      <c r="N991" s="2"/>
      <c r="O991" s="2"/>
      <c r="P991" s="2"/>
      <c r="Q991" s="2"/>
      <c r="R991" s="2"/>
      <c r="S991" s="2"/>
      <c r="T991" s="2"/>
      <c r="U991" s="2"/>
      <c r="V991" s="2"/>
      <c r="W991" s="2"/>
      <c r="X991" s="2"/>
      <c r="Y991" s="2"/>
      <c r="Z991" s="2"/>
    </row>
    <row r="992" ht="22.5" customHeight="1">
      <c r="A992" s="7"/>
      <c r="B992" s="7"/>
      <c r="C992" s="7"/>
      <c r="D992" s="7"/>
      <c r="E992" s="7"/>
      <c r="F992" s="7"/>
      <c r="G992" s="7"/>
      <c r="H992" s="2"/>
      <c r="K992" s="2"/>
      <c r="L992" s="2"/>
      <c r="M992" s="2"/>
      <c r="N992" s="2"/>
      <c r="O992" s="2"/>
      <c r="P992" s="2"/>
      <c r="Q992" s="2"/>
      <c r="R992" s="2"/>
      <c r="S992" s="2"/>
      <c r="T992" s="2"/>
      <c r="U992" s="2"/>
      <c r="V992" s="2"/>
      <c r="W992" s="2"/>
      <c r="X992" s="2"/>
      <c r="Y992" s="2"/>
      <c r="Z992" s="2"/>
    </row>
    <row r="993" ht="22.5" customHeight="1">
      <c r="A993" s="7"/>
      <c r="B993" s="7"/>
      <c r="C993" s="7"/>
      <c r="D993" s="7"/>
      <c r="E993" s="7"/>
      <c r="F993" s="7"/>
      <c r="G993" s="7"/>
      <c r="H993" s="2"/>
      <c r="K993" s="2"/>
      <c r="L993" s="2"/>
      <c r="M993" s="2"/>
      <c r="N993" s="2"/>
      <c r="O993" s="2"/>
      <c r="P993" s="2"/>
      <c r="Q993" s="2"/>
      <c r="R993" s="2"/>
      <c r="S993" s="2"/>
      <c r="T993" s="2"/>
      <c r="U993" s="2"/>
      <c r="V993" s="2"/>
      <c r="W993" s="2"/>
      <c r="X993" s="2"/>
      <c r="Y993" s="2"/>
      <c r="Z993" s="2"/>
    </row>
    <row r="994" ht="22.5" customHeight="1">
      <c r="A994" s="7"/>
      <c r="B994" s="7"/>
      <c r="C994" s="7"/>
      <c r="D994" s="7"/>
      <c r="E994" s="7"/>
      <c r="F994" s="7"/>
      <c r="G994" s="7"/>
      <c r="H994" s="2"/>
      <c r="K994" s="2"/>
      <c r="L994" s="2"/>
      <c r="M994" s="2"/>
      <c r="N994" s="2"/>
      <c r="O994" s="2"/>
      <c r="P994" s="2"/>
      <c r="Q994" s="2"/>
      <c r="R994" s="2"/>
      <c r="S994" s="2"/>
      <c r="T994" s="2"/>
      <c r="U994" s="2"/>
      <c r="V994" s="2"/>
      <c r="W994" s="2"/>
      <c r="X994" s="2"/>
      <c r="Y994" s="2"/>
      <c r="Z994" s="2"/>
    </row>
    <row r="995" ht="22.5" customHeight="1">
      <c r="A995" s="7"/>
      <c r="B995" s="7"/>
      <c r="C995" s="7"/>
      <c r="D995" s="7"/>
      <c r="E995" s="7"/>
      <c r="F995" s="7"/>
      <c r="G995" s="7"/>
      <c r="H995" s="2"/>
      <c r="K995" s="2"/>
      <c r="L995" s="2"/>
      <c r="M995" s="2"/>
      <c r="N995" s="2"/>
      <c r="O995" s="2"/>
      <c r="P995" s="2"/>
      <c r="Q995" s="2"/>
      <c r="R995" s="2"/>
      <c r="S995" s="2"/>
      <c r="T995" s="2"/>
      <c r="U995" s="2"/>
      <c r="V995" s="2"/>
      <c r="W995" s="2"/>
      <c r="X995" s="2"/>
      <c r="Y995" s="2"/>
      <c r="Z995" s="2"/>
    </row>
    <row r="996">
      <c r="A996" s="7"/>
      <c r="B996" s="7"/>
      <c r="C996" s="7"/>
      <c r="D996" s="7"/>
      <c r="E996" s="7"/>
      <c r="F996" s="7"/>
      <c r="G996" s="7"/>
      <c r="H996" s="2"/>
      <c r="K996" s="2"/>
      <c r="L996" s="2"/>
      <c r="M996" s="2"/>
      <c r="N996" s="2"/>
      <c r="O996" s="2"/>
      <c r="P996" s="2"/>
      <c r="Q996" s="2"/>
      <c r="R996" s="2"/>
      <c r="S996" s="2"/>
      <c r="T996" s="2"/>
      <c r="U996" s="2"/>
      <c r="V996" s="2"/>
      <c r="W996" s="2"/>
      <c r="X996" s="2"/>
      <c r="Y996" s="2"/>
      <c r="Z996" s="2"/>
    </row>
    <row r="997">
      <c r="A997" s="7"/>
      <c r="B997" s="7"/>
      <c r="C997" s="7"/>
      <c r="D997" s="7"/>
      <c r="E997" s="7"/>
      <c r="F997" s="7"/>
      <c r="G997" s="7"/>
      <c r="H997" s="2"/>
      <c r="K997" s="2"/>
      <c r="L997" s="2"/>
      <c r="M997" s="2"/>
      <c r="N997" s="2"/>
      <c r="O997" s="2"/>
      <c r="P997" s="2"/>
      <c r="Q997" s="2"/>
      <c r="R997" s="2"/>
      <c r="S997" s="2"/>
      <c r="T997" s="2"/>
      <c r="U997" s="2"/>
      <c r="V997" s="2"/>
      <c r="W997" s="2"/>
      <c r="X997" s="2"/>
      <c r="Y997" s="2"/>
      <c r="Z997" s="2"/>
    </row>
    <row r="998">
      <c r="A998" s="7"/>
      <c r="B998" s="7"/>
      <c r="C998" s="7"/>
      <c r="D998" s="7"/>
      <c r="E998" s="7"/>
      <c r="F998" s="7"/>
      <c r="G998" s="7"/>
      <c r="H998" s="2"/>
      <c r="K998" s="2"/>
      <c r="L998" s="2"/>
      <c r="M998" s="2"/>
      <c r="N998" s="2"/>
      <c r="O998" s="2"/>
      <c r="P998" s="2"/>
      <c r="Q998" s="2"/>
      <c r="R998" s="2"/>
      <c r="S998" s="2"/>
      <c r="T998" s="2"/>
      <c r="U998" s="2"/>
      <c r="V998" s="2"/>
      <c r="W998" s="2"/>
      <c r="X998" s="2"/>
      <c r="Y998" s="2"/>
      <c r="Z998" s="2"/>
    </row>
    <row r="999">
      <c r="A999" s="7"/>
      <c r="B999" s="7"/>
      <c r="C999" s="7"/>
      <c r="D999" s="7"/>
      <c r="E999" s="7"/>
      <c r="F999" s="7"/>
      <c r="G999" s="7"/>
      <c r="H999" s="2"/>
      <c r="K999" s="2"/>
      <c r="L999" s="2"/>
      <c r="M999" s="2"/>
      <c r="N999" s="2"/>
      <c r="O999" s="2"/>
      <c r="P999" s="2"/>
      <c r="Q999" s="2"/>
      <c r="R999" s="2"/>
      <c r="S999" s="2"/>
      <c r="T999" s="2"/>
      <c r="U999" s="2"/>
      <c r="V999" s="2"/>
      <c r="W999" s="2"/>
      <c r="X999" s="2"/>
      <c r="Y999" s="2"/>
      <c r="Z999" s="2"/>
    </row>
    <row r="1000">
      <c r="A1000" s="7"/>
      <c r="B1000" s="7"/>
      <c r="C1000" s="7"/>
      <c r="D1000" s="7"/>
      <c r="E1000" s="7"/>
      <c r="F1000" s="7"/>
      <c r="G1000" s="7"/>
      <c r="H1000" s="2"/>
      <c r="K1000" s="2"/>
      <c r="L1000" s="2"/>
      <c r="M1000" s="2"/>
      <c r="N1000" s="2"/>
      <c r="O1000" s="2"/>
      <c r="P1000" s="2"/>
      <c r="Q1000" s="2"/>
      <c r="R1000" s="2"/>
      <c r="S1000" s="2"/>
      <c r="T1000" s="2"/>
      <c r="U1000" s="2"/>
      <c r="V1000" s="2"/>
      <c r="W1000" s="2"/>
      <c r="X1000" s="2"/>
      <c r="Y1000" s="2"/>
      <c r="Z1000" s="2"/>
    </row>
    <row r="1001">
      <c r="A1001" s="7"/>
      <c r="B1001" s="7"/>
      <c r="C1001" s="7"/>
      <c r="D1001" s="7"/>
      <c r="E1001" s="7"/>
      <c r="F1001" s="7"/>
      <c r="G1001" s="7"/>
      <c r="H1001" s="2"/>
      <c r="K1001" s="2"/>
      <c r="L1001" s="2"/>
      <c r="M1001" s="2"/>
      <c r="N1001" s="2"/>
      <c r="O1001" s="2"/>
      <c r="P1001" s="2"/>
      <c r="Q1001" s="2"/>
      <c r="R1001" s="2"/>
      <c r="S1001" s="2"/>
      <c r="T1001" s="2"/>
      <c r="U1001" s="2"/>
      <c r="V1001" s="2"/>
      <c r="W1001" s="2"/>
      <c r="X1001" s="2"/>
      <c r="Y1001" s="2"/>
      <c r="Z1001" s="2"/>
    </row>
    <row r="1002">
      <c r="A1002" s="7"/>
      <c r="B1002" s="7"/>
      <c r="C1002" s="7"/>
      <c r="D1002" s="7"/>
      <c r="E1002" s="7"/>
      <c r="F1002" s="7"/>
      <c r="G1002" s="7"/>
      <c r="H1002" s="2"/>
      <c r="K1002" s="2"/>
      <c r="L1002" s="2"/>
      <c r="M1002" s="2"/>
      <c r="N1002" s="2"/>
      <c r="O1002" s="2"/>
      <c r="P1002" s="2"/>
      <c r="Q1002" s="2"/>
      <c r="R1002" s="2"/>
      <c r="S1002" s="2"/>
      <c r="T1002" s="2"/>
      <c r="U1002" s="2"/>
      <c r="V1002" s="2"/>
      <c r="W1002" s="2"/>
      <c r="X1002" s="2"/>
      <c r="Y1002" s="2"/>
      <c r="Z1002" s="2"/>
    </row>
  </sheetData>
  <mergeCells count="4">
    <mergeCell ref="A1:G1"/>
    <mergeCell ref="I1:J1"/>
    <mergeCell ref="E3:F3"/>
    <mergeCell ref="I5:J5"/>
  </mergeCells>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cfRule type="cellIs" dxfId="0" priority="1" operator="greaterThanOrEqual">
      <formula>$W$8</formula>
    </cfRule>
  </conditionalFormatting>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cfRule type="cellIs" dxfId="1" priority="2" operator="lessThanOrEqual">
      <formula>$W$9</formula>
    </cfRule>
  </conditionalFormatting>
  <conditionalFormatting sqref="J9 J13 J17 J21 J25 J29 J33 J37 J41 J45 J49 J53 J57 J61 J65 J69 J73 J77 J81 J85 J89 J93 J97 J101 J105 J109 J113 J117 J121 J125 J129 J133 J137 J141 J145 J149 J153 J157 J161 J165 J169 J173 J177 J181 J185 J189 J193 J197">
    <cfRule type="cellIs" dxfId="0" priority="3" operator="greaterThanOrEqual">
      <formula>$J$3</formula>
    </cfRule>
  </conditionalFormatting>
  <conditionalFormatting sqref="J9 J13 J17 J21 J25 J29 J33 J37 J41 J45 J49 J53 J57 J61 J65 J69 J73 J77 J81 J85 J89 J93 J97 J101 J105 J109 J113 J117 J121 J125 J129 J133 J137 J141 J145 J149 J153 J157 J161 J165 J169 J173 J177 J181 J185 J189 J193 J197">
    <cfRule type="cellIs" dxfId="1" priority="4" operator="lessThanOrEqual">
      <formula>$J$3*-1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13" width="10.13"/>
    <col customWidth="1" min="14" max="32" width="12.63"/>
  </cols>
  <sheetData>
    <row r="1" ht="30.0" customHeight="1">
      <c r="A1" s="82" t="s">
        <v>37</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ht="7.5" customHeight="1">
      <c r="B2" s="83"/>
      <c r="D2" s="84"/>
      <c r="E2" s="7"/>
      <c r="F2" s="7"/>
      <c r="G2" s="7"/>
      <c r="H2" s="7"/>
      <c r="I2" s="7"/>
      <c r="J2" s="7"/>
      <c r="K2" s="7"/>
      <c r="L2" s="7"/>
      <c r="M2" s="7"/>
      <c r="N2" s="7"/>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c r="F3" s="85" t="s">
        <v>22</v>
      </c>
      <c r="H3" s="52">
        <v>44307.0</v>
      </c>
      <c r="J3" s="7"/>
      <c r="K3" s="7"/>
      <c r="L3" s="7"/>
      <c r="M3" s="7"/>
      <c r="N3" s="7"/>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ht="7.5" customHeight="1">
      <c r="A4" s="83"/>
      <c r="B4" s="61"/>
      <c r="C4" s="7"/>
      <c r="D4" s="7"/>
      <c r="E4" s="7"/>
      <c r="F4" s="7"/>
      <c r="G4" s="7"/>
      <c r="H4" s="7"/>
      <c r="I4" s="7"/>
      <c r="J4" s="7"/>
      <c r="K4" s="7"/>
      <c r="L4" s="7"/>
      <c r="M4" s="7"/>
      <c r="N4" s="7"/>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ht="18.75" customHeight="1">
      <c r="B5" s="86" t="str">
        <f>IF(YEAR(M6)&lt;&gt;YEAR($H$3),CONCATENATE(YEAR($H$3),"-",YEAR(M6)),YEAR($H$3))</f>
        <v>2021-2022</v>
      </c>
      <c r="N5" s="53" t="s">
        <v>38</v>
      </c>
      <c r="O5" s="79"/>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ht="18.75" customHeight="1">
      <c r="A6" s="7"/>
      <c r="B6" s="87">
        <f>DATE(YEAR($H$3),MONTH($H$3),1)</f>
        <v>44287</v>
      </c>
      <c r="C6" s="87">
        <f t="shared" ref="C6:M6" si="1">EDATE(B6,1)</f>
        <v>44317</v>
      </c>
      <c r="D6" s="87">
        <f t="shared" si="1"/>
        <v>44348</v>
      </c>
      <c r="E6" s="87">
        <f t="shared" si="1"/>
        <v>44378</v>
      </c>
      <c r="F6" s="87">
        <f t="shared" si="1"/>
        <v>44409</v>
      </c>
      <c r="G6" s="87">
        <f t="shared" si="1"/>
        <v>44440</v>
      </c>
      <c r="H6" s="87">
        <f t="shared" si="1"/>
        <v>44470</v>
      </c>
      <c r="I6" s="87">
        <f t="shared" si="1"/>
        <v>44501</v>
      </c>
      <c r="J6" s="87">
        <f t="shared" si="1"/>
        <v>44531</v>
      </c>
      <c r="K6" s="87">
        <f t="shared" si="1"/>
        <v>44562</v>
      </c>
      <c r="L6" s="87">
        <f t="shared" si="1"/>
        <v>44593</v>
      </c>
      <c r="M6" s="87">
        <f t="shared" si="1"/>
        <v>44621</v>
      </c>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row>
    <row r="7" ht="7.5" customHeight="1">
      <c r="A7" s="88"/>
      <c r="C7" s="89"/>
      <c r="D7" s="89"/>
      <c r="E7" s="89"/>
      <c r="F7" s="89"/>
      <c r="G7" s="89"/>
      <c r="H7" s="89"/>
      <c r="I7" s="89"/>
      <c r="J7" s="89"/>
      <c r="K7" s="89"/>
      <c r="L7" s="89"/>
      <c r="M7" s="89"/>
      <c r="N7" s="90"/>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ht="90.0" customHeight="1">
      <c r="A8" s="91" t="str">
        <f>"1st Half: "&amp;TEXT(SUM(B9:G9)/SUM(B9:M9),"0.0%")</f>
        <v>1st Half: 50.0%</v>
      </c>
      <c r="B8" s="13"/>
      <c r="N8" s="91" t="str">
        <f>"2nd Half: "&amp;TEXT(SUM(H9:M9)/SUM(B9:M9),"0.0%")</f>
        <v>2nd Half: 50.0%</v>
      </c>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ht="18.75" customHeight="1">
      <c r="A9" s="92" t="s">
        <v>12</v>
      </c>
      <c r="B9" s="93">
        <f>SUMIFS(FinishedData!$C:$C,FinishedData!$A:$A,"&gt;="&amp;B6,FinishedData!$A:$A,"&lt;"&amp;C6)</f>
        <v>20175</v>
      </c>
      <c r="C9" s="93">
        <f>SUMIFS(FinishedData!$C:$C,FinishedData!$A:$A,"&gt;="&amp;C6,FinishedData!$A:$A,"&lt;"&amp;D6)</f>
        <v>21095</v>
      </c>
      <c r="D9" s="93">
        <f>SUMIFS(FinishedData!$C:$C,FinishedData!$A:$A,"&gt;="&amp;D6,FinishedData!$A:$A,"&lt;"&amp;E6)</f>
        <v>19400</v>
      </c>
      <c r="E9" s="93">
        <f>SUMIFS(FinishedData!$C:$C,FinishedData!$A:$A,"&gt;="&amp;E6,FinishedData!$A:$A,"&lt;"&amp;F6)</f>
        <v>20790</v>
      </c>
      <c r="F9" s="93">
        <f>SUMIFS(FinishedData!$C:$C,FinishedData!$A:$A,"&gt;="&amp;F6,FinishedData!$A:$A,"&lt;"&amp;G6)</f>
        <v>20285</v>
      </c>
      <c r="G9" s="93">
        <f>SUMIFS(FinishedData!$C:$C,FinishedData!$A:$A,"&gt;="&amp;G6,FinishedData!$A:$A,"&lt;"&amp;H6)</f>
        <v>18380</v>
      </c>
      <c r="H9" s="93">
        <f>SUMIFS(FinishedData!$C:$C,FinishedData!$A:$A,"&gt;="&amp;H6,FinishedData!$A:$A,"&lt;"&amp;I6)</f>
        <v>20255</v>
      </c>
      <c r="I9" s="93">
        <f>SUMIFS(FinishedData!$C:$C,FinishedData!$A:$A,"&gt;="&amp;I6,FinishedData!$A:$A,"&lt;"&amp;J6)</f>
        <v>19985</v>
      </c>
      <c r="J9" s="93">
        <f>SUMIFS(FinishedData!$C:$C,FinishedData!$A:$A,"&gt;="&amp;J6,FinishedData!$A:$A,"&lt;"&amp;K6)</f>
        <v>20680</v>
      </c>
      <c r="K9" s="93">
        <f>SUMIFS(FinishedData!$C:$C,FinishedData!$A:$A,"&gt;="&amp;K6,FinishedData!$A:$A,"&lt;"&amp;L6)</f>
        <v>21230</v>
      </c>
      <c r="L9" s="93">
        <f>SUMIFS(FinishedData!$C:$C,FinishedData!$A:$A,"&gt;="&amp;L6,FinishedData!$A:$A,"&lt;"&amp;M6)</f>
        <v>17880</v>
      </c>
      <c r="M9" s="93">
        <f>SUMIFS(FinishedData!$C:$C,FinishedData!$A:$A,"&gt;="&amp;M6,FinishedData!$A:$A,"&lt;"&amp;EDATE(M6,1))</f>
        <v>20200</v>
      </c>
      <c r="N9" s="94">
        <f>SUM(B9:M9)</f>
        <v>240355</v>
      </c>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ht="18.75" customHeight="1">
      <c r="A10" s="95" t="s">
        <v>50</v>
      </c>
      <c r="B10" s="96">
        <f t="shared" ref="B10:M10" si="2">B9/SUM($B9:$M9)</f>
        <v>0.0839383412</v>
      </c>
      <c r="C10" s="96">
        <f t="shared" si="2"/>
        <v>0.08776601277</v>
      </c>
      <c r="D10" s="96">
        <f t="shared" si="2"/>
        <v>0.08071394396</v>
      </c>
      <c r="E10" s="96">
        <f t="shared" si="2"/>
        <v>0.08649705644</v>
      </c>
      <c r="F10" s="96">
        <f t="shared" si="2"/>
        <v>0.08439599759</v>
      </c>
      <c r="G10" s="96">
        <f t="shared" si="2"/>
        <v>0.07647022113</v>
      </c>
      <c r="H10" s="96">
        <f t="shared" si="2"/>
        <v>0.08427118221</v>
      </c>
      <c r="I10" s="96">
        <f t="shared" si="2"/>
        <v>0.08314784381</v>
      </c>
      <c r="J10" s="96">
        <f t="shared" si="2"/>
        <v>0.08603940005</v>
      </c>
      <c r="K10" s="96">
        <f t="shared" si="2"/>
        <v>0.08832768197</v>
      </c>
      <c r="L10" s="96">
        <f t="shared" si="2"/>
        <v>0.07438996484</v>
      </c>
      <c r="M10" s="96">
        <f t="shared" si="2"/>
        <v>0.08404235402</v>
      </c>
      <c r="N10" s="97"/>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ht="18.75" customHeight="1">
      <c r="A11" s="98" t="s">
        <v>40</v>
      </c>
      <c r="B11" s="99">
        <f>SUMIFS(FinishedData!$D:$D,FinishedData!$B:$B,"Game",FinishedData!$A:$A,"&gt;="&amp;B6,FinishedData!$A:$A,"&lt;"&amp;EDATE(B6,1))</f>
        <v>9</v>
      </c>
      <c r="C11" s="99">
        <f>SUMIFS(FinishedData!$C:$C,FinishedData!$A:$A,"&gt;="&amp;C6,FinishedData!$A:$A,"&lt;"&amp;EDATE(C6,1))</f>
        <v>21095</v>
      </c>
      <c r="D11" s="99">
        <f>SUMIFS(FinishedData!$C:$C,FinishedData!$A:$A,"&gt;="&amp;D6,FinishedData!$A:$A,"&lt;"&amp;EDATE(D6,1))</f>
        <v>19400</v>
      </c>
      <c r="E11" s="99">
        <f>SUMIFS(FinishedData!$C:$C,FinishedData!$A:$A,"&gt;="&amp;E6,FinishedData!$A:$A,"&lt;"&amp;EDATE(E6,1))</f>
        <v>20790</v>
      </c>
      <c r="F11" s="99">
        <f>SUMIFS(FinishedData!$C:$C,FinishedData!$A:$A,"&gt;="&amp;F6,FinishedData!$A:$A,"&lt;"&amp;EDATE(F6,1))</f>
        <v>20285</v>
      </c>
      <c r="G11" s="99">
        <f>SUMIFS(FinishedData!$C:$C,FinishedData!$A:$A,"&gt;="&amp;G6,FinishedData!$A:$A,"&lt;"&amp;EDATE(G6,1))</f>
        <v>18380</v>
      </c>
      <c r="H11" s="99">
        <f>SUMIFS(FinishedData!$C:$C,FinishedData!$A:$A,"&gt;="&amp;H6,FinishedData!$A:$A,"&lt;"&amp;EDATE(H6,1))</f>
        <v>20255</v>
      </c>
      <c r="I11" s="99">
        <f>SUMIFS(FinishedData!$C:$C,FinishedData!$A:$A,"&gt;="&amp;I6,FinishedData!$A:$A,"&lt;"&amp;EDATE(I6,1))</f>
        <v>19985</v>
      </c>
      <c r="J11" s="99">
        <f>SUMIFS(FinishedData!$C:$C,FinishedData!$A:$A,"&gt;="&amp;J6,FinishedData!$A:$A,"&lt;"&amp;EDATE(J6,1))</f>
        <v>20680</v>
      </c>
      <c r="K11" s="99">
        <f>SUMIFS(FinishedData!$C:$C,FinishedData!$A:$A,"&gt;="&amp;K6,FinishedData!$A:$A,"&lt;"&amp;EDATE(K6,1))</f>
        <v>21230</v>
      </c>
      <c r="L11" s="99">
        <f>SUMIFS(FinishedData!$C:$C,FinishedData!$A:$A,"&gt;="&amp;L6,FinishedData!$A:$A,"&lt;"&amp;EDATE(L6,1))</f>
        <v>17880</v>
      </c>
      <c r="M11" s="99">
        <f>SUMIFS(FinishedData!$C:$C,FinishedData!$A:$A,"&gt;="&amp;M6,FinishedData!$A:$A,"&lt;"&amp;EDATE(M6,1))</f>
        <v>20200</v>
      </c>
      <c r="N11" s="94">
        <f t="shared" ref="N11:N14" si="3">SUM(B11:M11)</f>
        <v>220189</v>
      </c>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ht="18.75" customHeight="1">
      <c r="A12" s="100" t="s">
        <v>41</v>
      </c>
      <c r="B12" s="89">
        <f>SUMIFS(FinishedData!$C:$C,FinishedData!$A:$A,"&gt;="&amp;B7,FinishedData!$A:$A,"&lt;"&amp;EDATE(B7,1))</f>
        <v>0</v>
      </c>
      <c r="C12" s="7" t="str">
        <f>IFERROR(__xludf.DUMMYFUNCTION("IFERROR(IF(C6="""","""",SUM(FILTER(#REF!,YEAR(FinishedData!$A:$A)=YEAR(C6),MONTH(FinishedData!$A:$A)=MONTH(C6),FinishedData!$B:$B=""Practice""))),"""")"),"")</f>
        <v/>
      </c>
      <c r="D12" s="7" t="str">
        <f>IFERROR(__xludf.DUMMYFUNCTION("IFERROR(IF(D6="""","""",SUM(FILTER(#REF!,YEAR(FinishedData!$A:$A)=YEAR(D6),MONTH(FinishedData!$A:$A)=MONTH(D6),FinishedData!$B:$B=""Practice""))),"""")"),"")</f>
        <v/>
      </c>
      <c r="E12" s="7" t="str">
        <f>IFERROR(__xludf.DUMMYFUNCTION("IFERROR(IF(E6="""","""",SUM(FILTER(#REF!,YEAR(FinishedData!$A:$A)=YEAR(E6),MONTH(FinishedData!$A:$A)=MONTH(E6),FinishedData!$B:$B=""Practice""))),"""")"),"")</f>
        <v/>
      </c>
      <c r="F12" s="7" t="str">
        <f>IFERROR(__xludf.DUMMYFUNCTION("IFERROR(IF(F6="""","""",SUM(FILTER(#REF!,YEAR(FinishedData!$A:$A)=YEAR(F6),MONTH(FinishedData!$A:$A)=MONTH(F6),FinishedData!$B:$B=""Practice""))),"""")"),"")</f>
        <v/>
      </c>
      <c r="G12" s="7" t="str">
        <f>IFERROR(__xludf.DUMMYFUNCTION("IFERROR(IF(G6="""","""",SUM(FILTER(#REF!,YEAR(FinishedData!$A:$A)=YEAR(G6),MONTH(FinishedData!$A:$A)=MONTH(G6),FinishedData!$B:$B=""Practice""))),"""")"),"")</f>
        <v/>
      </c>
      <c r="H12" s="7" t="str">
        <f>IFERROR(__xludf.DUMMYFUNCTION("IFERROR(IF(H6="""","""",SUM(FILTER(#REF!,YEAR(FinishedData!$A:$A)=YEAR(H6),MONTH(FinishedData!$A:$A)=MONTH(H6),FinishedData!$B:$B=""Practice""))),"""")"),"")</f>
        <v/>
      </c>
      <c r="I12" s="7" t="str">
        <f>IFERROR(__xludf.DUMMYFUNCTION("IFERROR(IF(I6="""","""",SUM(FILTER(#REF!,YEAR(FinishedData!$A:$A)=YEAR(I6),MONTH(FinishedData!$A:$A)=MONTH(I6),FinishedData!$B:$B=""Practice""))),"""")"),"")</f>
        <v/>
      </c>
      <c r="J12" s="7" t="str">
        <f>IFERROR(__xludf.DUMMYFUNCTION("IFERROR(IF(J6="""","""",SUM(FILTER(#REF!,YEAR(FinishedData!$A:$A)=YEAR(J6),MONTH(FinishedData!$A:$A)=MONTH(J6),FinishedData!$B:$B=""Practice""))),"""")"),"")</f>
        <v/>
      </c>
      <c r="K12" s="7" t="str">
        <f>IFERROR(__xludf.DUMMYFUNCTION("IFERROR(IF(K6="""","""",SUM(FILTER(#REF!,YEAR(FinishedData!$A:$A)=YEAR(K6),MONTH(FinishedData!$A:$A)=MONTH(K6),FinishedData!$B:$B=""Practice""))),"""")"),"")</f>
        <v/>
      </c>
      <c r="L12" s="7" t="str">
        <f>IFERROR(__xludf.DUMMYFUNCTION("IFERROR(IF(L6="""","""",SUM(FILTER(#REF!,YEAR(FinishedData!$A:$A)=YEAR(L6),MONTH(FinishedData!$A:$A)=MONTH(L6),FinishedData!$B:$B=""Practice""))),"""")"),"")</f>
        <v/>
      </c>
      <c r="M12" s="7" t="str">
        <f>IFERROR(__xludf.DUMMYFUNCTION("IFERROR(IF(M6="""","""",SUM(FILTER(#REF!,YEAR(FinishedData!$A:$A)=YEAR(M6),MONTH(FinishedData!$A:$A)=MONTH(M6),FinishedData!$B:$B=""Practice""))),"""")"),"")</f>
        <v/>
      </c>
      <c r="N12" s="101">
        <f t="shared" si="3"/>
        <v>0</v>
      </c>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ht="18.75" customHeight="1">
      <c r="A13" s="100" t="s">
        <v>13</v>
      </c>
      <c r="B13" s="7" t="str">
        <f>IFERROR(__xludf.DUMMYFUNCTION("IFERROR(IF(B6="""","""",SUM(FILTER(#REF!,YEAR(FinishedData!$A:$A)=YEAR(B6),MONTH(FinishedData!$A:$A)=MONTH(B6),FinishedData!$B:$B=""Gym""))),"""")"),"")</f>
        <v/>
      </c>
      <c r="C13" s="7" t="str">
        <f>IFERROR(__xludf.DUMMYFUNCTION("IFERROR(IF(C6="""","""",SUM(FILTER(#REF!,YEAR(FinishedData!$A:$A)=YEAR(C6),MONTH(FinishedData!$A:$A)=MONTH(C6),FinishedData!$B:$B=""Gym""))),"""")"),"")</f>
        <v/>
      </c>
      <c r="D13" s="7" t="str">
        <f>IFERROR(__xludf.DUMMYFUNCTION("IFERROR(IF(D6="""","""",SUM(FILTER(#REF!,YEAR(FinishedData!$A:$A)=YEAR(D6),MONTH(FinishedData!$A:$A)=MONTH(D6),FinishedData!$B:$B=""Gym""))),"""")"),"")</f>
        <v/>
      </c>
      <c r="E13" s="7" t="str">
        <f>IFERROR(__xludf.DUMMYFUNCTION("IFERROR(IF(E6="""","""",SUM(FILTER(#REF!,YEAR(FinishedData!$A:$A)=YEAR(E6),MONTH(FinishedData!$A:$A)=MONTH(E6),FinishedData!$B:$B=""Gym""))),"""")"),"")</f>
        <v/>
      </c>
      <c r="F13" s="7" t="str">
        <f>IFERROR(__xludf.DUMMYFUNCTION("IFERROR(IF(F6="""","""",SUM(FILTER(#REF!,YEAR(FinishedData!$A:$A)=YEAR(F6),MONTH(FinishedData!$A:$A)=MONTH(F6),FinishedData!$B:$B=""Gym""))),"""")"),"")</f>
        <v/>
      </c>
      <c r="G13" s="7" t="str">
        <f>IFERROR(__xludf.DUMMYFUNCTION("IFERROR(IF(G6="""","""",SUM(FILTER(#REF!,YEAR(FinishedData!$A:$A)=YEAR(G6),MONTH(FinishedData!$A:$A)=MONTH(G6),FinishedData!$B:$B=""Gym""))),"""")"),"")</f>
        <v/>
      </c>
      <c r="H13" s="7" t="str">
        <f>IFERROR(__xludf.DUMMYFUNCTION("IFERROR(IF(H6="""","""",SUM(FILTER(#REF!,YEAR(FinishedData!$A:$A)=YEAR(H6),MONTH(FinishedData!$A:$A)=MONTH(H6),FinishedData!$B:$B=""Gym""))),"""")"),"")</f>
        <v/>
      </c>
      <c r="I13" s="7" t="str">
        <f>IFERROR(__xludf.DUMMYFUNCTION("IFERROR(IF(I6="""","""",SUM(FILTER(#REF!,YEAR(FinishedData!$A:$A)=YEAR(I6),MONTH(FinishedData!$A:$A)=MONTH(I6),FinishedData!$B:$B=""Gym""))),"""")"),"")</f>
        <v/>
      </c>
      <c r="J13" s="7" t="str">
        <f>IFERROR(__xludf.DUMMYFUNCTION("IFERROR(IF(J6="""","""",SUM(FILTER(#REF!,YEAR(FinishedData!$A:$A)=YEAR(J6),MONTH(FinishedData!$A:$A)=MONTH(J6),FinishedData!$B:$B=""Gym""))),"""")"),"")</f>
        <v/>
      </c>
      <c r="K13" s="7" t="str">
        <f>IFERROR(__xludf.DUMMYFUNCTION("IFERROR(IF(K6="""","""",SUM(FILTER(#REF!,YEAR(FinishedData!$A:$A)=YEAR(K6),MONTH(FinishedData!$A:$A)=MONTH(K6),FinishedData!$B:$B=""Gym""))),"""")"),"")</f>
        <v/>
      </c>
      <c r="L13" s="7" t="str">
        <f>IFERROR(__xludf.DUMMYFUNCTION("IFERROR(IF(L6="""","""",SUM(FILTER(#REF!,YEAR(FinishedData!$A:$A)=YEAR(L6),MONTH(FinishedData!$A:$A)=MONTH(L6),FinishedData!$B:$B=""Gym""))),"""")"),"")</f>
        <v/>
      </c>
      <c r="M13" s="7" t="str">
        <f>IFERROR(__xludf.DUMMYFUNCTION("IFERROR(IF(M6="""","""",SUM(FILTER(#REF!,YEAR(FinishedData!$A:$A)=YEAR(M6),MONTH(FinishedData!$A:$A)=MONTH(M6),FinishedData!$B:$B=""Gym""))),"""")"),"")</f>
        <v/>
      </c>
      <c r="N13" s="101">
        <f t="shared" si="3"/>
        <v>0</v>
      </c>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ht="18.75" customHeight="1">
      <c r="A14" s="102" t="s">
        <v>51</v>
      </c>
      <c r="B14" s="103" t="str">
        <f>IFERROR(__xludf.DUMMYFUNCTION("IFERROR(IF(B6="""","""",SUM(FILTER(#REF!,YEAR(FinishedData!$A:$A)=YEAR(B6),MONTH(FinishedData!$A:$A)=MONTH(B6),FinishedData!$B:$B=""Off""))),"""")"),"")</f>
        <v/>
      </c>
      <c r="C14" s="103" t="str">
        <f>IFERROR(__xludf.DUMMYFUNCTION("IFERROR(IF(C6="""","""",SUM(FILTER(#REF!,YEAR(FinishedData!$A:$A)=YEAR(C6),MONTH(FinishedData!$A:$A)=MONTH(C6),FinishedData!$B:$B=""Off""))),"""")"),"")</f>
        <v/>
      </c>
      <c r="D14" s="103" t="str">
        <f>IFERROR(__xludf.DUMMYFUNCTION("IFERROR(IF(D6="""","""",SUM(FILTER(#REF!,YEAR(FinishedData!$A:$A)=YEAR(D6),MONTH(FinishedData!$A:$A)=MONTH(D6),FinishedData!$B:$B=""Off""))),"""")"),"")</f>
        <v/>
      </c>
      <c r="E14" s="103" t="str">
        <f>IFERROR(__xludf.DUMMYFUNCTION("IFERROR(IF(E6="""","""",SUM(FILTER(#REF!,YEAR(FinishedData!$A:$A)=YEAR(E6),MONTH(FinishedData!$A:$A)=MONTH(E6),FinishedData!$B:$B=""Off""))),"""")"),"")</f>
        <v/>
      </c>
      <c r="F14" s="103" t="str">
        <f>IFERROR(__xludf.DUMMYFUNCTION("IFERROR(IF(F6="""","""",SUM(FILTER(#REF!,YEAR(FinishedData!$A:$A)=YEAR(F6),MONTH(FinishedData!$A:$A)=MONTH(F6),FinishedData!$B:$B=""Off""))),"""")"),"")</f>
        <v/>
      </c>
      <c r="G14" s="103" t="str">
        <f>IFERROR(__xludf.DUMMYFUNCTION("IFERROR(IF(G6="""","""",SUM(FILTER(#REF!,YEAR(FinishedData!$A:$A)=YEAR(G6),MONTH(FinishedData!$A:$A)=MONTH(G6),FinishedData!$B:$B=""Off""))),"""")"),"")</f>
        <v/>
      </c>
      <c r="H14" s="103" t="str">
        <f>IFERROR(__xludf.DUMMYFUNCTION("IFERROR(IF(H6="""","""",SUM(FILTER(#REF!,YEAR(FinishedData!$A:$A)=YEAR(H6),MONTH(FinishedData!$A:$A)=MONTH(H6),FinishedData!$B:$B=""Off""))),"""")"),"")</f>
        <v/>
      </c>
      <c r="I14" s="103" t="str">
        <f>IFERROR(__xludf.DUMMYFUNCTION("IFERROR(IF(I6="""","""",SUM(FILTER(#REF!,YEAR(FinishedData!$A:$A)=YEAR(I6),MONTH(FinishedData!$A:$A)=MONTH(I6),FinishedData!$B:$B=""Off""))),"""")"),"")</f>
        <v/>
      </c>
      <c r="J14" s="103" t="str">
        <f>IFERROR(__xludf.DUMMYFUNCTION("IFERROR(IF(J6="""","""",SUM(FILTER(#REF!,YEAR(FinishedData!$A:$A)=YEAR(J6),MONTH(FinishedData!$A:$A)=MONTH(J6),FinishedData!$B:$B=""Off""))),"""")"),"")</f>
        <v/>
      </c>
      <c r="K14" s="103" t="str">
        <f>IFERROR(__xludf.DUMMYFUNCTION("IFERROR(IF(K6="""","""",SUM(FILTER(#REF!,YEAR(FinishedData!$A:$A)=YEAR(K6),MONTH(FinishedData!$A:$A)=MONTH(K6),FinishedData!$B:$B=""Off""))),"""")"),"")</f>
        <v/>
      </c>
      <c r="L14" s="103" t="str">
        <f>IFERROR(__xludf.DUMMYFUNCTION("IFERROR(IF(L6="""","""",SUM(FILTER(#REF!,YEAR(FinishedData!$A:$A)=YEAR(L6),MONTH(FinishedData!$A:$A)=MONTH(L6),FinishedData!$B:$B=""Off""))),"""")"),"")</f>
        <v/>
      </c>
      <c r="M14" s="103" t="str">
        <f>IFERROR(__xludf.DUMMYFUNCTION("IFERROR(IF(M6="""","""",SUM(FILTER(#REF!,YEAR(FinishedData!$A:$A)=YEAR(M6),MONTH(FinishedData!$A:$A)=MONTH(M6),FinishedData!$B:$B=""Off""))),"""")"),"")</f>
        <v/>
      </c>
      <c r="N14" s="104">
        <f t="shared" si="3"/>
        <v>0</v>
      </c>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ht="18.75" customHeight="1">
      <c r="A15" s="89"/>
      <c r="B15" s="105"/>
      <c r="C15" s="105"/>
      <c r="D15" s="105"/>
      <c r="E15" s="105"/>
      <c r="F15" s="105"/>
      <c r="G15" s="105"/>
      <c r="H15" s="105"/>
      <c r="I15" s="105"/>
      <c r="J15" s="105"/>
      <c r="K15" s="105"/>
      <c r="L15" s="105"/>
      <c r="M15" s="105"/>
      <c r="N15" s="89"/>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c r="AQ15" s="106"/>
      <c r="AR15" s="106"/>
      <c r="AS15" s="106"/>
      <c r="AT15" s="106"/>
    </row>
    <row r="16" ht="18.75" customHeight="1">
      <c r="A16" s="7"/>
      <c r="B16" s="107" t="str">
        <f>IF(YEAR(M17)&lt;&gt;YEAR($H$3)+1,CONCATENATE(YEAR($H$3)+1,"-",YEAR(M17)),YEAR($H$3)+1)</f>
        <v>2022-2023</v>
      </c>
      <c r="N16" s="7"/>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ht="18.75" customHeight="1">
      <c r="A17" s="7"/>
      <c r="B17" s="87">
        <f>DATE(YEAR($H$3)+1,MONTH($H$3),1)</f>
        <v>44652</v>
      </c>
      <c r="C17" s="87">
        <f t="shared" ref="C17:M17" si="4">IF(B17="","",IF(EDATE(B17,1)=EDATE($B17,12),"",EDATE(B17,1)))</f>
        <v>44682</v>
      </c>
      <c r="D17" s="87">
        <f t="shared" si="4"/>
        <v>44713</v>
      </c>
      <c r="E17" s="87">
        <f t="shared" si="4"/>
        <v>44743</v>
      </c>
      <c r="F17" s="87">
        <f t="shared" si="4"/>
        <v>44774</v>
      </c>
      <c r="G17" s="87">
        <f t="shared" si="4"/>
        <v>44805</v>
      </c>
      <c r="H17" s="87">
        <f t="shared" si="4"/>
        <v>44835</v>
      </c>
      <c r="I17" s="87">
        <f t="shared" si="4"/>
        <v>44866</v>
      </c>
      <c r="J17" s="87">
        <f t="shared" si="4"/>
        <v>44896</v>
      </c>
      <c r="K17" s="87">
        <f t="shared" si="4"/>
        <v>44927</v>
      </c>
      <c r="L17" s="87">
        <f t="shared" si="4"/>
        <v>44958</v>
      </c>
      <c r="M17" s="87">
        <f t="shared" si="4"/>
        <v>44986</v>
      </c>
      <c r="N17" s="53" t="s">
        <v>38</v>
      </c>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ht="3.75" customHeight="1">
      <c r="A18" s="88"/>
      <c r="B18" s="89"/>
      <c r="C18" s="89"/>
      <c r="D18" s="89"/>
      <c r="E18" s="89"/>
      <c r="F18" s="89"/>
      <c r="G18" s="89"/>
      <c r="H18" s="89"/>
      <c r="I18" s="89"/>
      <c r="J18" s="89"/>
      <c r="K18" s="89"/>
      <c r="L18" s="89"/>
      <c r="M18" s="89"/>
      <c r="N18" s="90"/>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row>
    <row r="19" ht="18.75" customHeight="1">
      <c r="A19" s="60" t="s">
        <v>12</v>
      </c>
      <c r="B19" s="108">
        <f>IFERROR(__xludf.DUMMYFUNCTION("IFERROR(IF(B17="""","""",SUM(FILTER(FinishedData!$C:$C,YEAR(FinishedData!$A:$A)=YEAR(B17),MONTH(FinishedData!$A:$A)=MONTH(B17),FinishedData!$B:$B=""Game""))),"""")"),4950.0)</f>
        <v>4950</v>
      </c>
      <c r="C19" s="109">
        <f>IFERROR(__xludf.DUMMYFUNCTION("IFERROR(IF(C17="""","""",SUM(FILTER(FinishedData!$C:$C,YEAR(FinishedData!$A:$A)=YEAR(C17),MONTH(FinishedData!$A:$A)=MONTH(C17),FinishedData!$B:$B=""Game""))),"""")"),5365.0)</f>
        <v>5365</v>
      </c>
      <c r="D19" s="109">
        <f>IFERROR(__xludf.DUMMYFUNCTION("IFERROR(IF(D17="""","""",SUM(FILTER(FinishedData!$C:$C,YEAR(FinishedData!$A:$A)=YEAR(D17),MONTH(FinishedData!$A:$A)=MONTH(D17),FinishedData!$B:$B=""Game""))),"""")"),6035.0)</f>
        <v>6035</v>
      </c>
      <c r="E19" s="109">
        <f>IFERROR(__xludf.DUMMYFUNCTION("IFERROR(IF(E17="""","""",SUM(FILTER(FinishedData!$C:$C,YEAR(FinishedData!$A:$A)=YEAR(E17),MONTH(FinishedData!$A:$A)=MONTH(E17),FinishedData!$B:$B=""Game""))),"""")"),5750.0)</f>
        <v>5750</v>
      </c>
      <c r="F19" s="109">
        <f>IFERROR(__xludf.DUMMYFUNCTION("IFERROR(IF(F17="""","""",SUM(FILTER(FinishedData!$C:$C,YEAR(FinishedData!$A:$A)=YEAR(F17),MONTH(FinishedData!$A:$A)=MONTH(F17),FinishedData!$B:$B=""Game""))),"""")"),6405.0)</f>
        <v>6405</v>
      </c>
      <c r="G19" s="109">
        <f>IFERROR(__xludf.DUMMYFUNCTION("IFERROR(IF(G17="""","""",SUM(FILTER(FinishedData!$C:$C,YEAR(FinishedData!$A:$A)=YEAR(G17),MONTH(FinishedData!$A:$A)=MONTH(G17),FinishedData!$B:$B=""Game""))),"""")"),5610.0)</f>
        <v>5610</v>
      </c>
      <c r="H19" s="109">
        <f>IFERROR(__xludf.DUMMYFUNCTION("IFERROR(IF(H17="""","""",SUM(FILTER(FinishedData!$C:$C,YEAR(FinishedData!$A:$A)=YEAR(H17),MONTH(FinishedData!$A:$A)=MONTH(H17),FinishedData!$B:$B=""Game""))),"""")"),5655.0)</f>
        <v>5655</v>
      </c>
      <c r="I19" s="109">
        <f>IFERROR(__xludf.DUMMYFUNCTION("IFERROR(IF(I17="""","""",SUM(FILTER(FinishedData!$C:$C,YEAR(FinishedData!$A:$A)=YEAR(I17),MONTH(FinishedData!$A:$A)=MONTH(I17),FinishedData!$B:$B=""Game""))),"""")"),5415.0)</f>
        <v>5415</v>
      </c>
      <c r="J19" s="109">
        <f>IFERROR(__xludf.DUMMYFUNCTION("IFERROR(IF(J17="""","""",SUM(FILTER(FinishedData!$C:$C,YEAR(FinishedData!$A:$A)=YEAR(J17),MONTH(FinishedData!$A:$A)=MONTH(J17),FinishedData!$B:$B=""Game""))),"""")"),7250.0)</f>
        <v>7250</v>
      </c>
      <c r="K19" s="109">
        <f>IFERROR(__xludf.DUMMYFUNCTION("IFERROR(IF(K17="""","""",SUM(FILTER(FinishedData!$C:$C,YEAR(FinishedData!$A:$A)=YEAR(K17),MONTH(FinishedData!$A:$A)=MONTH(K17),FinishedData!$B:$B=""Game""))),"""")"),6230.0)</f>
        <v>6230</v>
      </c>
      <c r="L19" s="109">
        <f>IFERROR(__xludf.DUMMYFUNCTION("IFERROR(IF(L17="""","""",SUM(FILTER(FinishedData!$C:$C,YEAR(FinishedData!$A:$A)=YEAR(L17),MONTH(FinishedData!$A:$A)=MONTH(L17),FinishedData!$B:$B=""Game""))),"""")"),6245.0)</f>
        <v>6245</v>
      </c>
      <c r="M19" s="109">
        <f>IFERROR(__xludf.DUMMYFUNCTION("IFERROR(IF(M17="""","""",SUM(FILTER(FinishedData!$C:$C,YEAR(FinishedData!$A:$A)=YEAR(M17),MONTH(FinishedData!$A:$A)=MONTH(M17),FinishedData!$B:$B=""Game""))),"""")"),5865.0)</f>
        <v>5865</v>
      </c>
      <c r="N19" s="110">
        <f t="shared" ref="N19:N23" si="5">SUM(B19:M19)</f>
        <v>70775</v>
      </c>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ht="18.75" customHeight="1">
      <c r="A20" s="60" t="s">
        <v>40</v>
      </c>
      <c r="B20" s="7" t="str">
        <f>IFERROR(__xludf.DUMMYFUNCTION("IFERROR(IF(B17="""","""",SUM(FILTER(#REF!,YEAR(FinishedData!$A:$A)=YEAR(B17),MONTH(FinishedData!$A:$A)=MONTH(B17),FinishedData!$B:$B=""Game""))),"""")"),"")</f>
        <v/>
      </c>
      <c r="C20" s="7" t="str">
        <f>IFERROR(__xludf.DUMMYFUNCTION("IFERROR(IF(C17="""","""",SUM(FILTER(#REF!,YEAR(FinishedData!$A:$A)=YEAR(C17),MONTH(FinishedData!$A:$A)=MONTH(C17),FinishedData!$B:$B=""Game""))),"""")"),"")</f>
        <v/>
      </c>
      <c r="D20" s="7" t="str">
        <f>IFERROR(__xludf.DUMMYFUNCTION("IFERROR(IF(D17="""","""",SUM(FILTER(#REF!,YEAR(FinishedData!$A:$A)=YEAR(D17),MONTH(FinishedData!$A:$A)=MONTH(D17),FinishedData!$B:$B=""Game""))),"""")"),"")</f>
        <v/>
      </c>
      <c r="E20" s="7" t="str">
        <f>IFERROR(__xludf.DUMMYFUNCTION("IFERROR(IF(E17="""","""",SUM(FILTER(#REF!,YEAR(FinishedData!$A:$A)=YEAR(E17),MONTH(FinishedData!$A:$A)=MONTH(E17),FinishedData!$B:$B=""Game""))),"""")"),"")</f>
        <v/>
      </c>
      <c r="F20" s="7" t="str">
        <f>IFERROR(__xludf.DUMMYFUNCTION("IFERROR(IF(F17="""","""",SUM(FILTER(#REF!,YEAR(FinishedData!$A:$A)=YEAR(F17),MONTH(FinishedData!$A:$A)=MONTH(F17),FinishedData!$B:$B=""Game""))),"""")"),"")</f>
        <v/>
      </c>
      <c r="G20" s="7" t="str">
        <f>IFERROR(__xludf.DUMMYFUNCTION("IFERROR(IF(G17="""","""",SUM(FILTER(#REF!,YEAR(FinishedData!$A:$A)=YEAR(G17),MONTH(FinishedData!$A:$A)=MONTH(G17),FinishedData!$B:$B=""Game""))),"""")"),"")</f>
        <v/>
      </c>
      <c r="H20" s="7" t="str">
        <f>IFERROR(__xludf.DUMMYFUNCTION("IFERROR(IF(H17="""","""",SUM(FILTER(#REF!,YEAR(FinishedData!$A:$A)=YEAR(H17),MONTH(FinishedData!$A:$A)=MONTH(H17),FinishedData!$B:$B=""Game""))),"""")"),"")</f>
        <v/>
      </c>
      <c r="I20" s="7" t="str">
        <f>IFERROR(__xludf.DUMMYFUNCTION("IFERROR(IF(I17="""","""",SUM(FILTER(#REF!,YEAR(FinishedData!$A:$A)=YEAR(I17),MONTH(FinishedData!$A:$A)=MONTH(I17),FinishedData!$B:$B=""Game""))),"""")"),"")</f>
        <v/>
      </c>
      <c r="J20" s="7" t="str">
        <f>IFERROR(__xludf.DUMMYFUNCTION("IFERROR(IF(J17="""","""",SUM(FILTER(#REF!,YEAR(FinishedData!$A:$A)=YEAR(J17),MONTH(FinishedData!$A:$A)=MONTH(J17),FinishedData!$B:$B=""Game""))),"""")"),"")</f>
        <v/>
      </c>
      <c r="K20" s="7" t="str">
        <f>IFERROR(__xludf.DUMMYFUNCTION("IFERROR(IF(K17="""","""",SUM(FILTER(#REF!,YEAR(FinishedData!$A:$A)=YEAR(K17),MONTH(FinishedData!$A:$A)=MONTH(K17),FinishedData!$B:$B=""Game""))),"""")"),"")</f>
        <v/>
      </c>
      <c r="L20" s="7" t="str">
        <f>IFERROR(__xludf.DUMMYFUNCTION("IFERROR(IF(L17="""","""",SUM(FILTER(#REF!,YEAR(FinishedData!$A:$A)=YEAR(L17),MONTH(FinishedData!$A:$A)=MONTH(L17),FinishedData!$B:$B=""Game""))),"""")"),"")</f>
        <v/>
      </c>
      <c r="M20" s="7" t="str">
        <f>IFERROR(__xludf.DUMMYFUNCTION("IFERROR(IF(M17="""","""",SUM(FILTER(#REF!,YEAR(FinishedData!$A:$A)=YEAR(M17),MONTH(FinishedData!$A:$A)=MONTH(M17),FinishedData!$B:$B=""Game""))),"""")"),"")</f>
        <v/>
      </c>
      <c r="N20" s="111">
        <f t="shared" si="5"/>
        <v>0</v>
      </c>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ht="18.75" customHeight="1">
      <c r="A21" s="60" t="s">
        <v>41</v>
      </c>
      <c r="B21" s="7" t="str">
        <f>IFERROR(__xludf.DUMMYFUNCTION("IFERROR(IF(B17="""","""",SUM(FILTER(#REF!,YEAR(FinishedData!$A:$A)=YEAR(B17),MONTH(FinishedData!$A:$A)=MONTH(B17),FinishedData!$B:$B=""Practice""))),"""")"),"")</f>
        <v/>
      </c>
      <c r="C21" s="7" t="str">
        <f>IFERROR(__xludf.DUMMYFUNCTION("IFERROR(IF(C17="""","""",SUM(FILTER(#REF!,YEAR(FinishedData!$A:$A)=YEAR(C17),MONTH(FinishedData!$A:$A)=MONTH(C17),FinishedData!$B:$B=""Practice""))),"""")"),"")</f>
        <v/>
      </c>
      <c r="D21" s="7" t="str">
        <f>IFERROR(__xludf.DUMMYFUNCTION("IFERROR(IF(D17="""","""",SUM(FILTER(#REF!,YEAR(FinishedData!$A:$A)=YEAR(D17),MONTH(FinishedData!$A:$A)=MONTH(D17),FinishedData!$B:$B=""Practice""))),"""")"),"")</f>
        <v/>
      </c>
      <c r="E21" s="7" t="str">
        <f>IFERROR(__xludf.DUMMYFUNCTION("IFERROR(IF(E17="""","""",SUM(FILTER(#REF!,YEAR(FinishedData!$A:$A)=YEAR(E17),MONTH(FinishedData!$A:$A)=MONTH(E17),FinishedData!$B:$B=""Practice""))),"""")"),"")</f>
        <v/>
      </c>
      <c r="F21" s="7" t="str">
        <f>IFERROR(__xludf.DUMMYFUNCTION("IFERROR(IF(F17="""","""",SUM(FILTER(#REF!,YEAR(FinishedData!$A:$A)=YEAR(F17),MONTH(FinishedData!$A:$A)=MONTH(F17),FinishedData!$B:$B=""Practice""))),"""")"),"")</f>
        <v/>
      </c>
      <c r="G21" s="7" t="str">
        <f>IFERROR(__xludf.DUMMYFUNCTION("IFERROR(IF(G17="""","""",SUM(FILTER(#REF!,YEAR(FinishedData!$A:$A)=YEAR(G17),MONTH(FinishedData!$A:$A)=MONTH(G17),FinishedData!$B:$B=""Practice""))),"""")"),"")</f>
        <v/>
      </c>
      <c r="H21" s="7" t="str">
        <f>IFERROR(__xludf.DUMMYFUNCTION("IFERROR(IF(H17="""","""",SUM(FILTER(#REF!,YEAR(FinishedData!$A:$A)=YEAR(H17),MONTH(FinishedData!$A:$A)=MONTH(H17),FinishedData!$B:$B=""Practice""))),"""")"),"")</f>
        <v/>
      </c>
      <c r="I21" s="7" t="str">
        <f>IFERROR(__xludf.DUMMYFUNCTION("IFERROR(IF(I17="""","""",SUM(FILTER(#REF!,YEAR(FinishedData!$A:$A)=YEAR(I17),MONTH(FinishedData!$A:$A)=MONTH(I17),FinishedData!$B:$B=""Practice""))),"""")"),"")</f>
        <v/>
      </c>
      <c r="J21" s="7" t="str">
        <f>IFERROR(__xludf.DUMMYFUNCTION("IFERROR(IF(J17="""","""",SUM(FILTER(#REF!,YEAR(FinishedData!$A:$A)=YEAR(J17),MONTH(FinishedData!$A:$A)=MONTH(J17),FinishedData!$B:$B=""Practice""))),"""")"),"")</f>
        <v/>
      </c>
      <c r="K21" s="7" t="str">
        <f>IFERROR(__xludf.DUMMYFUNCTION("IFERROR(IF(K17="""","""",SUM(FILTER(#REF!,YEAR(FinishedData!$A:$A)=YEAR(K17),MONTH(FinishedData!$A:$A)=MONTH(K17),FinishedData!$B:$B=""Practice""))),"""")"),"")</f>
        <v/>
      </c>
      <c r="L21" s="7" t="str">
        <f>IFERROR(__xludf.DUMMYFUNCTION("IFERROR(IF(L17="""","""",SUM(FILTER(#REF!,YEAR(FinishedData!$A:$A)=YEAR(L17),MONTH(FinishedData!$A:$A)=MONTH(L17),FinishedData!$B:$B=""Practice""))),"""")"),"")</f>
        <v/>
      </c>
      <c r="M21" s="7" t="str">
        <f>IFERROR(__xludf.DUMMYFUNCTION("IFERROR(IF(M17="""","""",SUM(FILTER(#REF!,YEAR(FinishedData!$A:$A)=YEAR(M17),MONTH(FinishedData!$A:$A)=MONTH(M17),FinishedData!$B:$B=""Practice""))),"""")"),"")</f>
        <v/>
      </c>
      <c r="N21" s="111">
        <f t="shared" si="5"/>
        <v>0</v>
      </c>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ht="18.75" customHeight="1">
      <c r="A22" s="60" t="s">
        <v>13</v>
      </c>
      <c r="B22" s="7" t="str">
        <f>IFERROR(__xludf.DUMMYFUNCTION("IFERROR(IF(B17="""","""",SUM(FILTER(#REF!,YEAR(FinishedData!$A:$A)=YEAR(B17),MONTH(FinishedData!$A:$A)=MONTH(B17),FinishedData!$B:$B=""Gym""))),"""")"),"")</f>
        <v/>
      </c>
      <c r="C22" s="7" t="str">
        <f>IFERROR(__xludf.DUMMYFUNCTION("IFERROR(IF(C17="""","""",SUM(FILTER(#REF!,YEAR(FinishedData!$A:$A)=YEAR(C17),MONTH(FinishedData!$A:$A)=MONTH(C17),FinishedData!$B:$B=""Gym""))),"""")"),"")</f>
        <v/>
      </c>
      <c r="D22" s="7" t="str">
        <f>IFERROR(__xludf.DUMMYFUNCTION("IFERROR(IF(D17="""","""",SUM(FILTER(#REF!,YEAR(FinishedData!$A:$A)=YEAR(D17),MONTH(FinishedData!$A:$A)=MONTH(D17),FinishedData!$B:$B=""Gym""))),"""")"),"")</f>
        <v/>
      </c>
      <c r="E22" s="7" t="str">
        <f>IFERROR(__xludf.DUMMYFUNCTION("IFERROR(IF(E17="""","""",SUM(FILTER(#REF!,YEAR(FinishedData!$A:$A)=YEAR(E17),MONTH(FinishedData!$A:$A)=MONTH(E17),FinishedData!$B:$B=""Gym""))),"""")"),"")</f>
        <v/>
      </c>
      <c r="F22" s="7" t="str">
        <f>IFERROR(__xludf.DUMMYFUNCTION("IFERROR(IF(F17="""","""",SUM(FILTER(#REF!,YEAR(FinishedData!$A:$A)=YEAR(F17),MONTH(FinishedData!$A:$A)=MONTH(F17),FinishedData!$B:$B=""Gym""))),"""")"),"")</f>
        <v/>
      </c>
      <c r="G22" s="7" t="str">
        <f>IFERROR(__xludf.DUMMYFUNCTION("IFERROR(IF(G17="""","""",SUM(FILTER(#REF!,YEAR(FinishedData!$A:$A)=YEAR(G17),MONTH(FinishedData!$A:$A)=MONTH(G17),FinishedData!$B:$B=""Gym""))),"""")"),"")</f>
        <v/>
      </c>
      <c r="H22" s="7" t="str">
        <f>IFERROR(__xludf.DUMMYFUNCTION("IFERROR(IF(H17="""","""",SUM(FILTER(#REF!,YEAR(FinishedData!$A:$A)=YEAR(H17),MONTH(FinishedData!$A:$A)=MONTH(H17),FinishedData!$B:$B=""Gym""))),"""")"),"")</f>
        <v/>
      </c>
      <c r="I22" s="7" t="str">
        <f>IFERROR(__xludf.DUMMYFUNCTION("IFERROR(IF(I17="""","""",SUM(FILTER(#REF!,YEAR(FinishedData!$A:$A)=YEAR(I17),MONTH(FinishedData!$A:$A)=MONTH(I17),FinishedData!$B:$B=""Gym""))),"""")"),"")</f>
        <v/>
      </c>
      <c r="J22" s="7" t="str">
        <f>IFERROR(__xludf.DUMMYFUNCTION("IFERROR(IF(J17="""","""",SUM(FILTER(#REF!,YEAR(FinishedData!$A:$A)=YEAR(J17),MONTH(FinishedData!$A:$A)=MONTH(J17),FinishedData!$B:$B=""Gym""))),"""")"),"")</f>
        <v/>
      </c>
      <c r="K22" s="7" t="str">
        <f>IFERROR(__xludf.DUMMYFUNCTION("IFERROR(IF(K17="""","""",SUM(FILTER(#REF!,YEAR(FinishedData!$A:$A)=YEAR(K17),MONTH(FinishedData!$A:$A)=MONTH(K17),FinishedData!$B:$B=""Gym""))),"""")"),"")</f>
        <v/>
      </c>
      <c r="L22" s="7" t="str">
        <f>IFERROR(__xludf.DUMMYFUNCTION("IFERROR(IF(L17="""","""",SUM(FILTER(#REF!,YEAR(FinishedData!$A:$A)=YEAR(L17),MONTH(FinishedData!$A:$A)=MONTH(L17),FinishedData!$B:$B=""Gym""))),"""")"),"")</f>
        <v/>
      </c>
      <c r="M22" s="7" t="str">
        <f>IFERROR(__xludf.DUMMYFUNCTION("IFERROR(IF(M17="""","""",SUM(FILTER(#REF!,YEAR(FinishedData!$A:$A)=YEAR(M17),MONTH(FinishedData!$A:$A)=MONTH(M17),FinishedData!$B:$B=""Gym""))),"""")"),"")</f>
        <v/>
      </c>
      <c r="N22" s="111">
        <f t="shared" si="5"/>
        <v>0</v>
      </c>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ht="18.75" customHeight="1">
      <c r="A23" s="60" t="s">
        <v>51</v>
      </c>
      <c r="B23" s="7" t="str">
        <f>IFERROR(__xludf.DUMMYFUNCTION("IFERROR(IF(B17="""","""",SUM(FILTER(#REF!,YEAR(FinishedData!$A:$A)=YEAR(B17),MONTH(FinishedData!$A:$A)=MONTH(B17),FinishedData!$B:$B=""Off""))),"""")"),"")</f>
        <v/>
      </c>
      <c r="C23" s="7" t="str">
        <f>IFERROR(__xludf.DUMMYFUNCTION("IFERROR(IF(C17="""","""",SUM(FILTER(#REF!,YEAR(FinishedData!$A:$A)=YEAR(C17),MONTH(FinishedData!$A:$A)=MONTH(C17),FinishedData!$B:$B=""Off""))),"""")"),"")</f>
        <v/>
      </c>
      <c r="D23" s="7" t="str">
        <f>IFERROR(__xludf.DUMMYFUNCTION("IFERROR(IF(D17="""","""",SUM(FILTER(#REF!,YEAR(FinishedData!$A:$A)=YEAR(D17),MONTH(FinishedData!$A:$A)=MONTH(D17),FinishedData!$B:$B=""Off""))),"""")"),"")</f>
        <v/>
      </c>
      <c r="E23" s="7" t="str">
        <f>IFERROR(__xludf.DUMMYFUNCTION("IFERROR(IF(E17="""","""",SUM(FILTER(#REF!,YEAR(FinishedData!$A:$A)=YEAR(E17),MONTH(FinishedData!$A:$A)=MONTH(E17),FinishedData!$B:$B=""Off""))),"""")"),"")</f>
        <v/>
      </c>
      <c r="F23" s="7" t="str">
        <f>IFERROR(__xludf.DUMMYFUNCTION("IFERROR(IF(F17="""","""",SUM(FILTER(#REF!,YEAR(FinishedData!$A:$A)=YEAR(F17),MONTH(FinishedData!$A:$A)=MONTH(F17),FinishedData!$B:$B=""Off""))),"""")"),"")</f>
        <v/>
      </c>
      <c r="G23" s="7" t="str">
        <f>IFERROR(__xludf.DUMMYFUNCTION("IFERROR(IF(G17="""","""",SUM(FILTER(#REF!,YEAR(FinishedData!$A:$A)=YEAR(G17),MONTH(FinishedData!$A:$A)=MONTH(G17),FinishedData!$B:$B=""Off""))),"""")"),"")</f>
        <v/>
      </c>
      <c r="H23" s="7" t="str">
        <f>IFERROR(__xludf.DUMMYFUNCTION("IFERROR(IF(H17="""","""",SUM(FILTER(#REF!,YEAR(FinishedData!$A:$A)=YEAR(H17),MONTH(FinishedData!$A:$A)=MONTH(H17),FinishedData!$B:$B=""Off""))),"""")"),"")</f>
        <v/>
      </c>
      <c r="I23" s="7" t="str">
        <f>IFERROR(__xludf.DUMMYFUNCTION("IFERROR(IF(I17="""","""",SUM(FILTER(#REF!,YEAR(FinishedData!$A:$A)=YEAR(I17),MONTH(FinishedData!$A:$A)=MONTH(I17),FinishedData!$B:$B=""Off""))),"""")"),"")</f>
        <v/>
      </c>
      <c r="J23" s="7" t="str">
        <f>IFERROR(__xludf.DUMMYFUNCTION("IFERROR(IF(J17="""","""",SUM(FILTER(#REF!,YEAR(FinishedData!$A:$A)=YEAR(J17),MONTH(FinishedData!$A:$A)=MONTH(J17),FinishedData!$B:$B=""Off""))),"""")"),"")</f>
        <v/>
      </c>
      <c r="K23" s="7" t="str">
        <f>IFERROR(__xludf.DUMMYFUNCTION("IFERROR(IF(K17="""","""",SUM(FILTER(#REF!,YEAR(FinishedData!$A:$A)=YEAR(K17),MONTH(FinishedData!$A:$A)=MONTH(K17),FinishedData!$B:$B=""Off""))),"""")"),"")</f>
        <v/>
      </c>
      <c r="L23" s="7" t="str">
        <f>IFERROR(__xludf.DUMMYFUNCTION("IFERROR(IF(L17="""","""",SUM(FILTER(#REF!,YEAR(FinishedData!$A:$A)=YEAR(L17),MONTH(FinishedData!$A:$A)=MONTH(L17),FinishedData!$B:$B=""Off""))),"""")"),"")</f>
        <v/>
      </c>
      <c r="M23" s="7" t="str">
        <f>IFERROR(__xludf.DUMMYFUNCTION("IFERROR(IF(M17="""","""",SUM(FILTER(#REF!,YEAR(FinishedData!$A:$A)=YEAR(M17),MONTH(FinishedData!$A:$A)=MONTH(M17),FinishedData!$B:$B=""Off""))),"""")"),"")</f>
        <v/>
      </c>
      <c r="N23" s="111">
        <f t="shared" si="5"/>
        <v>0</v>
      </c>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ht="18.75" customHeight="1">
      <c r="A24" s="112"/>
      <c r="B24" s="7"/>
      <c r="C24" s="7"/>
      <c r="D24" s="7"/>
      <c r="E24" s="7"/>
      <c r="F24" s="7"/>
      <c r="G24" s="7"/>
      <c r="H24" s="7"/>
      <c r="I24" s="7"/>
      <c r="J24" s="7"/>
      <c r="K24" s="7"/>
      <c r="L24" s="7"/>
      <c r="M24" s="7"/>
      <c r="N24" s="7"/>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ht="18.75" customHeight="1">
      <c r="A25" s="7"/>
      <c r="B25" s="113" t="str">
        <f>IF(YEAR(M26)&lt;&gt;YEAR($H$3)+2,CONCATENATE(YEAR($H$3)+2,"-",YEAR(M26)),YEAR($H$3)+2)</f>
        <v>2023-2024</v>
      </c>
      <c r="N25" s="7"/>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ht="18.75" customHeight="1">
      <c r="A26" s="7"/>
      <c r="B26" s="114">
        <f>DATE(YEAR($H$3)+2,MONTH($H$3),1)</f>
        <v>45017</v>
      </c>
      <c r="C26" s="114">
        <f t="shared" ref="C26:M26" si="6">IF(B26="","",IF(EDATE(B26,1)=EDATE($B26,12),"",EDATE(B26,1)))</f>
        <v>45047</v>
      </c>
      <c r="D26" s="114">
        <f t="shared" si="6"/>
        <v>45078</v>
      </c>
      <c r="E26" s="114">
        <f t="shared" si="6"/>
        <v>45108</v>
      </c>
      <c r="F26" s="114">
        <f t="shared" si="6"/>
        <v>45139</v>
      </c>
      <c r="G26" s="114">
        <f t="shared" si="6"/>
        <v>45170</v>
      </c>
      <c r="H26" s="114">
        <f t="shared" si="6"/>
        <v>45200</v>
      </c>
      <c r="I26" s="114">
        <f t="shared" si="6"/>
        <v>45231</v>
      </c>
      <c r="J26" s="114">
        <f t="shared" si="6"/>
        <v>45261</v>
      </c>
      <c r="K26" s="114">
        <f t="shared" si="6"/>
        <v>45292</v>
      </c>
      <c r="L26" s="114">
        <f t="shared" si="6"/>
        <v>45323</v>
      </c>
      <c r="M26" s="114">
        <f t="shared" si="6"/>
        <v>45352</v>
      </c>
      <c r="N26" s="35" t="s">
        <v>38</v>
      </c>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ht="18.75" customHeight="1">
      <c r="A27" s="60" t="s">
        <v>12</v>
      </c>
      <c r="B27" s="7">
        <f>IFERROR(__xludf.DUMMYFUNCTION("IFERROR(IF(B26="""","""",SUM(FILTER(FinishedData!$C:$C,YEAR(FinishedData!$A:$A)=YEAR(B26),MONTH(FinishedData!$A:$A)=MONTH(B26),FinishedData!$B:$B=""Game""))),"""")"),4510.0)</f>
        <v>4510</v>
      </c>
      <c r="C27" s="7">
        <f>IFERROR(__xludf.DUMMYFUNCTION("IFERROR(IF(C26="""","""",SUM(FILTER(FinishedData!$C:$C,YEAR(FinishedData!$A:$A)=YEAR(C26),MONTH(FinishedData!$A:$A)=MONTH(C26),FinishedData!$B:$B=""Game""))),"""")"),5370.0)</f>
        <v>5370</v>
      </c>
      <c r="D27" s="7">
        <f>IFERROR(__xludf.DUMMYFUNCTION("IFERROR(IF(D26="""","""",SUM(FILTER(FinishedData!$C:$C,YEAR(FinishedData!$A:$A)=YEAR(D26),MONTH(FinishedData!$A:$A)=MONTH(D26),FinishedData!$B:$B=""Game""))),"""")"),6030.0)</f>
        <v>6030</v>
      </c>
      <c r="E27" s="7">
        <f>IFERROR(__xludf.DUMMYFUNCTION("IFERROR(IF(E26="""","""",SUM(FILTER(FinishedData!$C:$C,YEAR(FinishedData!$A:$A)=YEAR(E26),MONTH(FinishedData!$A:$A)=MONTH(E26),FinishedData!$B:$B=""Game""))),"""")"),6120.0)</f>
        <v>6120</v>
      </c>
      <c r="F27" s="7">
        <f>IFERROR(__xludf.DUMMYFUNCTION("IFERROR(IF(F26="""","""",SUM(FILTER(FinishedData!$C:$C,YEAR(FinishedData!$A:$A)=YEAR(F26),MONTH(FinishedData!$A:$A)=MONTH(F26),FinishedData!$B:$B=""Game""))),"""")"),6150.0)</f>
        <v>6150</v>
      </c>
      <c r="G27" s="7">
        <f>IFERROR(__xludf.DUMMYFUNCTION("IFERROR(IF(G26="""","""",SUM(FILTER(FinishedData!$C:$C,YEAR(FinishedData!$A:$A)=YEAR(G26),MONTH(FinishedData!$A:$A)=MONTH(G26),FinishedData!$B:$B=""Game""))),"""")"),5430.0)</f>
        <v>5430</v>
      </c>
      <c r="H27" s="7" t="str">
        <f>IFERROR(__xludf.DUMMYFUNCTION("IFERROR(IF(H26="""","""",SUM(FILTER(FinishedData!$C:$C,YEAR(FinishedData!$A:$A)=YEAR(H26),MONTH(FinishedData!$A:$A)=MONTH(H26),FinishedData!$B:$B=""Game""))),"""")"),"")</f>
        <v/>
      </c>
      <c r="I27" s="7" t="str">
        <f>IFERROR(__xludf.DUMMYFUNCTION("IFERROR(IF(I26="""","""",SUM(FILTER(FinishedData!$C:$C,YEAR(FinishedData!$A:$A)=YEAR(I26),MONTH(FinishedData!$A:$A)=MONTH(I26),FinishedData!$B:$B=""Game""))),"""")"),"")</f>
        <v/>
      </c>
      <c r="J27" s="7" t="str">
        <f>IFERROR(__xludf.DUMMYFUNCTION("IFERROR(IF(J26="""","""",SUM(FILTER(FinishedData!$C:$C,YEAR(FinishedData!$A:$A)=YEAR(J26),MONTH(FinishedData!$A:$A)=MONTH(J26),FinishedData!$B:$B=""Game""))),"""")"),"")</f>
        <v/>
      </c>
      <c r="K27" s="7" t="str">
        <f>IFERROR(__xludf.DUMMYFUNCTION("IFERROR(IF(K26="""","""",SUM(FILTER(FinishedData!$C:$C,YEAR(FinishedData!$A:$A)=YEAR(K26),MONTH(FinishedData!$A:$A)=MONTH(K26),FinishedData!$B:$B=""Game""))),"""")"),"")</f>
        <v/>
      </c>
      <c r="L27" s="7" t="str">
        <f>IFERROR(__xludf.DUMMYFUNCTION("IFERROR(IF(L26="""","""",SUM(FILTER(FinishedData!$C:$C,YEAR(FinishedData!$A:$A)=YEAR(L26),MONTH(FinishedData!$A:$A)=MONTH(L26),FinishedData!$B:$B=""Game""))),"""")"),"")</f>
        <v/>
      </c>
      <c r="M27" s="7" t="str">
        <f>IFERROR(__xludf.DUMMYFUNCTION("IFERROR(IF(M26="""","""",SUM(FILTER(FinishedData!$C:$C,YEAR(FinishedData!$A:$A)=YEAR(M26),MONTH(FinishedData!$A:$A)=MONTH(M26),FinishedData!$B:$B=""Game""))),"""")"),"")</f>
        <v/>
      </c>
      <c r="N27" s="7">
        <f t="shared" ref="N27:N31" si="7">SUM(B27:M27)</f>
        <v>33610</v>
      </c>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ht="18.75" customHeight="1">
      <c r="A28" s="60" t="s">
        <v>40</v>
      </c>
      <c r="B28" s="7" t="str">
        <f>IFERROR(__xludf.DUMMYFUNCTION("IFERROR(IF(B26="""","""",SUM(FILTER(#REF!,YEAR(FinishedData!$A:$A)=YEAR(B26),MONTH(FinishedData!$A:$A)=MONTH(B26),FinishedData!$B:$B=""Game""))),"""")"),"")</f>
        <v/>
      </c>
      <c r="C28" s="7" t="str">
        <f>IFERROR(__xludf.DUMMYFUNCTION("IFERROR(IF(C26="""","""",SUM(FILTER(#REF!,YEAR(FinishedData!$A:$A)=YEAR(C26),MONTH(FinishedData!$A:$A)=MONTH(C26),FinishedData!$B:$B=""Game""))),"""")"),"")</f>
        <v/>
      </c>
      <c r="D28" s="7" t="str">
        <f>IFERROR(__xludf.DUMMYFUNCTION("IFERROR(IF(D26="""","""",SUM(FILTER(#REF!,YEAR(FinishedData!$A:$A)=YEAR(D26),MONTH(FinishedData!$A:$A)=MONTH(D26),FinishedData!$B:$B=""Game""))),"""")"),"")</f>
        <v/>
      </c>
      <c r="E28" s="7" t="str">
        <f>IFERROR(__xludf.DUMMYFUNCTION("IFERROR(IF(E26="""","""",SUM(FILTER(#REF!,YEAR(FinishedData!$A:$A)=YEAR(E26),MONTH(FinishedData!$A:$A)=MONTH(E26),FinishedData!$B:$B=""Game""))),"""")"),"")</f>
        <v/>
      </c>
      <c r="F28" s="7" t="str">
        <f>IFERROR(__xludf.DUMMYFUNCTION("IFERROR(IF(F26="""","""",SUM(FILTER(#REF!,YEAR(FinishedData!$A:$A)=YEAR(F26),MONTH(FinishedData!$A:$A)=MONTH(F26),FinishedData!$B:$B=""Game""))),"""")"),"")</f>
        <v/>
      </c>
      <c r="G28" s="7" t="str">
        <f>IFERROR(__xludf.DUMMYFUNCTION("IFERROR(IF(G26="""","""",SUM(FILTER(#REF!,YEAR(FinishedData!$A:$A)=YEAR(G26),MONTH(FinishedData!$A:$A)=MONTH(G26),FinishedData!$B:$B=""Game""))),"""")"),"")</f>
        <v/>
      </c>
      <c r="H28" s="7" t="str">
        <f>IFERROR(__xludf.DUMMYFUNCTION("IFERROR(IF(H26="""","""",SUM(FILTER(#REF!,YEAR(FinishedData!$A:$A)=YEAR(H26),MONTH(FinishedData!$A:$A)=MONTH(H26),FinishedData!$B:$B=""Game""))),"""")"),"")</f>
        <v/>
      </c>
      <c r="I28" s="7" t="str">
        <f>IFERROR(__xludf.DUMMYFUNCTION("IFERROR(IF(I26="""","""",SUM(FILTER(#REF!,YEAR(FinishedData!$A:$A)=YEAR(I26),MONTH(FinishedData!$A:$A)=MONTH(I26),FinishedData!$B:$B=""Game""))),"""")"),"")</f>
        <v/>
      </c>
      <c r="J28" s="7" t="str">
        <f>IFERROR(__xludf.DUMMYFUNCTION("IFERROR(IF(J26="""","""",SUM(FILTER(#REF!,YEAR(FinishedData!$A:$A)=YEAR(J26),MONTH(FinishedData!$A:$A)=MONTH(J26),FinishedData!$B:$B=""Game""))),"""")"),"")</f>
        <v/>
      </c>
      <c r="K28" s="7" t="str">
        <f>IFERROR(__xludf.DUMMYFUNCTION("IFERROR(IF(K26="""","""",SUM(FILTER(#REF!,YEAR(FinishedData!$A:$A)=YEAR(K26),MONTH(FinishedData!$A:$A)=MONTH(K26),FinishedData!$B:$B=""Game""))),"""")"),"")</f>
        <v/>
      </c>
      <c r="L28" s="7" t="str">
        <f>IFERROR(__xludf.DUMMYFUNCTION("IFERROR(IF(L26="""","""",SUM(FILTER(#REF!,YEAR(FinishedData!$A:$A)=YEAR(L26),MONTH(FinishedData!$A:$A)=MONTH(L26),FinishedData!$B:$B=""Game""))),"""")"),"")</f>
        <v/>
      </c>
      <c r="M28" s="7" t="str">
        <f>IFERROR(__xludf.DUMMYFUNCTION("IFERROR(IF(M26="""","""",SUM(FILTER(#REF!,YEAR(FinishedData!$A:$A)=YEAR(M26),MONTH(FinishedData!$A:$A)=MONTH(M26),FinishedData!$B:$B=""Game""))),"""")"),"")</f>
        <v/>
      </c>
      <c r="N28" s="7">
        <f t="shared" si="7"/>
        <v>0</v>
      </c>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ht="18.75" customHeight="1">
      <c r="A29" s="60" t="s">
        <v>41</v>
      </c>
      <c r="B29" s="7" t="str">
        <f>IFERROR(__xludf.DUMMYFUNCTION("IFERROR(IF(B26="""","""",SUM(FILTER(#REF!,YEAR(FinishedData!$A:$A)=YEAR(B26),MONTH(FinishedData!$A:$A)=MONTH(B26),FinishedData!$B:$B=""Practice""))),"""")"),"")</f>
        <v/>
      </c>
      <c r="C29" s="7" t="str">
        <f>IFERROR(__xludf.DUMMYFUNCTION("IFERROR(IF(C26="""","""",SUM(FILTER(#REF!,YEAR(FinishedData!$A:$A)=YEAR(C26),MONTH(FinishedData!$A:$A)=MONTH(C26),FinishedData!$B:$B=""Practice""))),"""")"),"")</f>
        <v/>
      </c>
      <c r="D29" s="7" t="str">
        <f>IFERROR(__xludf.DUMMYFUNCTION("IFERROR(IF(D26="""","""",SUM(FILTER(#REF!,YEAR(FinishedData!$A:$A)=YEAR(D26),MONTH(FinishedData!$A:$A)=MONTH(D26),FinishedData!$B:$B=""Practice""))),"""")"),"")</f>
        <v/>
      </c>
      <c r="E29" s="7" t="str">
        <f>IFERROR(__xludf.DUMMYFUNCTION("IFERROR(IF(E26="""","""",SUM(FILTER(#REF!,YEAR(FinishedData!$A:$A)=YEAR(E26),MONTH(FinishedData!$A:$A)=MONTH(E26),FinishedData!$B:$B=""Practice""))),"""")"),"")</f>
        <v/>
      </c>
      <c r="F29" s="7" t="str">
        <f>IFERROR(__xludf.DUMMYFUNCTION("IFERROR(IF(F26="""","""",SUM(FILTER(#REF!,YEAR(FinishedData!$A:$A)=YEAR(F26),MONTH(FinishedData!$A:$A)=MONTH(F26),FinishedData!$B:$B=""Practice""))),"""")"),"")</f>
        <v/>
      </c>
      <c r="G29" s="7" t="str">
        <f>IFERROR(__xludf.DUMMYFUNCTION("IFERROR(IF(G26="""","""",SUM(FILTER(#REF!,YEAR(FinishedData!$A:$A)=YEAR(G26),MONTH(FinishedData!$A:$A)=MONTH(G26),FinishedData!$B:$B=""Practice""))),"""")"),"")</f>
        <v/>
      </c>
      <c r="H29" s="7" t="str">
        <f>IFERROR(__xludf.DUMMYFUNCTION("IFERROR(IF(H26="""","""",SUM(FILTER(#REF!,YEAR(FinishedData!$A:$A)=YEAR(H26),MONTH(FinishedData!$A:$A)=MONTH(H26),FinishedData!$B:$B=""Practice""))),"""")"),"")</f>
        <v/>
      </c>
      <c r="I29" s="7" t="str">
        <f>IFERROR(__xludf.DUMMYFUNCTION("IFERROR(IF(I26="""","""",SUM(FILTER(#REF!,YEAR(FinishedData!$A:$A)=YEAR(I26),MONTH(FinishedData!$A:$A)=MONTH(I26),FinishedData!$B:$B=""Practice""))),"""")"),"")</f>
        <v/>
      </c>
      <c r="J29" s="7" t="str">
        <f>IFERROR(__xludf.DUMMYFUNCTION("IFERROR(IF(J26="""","""",SUM(FILTER(#REF!,YEAR(FinishedData!$A:$A)=YEAR(J26),MONTH(FinishedData!$A:$A)=MONTH(J26),FinishedData!$B:$B=""Practice""))),"""")"),"")</f>
        <v/>
      </c>
      <c r="K29" s="7" t="str">
        <f>IFERROR(__xludf.DUMMYFUNCTION("IFERROR(IF(K26="""","""",SUM(FILTER(#REF!,YEAR(FinishedData!$A:$A)=YEAR(K26),MONTH(FinishedData!$A:$A)=MONTH(K26),FinishedData!$B:$B=""Practice""))),"""")"),"")</f>
        <v/>
      </c>
      <c r="L29" s="7" t="str">
        <f>IFERROR(__xludf.DUMMYFUNCTION("IFERROR(IF(L26="""","""",SUM(FILTER(#REF!,YEAR(FinishedData!$A:$A)=YEAR(L26),MONTH(FinishedData!$A:$A)=MONTH(L26),FinishedData!$B:$B=""Practice""))),"""")"),"")</f>
        <v/>
      </c>
      <c r="M29" s="7" t="str">
        <f>IFERROR(__xludf.DUMMYFUNCTION("IFERROR(IF(M26="""","""",SUM(FILTER(#REF!,YEAR(FinishedData!$A:$A)=YEAR(M26),MONTH(FinishedData!$A:$A)=MONTH(M26),FinishedData!$B:$B=""Practice""))),"""")"),"")</f>
        <v/>
      </c>
      <c r="N29" s="7">
        <f t="shared" si="7"/>
        <v>0</v>
      </c>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ht="18.75" customHeight="1">
      <c r="A30" s="60" t="s">
        <v>13</v>
      </c>
      <c r="B30" s="7" t="str">
        <f>IFERROR(__xludf.DUMMYFUNCTION("IFERROR(IF(B26="""","""",SUM(FILTER(#REF!,YEAR(FinishedData!$A:$A)=YEAR(B26),MONTH(FinishedData!$A:$A)=MONTH(B26),FinishedData!$B:$B=""Gym""))),"""")"),"")</f>
        <v/>
      </c>
      <c r="C30" s="7" t="str">
        <f>IFERROR(__xludf.DUMMYFUNCTION("IFERROR(IF(C26="""","""",SUM(FILTER(#REF!,YEAR(FinishedData!$A:$A)=YEAR(C26),MONTH(FinishedData!$A:$A)=MONTH(C26),FinishedData!$B:$B=""Gym""))),"""")"),"")</f>
        <v/>
      </c>
      <c r="D30" s="7" t="str">
        <f>IFERROR(__xludf.DUMMYFUNCTION("IFERROR(IF(D26="""","""",SUM(FILTER(#REF!,YEAR(FinishedData!$A:$A)=YEAR(D26),MONTH(FinishedData!$A:$A)=MONTH(D26),FinishedData!$B:$B=""Gym""))),"""")"),"")</f>
        <v/>
      </c>
      <c r="E30" s="7" t="str">
        <f>IFERROR(__xludf.DUMMYFUNCTION("IFERROR(IF(E26="""","""",SUM(FILTER(#REF!,YEAR(FinishedData!$A:$A)=YEAR(E26),MONTH(FinishedData!$A:$A)=MONTH(E26),FinishedData!$B:$B=""Gym""))),"""")"),"")</f>
        <v/>
      </c>
      <c r="F30" s="7" t="str">
        <f>IFERROR(__xludf.DUMMYFUNCTION("IFERROR(IF(F26="""","""",SUM(FILTER(#REF!,YEAR(FinishedData!$A:$A)=YEAR(F26),MONTH(FinishedData!$A:$A)=MONTH(F26),FinishedData!$B:$B=""Gym""))),"""")"),"")</f>
        <v/>
      </c>
      <c r="G30" s="7" t="str">
        <f>IFERROR(__xludf.DUMMYFUNCTION("IFERROR(IF(G26="""","""",SUM(FILTER(#REF!,YEAR(FinishedData!$A:$A)=YEAR(G26),MONTH(FinishedData!$A:$A)=MONTH(G26),FinishedData!$B:$B=""Gym""))),"""")"),"")</f>
        <v/>
      </c>
      <c r="H30" s="7" t="str">
        <f>IFERROR(__xludf.DUMMYFUNCTION("IFERROR(IF(H26="""","""",SUM(FILTER(#REF!,YEAR(FinishedData!$A:$A)=YEAR(H26),MONTH(FinishedData!$A:$A)=MONTH(H26),FinishedData!$B:$B=""Gym""))),"""")"),"")</f>
        <v/>
      </c>
      <c r="I30" s="7" t="str">
        <f>IFERROR(__xludf.DUMMYFUNCTION("IFERROR(IF(I26="""","""",SUM(FILTER(#REF!,YEAR(FinishedData!$A:$A)=YEAR(I26),MONTH(FinishedData!$A:$A)=MONTH(I26),FinishedData!$B:$B=""Gym""))),"""")"),"")</f>
        <v/>
      </c>
      <c r="J30" s="7" t="str">
        <f>IFERROR(__xludf.DUMMYFUNCTION("IFERROR(IF(J26="""","""",SUM(FILTER(#REF!,YEAR(FinishedData!$A:$A)=YEAR(J26),MONTH(FinishedData!$A:$A)=MONTH(J26),FinishedData!$B:$B=""Gym""))),"""")"),"")</f>
        <v/>
      </c>
      <c r="K30" s="7" t="str">
        <f>IFERROR(__xludf.DUMMYFUNCTION("IFERROR(IF(K26="""","""",SUM(FILTER(#REF!,YEAR(FinishedData!$A:$A)=YEAR(K26),MONTH(FinishedData!$A:$A)=MONTH(K26),FinishedData!$B:$B=""Gym""))),"""")"),"")</f>
        <v/>
      </c>
      <c r="L30" s="7" t="str">
        <f>IFERROR(__xludf.DUMMYFUNCTION("IFERROR(IF(L26="""","""",SUM(FILTER(#REF!,YEAR(FinishedData!$A:$A)=YEAR(L26),MONTH(FinishedData!$A:$A)=MONTH(L26),FinishedData!$B:$B=""Gym""))),"""")"),"")</f>
        <v/>
      </c>
      <c r="M30" s="7" t="str">
        <f>IFERROR(__xludf.DUMMYFUNCTION("IFERROR(IF(M26="""","""",SUM(FILTER(#REF!,YEAR(FinishedData!$A:$A)=YEAR(M26),MONTH(FinishedData!$A:$A)=MONTH(M26),FinishedData!$B:$B=""Gym""))),"""")"),"")</f>
        <v/>
      </c>
      <c r="N30" s="7">
        <f t="shared" si="7"/>
        <v>0</v>
      </c>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ht="18.75" customHeight="1">
      <c r="A31" s="60" t="s">
        <v>51</v>
      </c>
      <c r="B31" s="7" t="str">
        <f>IFERROR(__xludf.DUMMYFUNCTION("IFERROR(IF(B26="""","""",SUM(FILTER(#REF!,YEAR(FinishedData!$A:$A)=YEAR(B26),MONTH(FinishedData!$A:$A)=MONTH(B26),FinishedData!$B:$B=""Off""))),"""")"),"")</f>
        <v/>
      </c>
      <c r="C31" s="7" t="str">
        <f>IFERROR(__xludf.DUMMYFUNCTION("IFERROR(IF(C26="""","""",SUM(FILTER(#REF!,YEAR(FinishedData!$A:$A)=YEAR(C26),MONTH(FinishedData!$A:$A)=MONTH(C26),FinishedData!$B:$B=""Off""))),"""")"),"")</f>
        <v/>
      </c>
      <c r="D31" s="7" t="str">
        <f>IFERROR(__xludf.DUMMYFUNCTION("IFERROR(IF(D26="""","""",SUM(FILTER(#REF!,YEAR(FinishedData!$A:$A)=YEAR(D26),MONTH(FinishedData!$A:$A)=MONTH(D26),FinishedData!$B:$B=""Off""))),"""")"),"")</f>
        <v/>
      </c>
      <c r="E31" s="7" t="str">
        <f>IFERROR(__xludf.DUMMYFUNCTION("IFERROR(IF(E26="""","""",SUM(FILTER(#REF!,YEAR(FinishedData!$A:$A)=YEAR(E26),MONTH(FinishedData!$A:$A)=MONTH(E26),FinishedData!$B:$B=""Off""))),"""")"),"")</f>
        <v/>
      </c>
      <c r="F31" s="7" t="str">
        <f>IFERROR(__xludf.DUMMYFUNCTION("IFERROR(IF(F26="""","""",SUM(FILTER(#REF!,YEAR(FinishedData!$A:$A)=YEAR(F26),MONTH(FinishedData!$A:$A)=MONTH(F26),FinishedData!$B:$B=""Off""))),"""")"),"")</f>
        <v/>
      </c>
      <c r="G31" s="7" t="str">
        <f>IFERROR(__xludf.DUMMYFUNCTION("IFERROR(IF(G26="""","""",SUM(FILTER(#REF!,YEAR(FinishedData!$A:$A)=YEAR(G26),MONTH(FinishedData!$A:$A)=MONTH(G26),FinishedData!$B:$B=""Off""))),"""")"),"")</f>
        <v/>
      </c>
      <c r="H31" s="7" t="str">
        <f>IFERROR(__xludf.DUMMYFUNCTION("IFERROR(IF(H26="""","""",SUM(FILTER(#REF!,YEAR(FinishedData!$A:$A)=YEAR(H26),MONTH(FinishedData!$A:$A)=MONTH(H26),FinishedData!$B:$B=""Off""))),"""")"),"")</f>
        <v/>
      </c>
      <c r="I31" s="7" t="str">
        <f>IFERROR(__xludf.DUMMYFUNCTION("IFERROR(IF(I26="""","""",SUM(FILTER(#REF!,YEAR(FinishedData!$A:$A)=YEAR(I26),MONTH(FinishedData!$A:$A)=MONTH(I26),FinishedData!$B:$B=""Off""))),"""")"),"")</f>
        <v/>
      </c>
      <c r="J31" s="7" t="str">
        <f>IFERROR(__xludf.DUMMYFUNCTION("IFERROR(IF(J26="""","""",SUM(FILTER(#REF!,YEAR(FinishedData!$A:$A)=YEAR(J26),MONTH(FinishedData!$A:$A)=MONTH(J26),FinishedData!$B:$B=""Off""))),"""")"),"")</f>
        <v/>
      </c>
      <c r="K31" s="7" t="str">
        <f>IFERROR(__xludf.DUMMYFUNCTION("IFERROR(IF(K26="""","""",SUM(FILTER(#REF!,YEAR(FinishedData!$A:$A)=YEAR(K26),MONTH(FinishedData!$A:$A)=MONTH(K26),FinishedData!$B:$B=""Off""))),"""")"),"")</f>
        <v/>
      </c>
      <c r="L31" s="7" t="str">
        <f>IFERROR(__xludf.DUMMYFUNCTION("IFERROR(IF(L26="""","""",SUM(FILTER(#REF!,YEAR(FinishedData!$A:$A)=YEAR(L26),MONTH(FinishedData!$A:$A)=MONTH(L26),FinishedData!$B:$B=""Off""))),"""")"),"")</f>
        <v/>
      </c>
      <c r="M31" s="7" t="str">
        <f>IFERROR(__xludf.DUMMYFUNCTION("IFERROR(IF(M26="""","""",SUM(FILTER(#REF!,YEAR(FinishedData!$A:$A)=YEAR(M26),MONTH(FinishedData!$A:$A)=MONTH(M26),FinishedData!$B:$B=""Off""))),"""")"),"")</f>
        <v/>
      </c>
      <c r="N31" s="7">
        <f t="shared" si="7"/>
        <v>0</v>
      </c>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c r="A32" s="112"/>
      <c r="B32" s="7"/>
      <c r="C32" s="7"/>
      <c r="D32" s="7"/>
      <c r="E32" s="7"/>
      <c r="F32" s="7"/>
      <c r="G32" s="7"/>
      <c r="H32" s="7"/>
      <c r="I32" s="7"/>
      <c r="J32" s="7"/>
      <c r="K32" s="7"/>
      <c r="L32" s="7"/>
      <c r="M32" s="7"/>
      <c r="N32" s="7"/>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c r="A33" s="112"/>
      <c r="B33" s="7"/>
      <c r="C33" s="7"/>
      <c r="D33" s="7"/>
      <c r="E33" s="7"/>
      <c r="F33" s="7"/>
      <c r="G33" s="7"/>
      <c r="H33" s="7"/>
      <c r="I33" s="7"/>
      <c r="J33" s="7"/>
      <c r="K33" s="7"/>
      <c r="L33" s="7"/>
      <c r="M33" s="7"/>
      <c r="N33" s="7"/>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c r="A34" s="112"/>
      <c r="B34" s="7"/>
      <c r="C34" s="7"/>
      <c r="D34" s="7"/>
      <c r="E34" s="7"/>
      <c r="F34" s="7"/>
      <c r="G34" s="7"/>
      <c r="H34" s="7"/>
      <c r="I34" s="7"/>
      <c r="J34" s="7"/>
      <c r="K34" s="7"/>
      <c r="L34" s="7"/>
      <c r="M34" s="7"/>
      <c r="N34" s="7"/>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c r="A35" s="112"/>
      <c r="B35" s="7"/>
      <c r="C35" s="7"/>
      <c r="D35" s="7"/>
      <c r="E35" s="7"/>
      <c r="F35" s="7"/>
      <c r="G35" s="7"/>
      <c r="H35" s="7"/>
      <c r="I35" s="7"/>
      <c r="J35" s="7"/>
      <c r="K35" s="7"/>
      <c r="L35" s="7"/>
      <c r="M35" s="7"/>
      <c r="N35" s="7"/>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c r="A36" s="112"/>
      <c r="B36" s="7"/>
      <c r="C36" s="7"/>
      <c r="D36" s="7"/>
      <c r="E36" s="7"/>
      <c r="F36" s="7"/>
      <c r="G36" s="7"/>
      <c r="H36" s="7"/>
      <c r="I36" s="7"/>
      <c r="J36" s="7"/>
      <c r="K36" s="7"/>
      <c r="L36" s="7"/>
      <c r="M36" s="7"/>
      <c r="N36" s="7"/>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c r="A37" s="112"/>
      <c r="B37" s="7"/>
      <c r="C37" s="7"/>
      <c r="D37" s="7"/>
      <c r="E37" s="7"/>
      <c r="F37" s="7"/>
      <c r="G37" s="7"/>
      <c r="H37" s="7"/>
      <c r="I37" s="7"/>
      <c r="J37" s="7"/>
      <c r="K37" s="7"/>
      <c r="L37" s="7"/>
      <c r="M37" s="7"/>
      <c r="N37" s="7"/>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c r="A38" s="112"/>
      <c r="B38" s="7"/>
      <c r="C38" s="7"/>
      <c r="D38" s="7"/>
      <c r="E38" s="7"/>
      <c r="F38" s="7"/>
      <c r="G38" s="7"/>
      <c r="H38" s="7"/>
      <c r="I38" s="7"/>
      <c r="J38" s="7"/>
      <c r="K38" s="7"/>
      <c r="L38" s="7"/>
      <c r="M38" s="7"/>
      <c r="N38" s="7"/>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c r="A39" s="112"/>
      <c r="B39" s="7"/>
      <c r="C39" s="7"/>
      <c r="D39" s="7"/>
      <c r="E39" s="7"/>
      <c r="F39" s="7"/>
      <c r="G39" s="7"/>
      <c r="H39" s="7"/>
      <c r="I39" s="7"/>
      <c r="J39" s="7"/>
      <c r="K39" s="7"/>
      <c r="L39" s="7"/>
      <c r="M39" s="7"/>
      <c r="N39" s="7"/>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c r="A40" s="112"/>
      <c r="B40" s="7"/>
      <c r="C40" s="7"/>
      <c r="D40" s="7"/>
      <c r="E40" s="7"/>
      <c r="F40" s="7"/>
      <c r="G40" s="7"/>
      <c r="H40" s="7"/>
      <c r="I40" s="7"/>
      <c r="J40" s="7"/>
      <c r="K40" s="7"/>
      <c r="L40" s="7"/>
      <c r="M40" s="7"/>
      <c r="N40" s="7"/>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c r="A41" s="112"/>
      <c r="B41" s="7"/>
      <c r="C41" s="7"/>
      <c r="D41" s="7"/>
      <c r="E41" s="7"/>
      <c r="F41" s="7"/>
      <c r="G41" s="7"/>
      <c r="H41" s="7"/>
      <c r="I41" s="7"/>
      <c r="J41" s="7"/>
      <c r="K41" s="7"/>
      <c r="L41" s="7"/>
      <c r="M41" s="7"/>
      <c r="N41" s="7"/>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c r="A42" s="112"/>
      <c r="B42" s="7"/>
      <c r="C42" s="7"/>
      <c r="D42" s="7"/>
      <c r="E42" s="7"/>
      <c r="F42" s="7"/>
      <c r="G42" s="7"/>
      <c r="H42" s="7"/>
      <c r="I42" s="7"/>
      <c r="J42" s="7"/>
      <c r="K42" s="7"/>
      <c r="L42" s="7"/>
      <c r="M42" s="7"/>
      <c r="N42" s="7"/>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c r="A43" s="112"/>
      <c r="B43" s="7"/>
      <c r="C43" s="7"/>
      <c r="D43" s="7"/>
      <c r="E43" s="7"/>
      <c r="F43" s="7"/>
      <c r="G43" s="7"/>
      <c r="H43" s="7"/>
      <c r="I43" s="7"/>
      <c r="J43" s="7"/>
      <c r="K43" s="7"/>
      <c r="L43" s="7"/>
      <c r="M43" s="7"/>
      <c r="N43" s="7"/>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c r="A44" s="112"/>
      <c r="B44" s="7"/>
      <c r="C44" s="7"/>
      <c r="D44" s="7"/>
      <c r="E44" s="7"/>
      <c r="F44" s="7"/>
      <c r="G44" s="7"/>
      <c r="H44" s="7"/>
      <c r="I44" s="7"/>
      <c r="J44" s="7"/>
      <c r="K44" s="7"/>
      <c r="L44" s="7"/>
      <c r="M44" s="7"/>
      <c r="N44" s="7"/>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c r="A45" s="112"/>
      <c r="B45" s="7"/>
      <c r="C45" s="7"/>
      <c r="D45" s="7"/>
      <c r="E45" s="7"/>
      <c r="F45" s="7"/>
      <c r="G45" s="7"/>
      <c r="H45" s="7"/>
      <c r="I45" s="7"/>
      <c r="J45" s="7"/>
      <c r="K45" s="7"/>
      <c r="L45" s="7"/>
      <c r="M45" s="7"/>
      <c r="N45" s="7"/>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c r="A46" s="112"/>
      <c r="B46" s="7"/>
      <c r="C46" s="7"/>
      <c r="D46" s="7"/>
      <c r="E46" s="7"/>
      <c r="F46" s="7"/>
      <c r="G46" s="7"/>
      <c r="H46" s="7"/>
      <c r="I46" s="7"/>
      <c r="J46" s="7"/>
      <c r="K46" s="7"/>
      <c r="L46" s="7"/>
      <c r="M46" s="7"/>
      <c r="N46" s="7"/>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c r="A47" s="112"/>
      <c r="B47" s="7"/>
      <c r="C47" s="7"/>
      <c r="D47" s="7"/>
      <c r="E47" s="7"/>
      <c r="F47" s="7"/>
      <c r="G47" s="7"/>
      <c r="H47" s="7"/>
      <c r="I47" s="7"/>
      <c r="J47" s="7"/>
      <c r="K47" s="7"/>
      <c r="L47" s="7"/>
      <c r="M47" s="7"/>
      <c r="N47" s="7"/>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c r="A48" s="112"/>
      <c r="B48" s="7"/>
      <c r="C48" s="7"/>
      <c r="D48" s="7"/>
      <c r="E48" s="7"/>
      <c r="F48" s="7"/>
      <c r="G48" s="7"/>
      <c r="H48" s="7"/>
      <c r="I48" s="7"/>
      <c r="J48" s="7"/>
      <c r="K48" s="7"/>
      <c r="L48" s="7"/>
      <c r="M48" s="7"/>
      <c r="N48" s="7"/>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c r="A49" s="112"/>
      <c r="B49" s="7"/>
      <c r="C49" s="7"/>
      <c r="D49" s="7"/>
      <c r="E49" s="7"/>
      <c r="F49" s="7"/>
      <c r="G49" s="7"/>
      <c r="H49" s="7"/>
      <c r="I49" s="7"/>
      <c r="J49" s="7"/>
      <c r="K49" s="7"/>
      <c r="L49" s="7"/>
      <c r="M49" s="7"/>
      <c r="N49" s="7"/>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c r="A50" s="112"/>
      <c r="B50" s="7"/>
      <c r="C50" s="7"/>
      <c r="D50" s="7"/>
      <c r="E50" s="7"/>
      <c r="F50" s="7"/>
      <c r="G50" s="7"/>
      <c r="H50" s="7"/>
      <c r="I50" s="7"/>
      <c r="J50" s="7"/>
      <c r="K50" s="7"/>
      <c r="L50" s="7"/>
      <c r="M50" s="7"/>
      <c r="N50" s="7"/>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c r="A51" s="112"/>
      <c r="B51" s="7"/>
      <c r="C51" s="7"/>
      <c r="D51" s="7"/>
      <c r="E51" s="7"/>
      <c r="F51" s="7"/>
      <c r="G51" s="7"/>
      <c r="H51" s="7"/>
      <c r="I51" s="7"/>
      <c r="J51" s="7"/>
      <c r="K51" s="7"/>
      <c r="L51" s="7"/>
      <c r="M51" s="7"/>
      <c r="N51" s="7"/>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c r="A52" s="112"/>
      <c r="B52" s="7"/>
      <c r="C52" s="7"/>
      <c r="D52" s="7"/>
      <c r="E52" s="7"/>
      <c r="F52" s="7"/>
      <c r="G52" s="7"/>
      <c r="H52" s="7"/>
      <c r="I52" s="7"/>
      <c r="J52" s="7"/>
      <c r="K52" s="7"/>
      <c r="L52" s="7"/>
      <c r="M52" s="7"/>
      <c r="N52" s="7"/>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c r="A53" s="112"/>
      <c r="B53" s="7"/>
      <c r="C53" s="7"/>
      <c r="D53" s="7"/>
      <c r="E53" s="7"/>
      <c r="F53" s="7"/>
      <c r="G53" s="7"/>
      <c r="H53" s="7"/>
      <c r="I53" s="7"/>
      <c r="J53" s="7"/>
      <c r="K53" s="7"/>
      <c r="L53" s="7"/>
      <c r="M53" s="7"/>
      <c r="N53" s="7"/>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c r="A54" s="112"/>
      <c r="B54" s="7" t="str">
        <f>IFERROR(__xludf.DUMMYFUNCTION("IF(A54="""","""",SUM(FILTER(#REF!,YEAR(FinishedData!$A:$A)=YEAR($A54),MONTH(FinishedData!$A:$A)=MONTH($A54),FinishedData!$B:$B=""Game"")))"),"")</f>
        <v/>
      </c>
      <c r="C54" s="7"/>
      <c r="D54" s="7"/>
      <c r="E54" s="7"/>
      <c r="F54" s="7"/>
      <c r="G54" s="7"/>
      <c r="H54" s="7"/>
      <c r="I54" s="7"/>
      <c r="J54" s="7"/>
      <c r="K54" s="7"/>
      <c r="L54" s="7"/>
      <c r="M54" s="7"/>
      <c r="N54" s="7"/>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c r="A55" s="112"/>
      <c r="B55" s="7" t="str">
        <f>IFERROR(__xludf.DUMMYFUNCTION("IF(A55="""","""",SUM(FILTER(#REF!,YEAR(FinishedData!$A:$A)=YEAR($A55),MONTH(FinishedData!$A:$A)=MONTH($A55),FinishedData!$B:$B=""Game"")))"),"")</f>
        <v/>
      </c>
      <c r="C55" s="7"/>
      <c r="D55" s="7"/>
      <c r="E55" s="7"/>
      <c r="F55" s="7"/>
      <c r="G55" s="7"/>
      <c r="H55" s="7"/>
      <c r="I55" s="7"/>
      <c r="J55" s="7"/>
      <c r="K55" s="7"/>
      <c r="L55" s="7"/>
      <c r="M55" s="7"/>
      <c r="N55" s="7"/>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c r="A56" s="112"/>
      <c r="B56" s="7" t="str">
        <f>IFERROR(__xludf.DUMMYFUNCTION("IF(A56="""","""",SUM(FILTER(#REF!,YEAR(FinishedData!$A:$A)=YEAR($A56),MONTH(FinishedData!$A:$A)=MONTH($A56),FinishedData!$B:$B=""Game"")))"),"")</f>
        <v/>
      </c>
      <c r="C56" s="7"/>
      <c r="D56" s="7"/>
      <c r="E56" s="7"/>
      <c r="F56" s="7"/>
      <c r="G56" s="7"/>
      <c r="H56" s="7"/>
      <c r="I56" s="7"/>
      <c r="J56" s="7"/>
      <c r="K56" s="7"/>
      <c r="L56" s="7"/>
      <c r="M56" s="7"/>
      <c r="N56" s="7"/>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c r="A57" s="112"/>
      <c r="B57" s="7" t="str">
        <f>IFERROR(__xludf.DUMMYFUNCTION("IF(A57="""","""",SUM(FILTER(#REF!,YEAR(FinishedData!$A:$A)=YEAR($A57),MONTH(FinishedData!$A:$A)=MONTH($A57),FinishedData!$B:$B=""Game"")))"),"")</f>
        <v/>
      </c>
      <c r="C57" s="7"/>
      <c r="D57" s="7"/>
      <c r="E57" s="7"/>
      <c r="F57" s="7"/>
      <c r="G57" s="7"/>
      <c r="H57" s="7"/>
      <c r="I57" s="7"/>
      <c r="J57" s="7"/>
      <c r="K57" s="7"/>
      <c r="L57" s="7"/>
      <c r="M57" s="7"/>
      <c r="N57" s="7"/>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c r="A58" s="112"/>
      <c r="B58" s="7" t="str">
        <f>IFERROR(__xludf.DUMMYFUNCTION("IF(A58="""","""",SUM(FILTER(#REF!,YEAR(FinishedData!$A:$A)=YEAR($A58),MONTH(FinishedData!$A:$A)=MONTH($A58),FinishedData!$B:$B=""Game"")))"),"")</f>
        <v/>
      </c>
      <c r="C58" s="7"/>
      <c r="D58" s="7"/>
      <c r="E58" s="7"/>
      <c r="F58" s="7"/>
      <c r="G58" s="7"/>
      <c r="H58" s="7"/>
      <c r="I58" s="7"/>
      <c r="J58" s="7"/>
      <c r="K58" s="7"/>
      <c r="L58" s="7"/>
      <c r="M58" s="7"/>
      <c r="N58" s="7"/>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c r="A59" s="112"/>
      <c r="B59" s="7" t="str">
        <f>IFERROR(__xludf.DUMMYFUNCTION("IF(A59="""","""",SUM(FILTER(#REF!,YEAR(FinishedData!$A:$A)=YEAR($A59),MONTH(FinishedData!$A:$A)=MONTH($A59),FinishedData!$B:$B=""Game"")))"),"")</f>
        <v/>
      </c>
      <c r="C59" s="7"/>
      <c r="D59" s="7"/>
      <c r="E59" s="7"/>
      <c r="F59" s="7"/>
      <c r="G59" s="7"/>
      <c r="H59" s="7"/>
      <c r="I59" s="7"/>
      <c r="J59" s="7"/>
      <c r="K59" s="7"/>
      <c r="L59" s="7"/>
      <c r="M59" s="7"/>
      <c r="N59" s="7"/>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c r="A60" s="112"/>
      <c r="B60" s="7" t="str">
        <f>IFERROR(__xludf.DUMMYFUNCTION("IF(A60="""","""",SUM(FILTER(#REF!,YEAR(FinishedData!$A:$A)=YEAR($A60),MONTH(FinishedData!$A:$A)=MONTH($A60),FinishedData!$B:$B=""Game"")))"),"")</f>
        <v/>
      </c>
      <c r="C60" s="7"/>
      <c r="D60" s="7"/>
      <c r="E60" s="7"/>
      <c r="F60" s="7"/>
      <c r="G60" s="7"/>
      <c r="H60" s="7"/>
      <c r="I60" s="7"/>
      <c r="J60" s="7"/>
      <c r="K60" s="7"/>
      <c r="L60" s="7"/>
      <c r="M60" s="7"/>
      <c r="N60" s="7"/>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c r="A61" s="112"/>
      <c r="B61" s="7" t="str">
        <f>IFERROR(__xludf.DUMMYFUNCTION("IF(A61="""","""",SUM(FILTER(#REF!,YEAR(FinishedData!$A:$A)=YEAR($A61),MONTH(FinishedData!$A:$A)=MONTH($A61),FinishedData!$B:$B=""Game"")))"),"")</f>
        <v/>
      </c>
      <c r="C61" s="7"/>
      <c r="D61" s="7"/>
      <c r="E61" s="7"/>
      <c r="F61" s="7"/>
      <c r="G61" s="7"/>
      <c r="H61" s="7"/>
      <c r="I61" s="7"/>
      <c r="J61" s="7"/>
      <c r="K61" s="7"/>
      <c r="L61" s="7"/>
      <c r="M61" s="7"/>
      <c r="N61" s="7"/>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c r="A62" s="112"/>
      <c r="B62" s="7" t="str">
        <f>IFERROR(__xludf.DUMMYFUNCTION("IF(A62="""","""",SUM(FILTER(#REF!,YEAR(FinishedData!$A:$A)=YEAR($A62),MONTH(FinishedData!$A:$A)=MONTH($A62),FinishedData!$B:$B=""Game"")))"),"")</f>
        <v/>
      </c>
      <c r="C62" s="7"/>
      <c r="D62" s="7"/>
      <c r="E62" s="7"/>
      <c r="F62" s="7"/>
      <c r="G62" s="7"/>
      <c r="H62" s="7"/>
      <c r="I62" s="7"/>
      <c r="J62" s="7"/>
      <c r="K62" s="7"/>
      <c r="L62" s="7"/>
      <c r="M62" s="7"/>
      <c r="N62" s="7"/>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c r="A63" s="112"/>
      <c r="B63" s="7" t="str">
        <f>IFERROR(__xludf.DUMMYFUNCTION("IF(A63="""","""",SUM(FILTER(#REF!,YEAR(FinishedData!$A:$A)=YEAR($A63),MONTH(FinishedData!$A:$A)=MONTH($A63),FinishedData!$B:$B=""Game"")))"),"")</f>
        <v/>
      </c>
      <c r="C63" s="7"/>
      <c r="D63" s="7"/>
      <c r="E63" s="7"/>
      <c r="F63" s="7"/>
      <c r="G63" s="7"/>
      <c r="H63" s="7"/>
      <c r="I63" s="7"/>
      <c r="J63" s="7"/>
      <c r="K63" s="7"/>
      <c r="L63" s="7"/>
      <c r="M63" s="7"/>
      <c r="N63" s="7"/>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c r="A64" s="112"/>
      <c r="B64" s="7" t="str">
        <f>IFERROR(__xludf.DUMMYFUNCTION("IF(A64="""","""",SUM(FILTER(#REF!,YEAR(FinishedData!$A:$A)=YEAR($A64),MONTH(FinishedData!$A:$A)=MONTH($A64),FinishedData!$B:$B=""Game"")))"),"")</f>
        <v/>
      </c>
      <c r="C64" s="7"/>
      <c r="D64" s="7"/>
      <c r="E64" s="7"/>
      <c r="F64" s="7"/>
      <c r="G64" s="7"/>
      <c r="H64" s="7"/>
      <c r="I64" s="7"/>
      <c r="J64" s="7"/>
      <c r="K64" s="7"/>
      <c r="L64" s="7"/>
      <c r="M64" s="7"/>
      <c r="N64" s="7"/>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c r="A65" s="112"/>
      <c r="B65" s="7" t="str">
        <f>IFERROR(__xludf.DUMMYFUNCTION("IF(A65="""","""",SUM(FILTER(#REF!,YEAR(FinishedData!$A:$A)=YEAR($A65),MONTH(FinishedData!$A:$A)=MONTH($A65),FinishedData!$B:$B=""Game"")))"),"")</f>
        <v/>
      </c>
      <c r="C65" s="7"/>
      <c r="D65" s="7"/>
      <c r="E65" s="7"/>
      <c r="F65" s="7"/>
      <c r="G65" s="7"/>
      <c r="H65" s="7"/>
      <c r="I65" s="7"/>
      <c r="J65" s="7"/>
      <c r="K65" s="7"/>
      <c r="L65" s="7"/>
      <c r="M65" s="7"/>
      <c r="N65" s="7"/>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c r="A66" s="112"/>
      <c r="B66" s="7" t="str">
        <f>IFERROR(__xludf.DUMMYFUNCTION("IF(A66="""","""",SUM(FILTER(#REF!,YEAR(FinishedData!$A:$A)=YEAR($A66),MONTH(FinishedData!$A:$A)=MONTH($A66),FinishedData!$B:$B=""Game"")))"),"")</f>
        <v/>
      </c>
      <c r="C66" s="7"/>
      <c r="D66" s="7"/>
      <c r="E66" s="7"/>
      <c r="F66" s="7"/>
      <c r="G66" s="7"/>
      <c r="H66" s="7"/>
      <c r="I66" s="7"/>
      <c r="J66" s="7"/>
      <c r="K66" s="7"/>
      <c r="L66" s="7"/>
      <c r="M66" s="7"/>
      <c r="N66" s="7"/>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c r="A67" s="112"/>
      <c r="B67" s="7" t="str">
        <f>IFERROR(__xludf.DUMMYFUNCTION("IF(A67="""","""",SUM(FILTER(#REF!,YEAR(FinishedData!$A:$A)=YEAR($A67),MONTH(FinishedData!$A:$A)=MONTH($A67),FinishedData!$B:$B=""Game"")))"),"")</f>
        <v/>
      </c>
      <c r="C67" s="7"/>
      <c r="D67" s="7"/>
      <c r="E67" s="7"/>
      <c r="F67" s="7"/>
      <c r="G67" s="7"/>
      <c r="H67" s="7"/>
      <c r="I67" s="7"/>
      <c r="J67" s="7"/>
      <c r="K67" s="7"/>
      <c r="L67" s="7"/>
      <c r="M67" s="7"/>
      <c r="N67" s="7"/>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c r="A68" s="112"/>
      <c r="B68" s="7" t="str">
        <f>IFERROR(__xludf.DUMMYFUNCTION("IF(A68="""","""",SUM(FILTER(#REF!,YEAR(FinishedData!$A:$A)=YEAR($A68),MONTH(FinishedData!$A:$A)=MONTH($A68),FinishedData!$B:$B=""Game"")))"),"")</f>
        <v/>
      </c>
      <c r="C68" s="7"/>
      <c r="D68" s="7"/>
      <c r="E68" s="7"/>
      <c r="F68" s="7"/>
      <c r="G68" s="7"/>
      <c r="H68" s="7"/>
      <c r="I68" s="7"/>
      <c r="J68" s="7"/>
      <c r="K68" s="7"/>
      <c r="L68" s="7"/>
      <c r="M68" s="7"/>
      <c r="N68" s="7"/>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c r="A69" s="112"/>
      <c r="B69" s="7" t="str">
        <f>IFERROR(__xludf.DUMMYFUNCTION("IF(A69="""","""",SUM(FILTER(#REF!,YEAR(FinishedData!$A:$A)=YEAR($A69),MONTH(FinishedData!$A:$A)=MONTH($A69),FinishedData!$B:$B=""Game"")))"),"")</f>
        <v/>
      </c>
      <c r="C69" s="7"/>
      <c r="D69" s="7"/>
      <c r="E69" s="7"/>
      <c r="F69" s="7"/>
      <c r="G69" s="7"/>
      <c r="H69" s="7"/>
      <c r="I69" s="7"/>
      <c r="J69" s="7"/>
      <c r="K69" s="7"/>
      <c r="L69" s="7"/>
      <c r="M69" s="7"/>
      <c r="N69" s="7"/>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c r="A70" s="112"/>
      <c r="B70" s="7" t="str">
        <f>IFERROR(__xludf.DUMMYFUNCTION("IF(A70="""","""",SUM(FILTER(#REF!,YEAR(FinishedData!$A:$A)=YEAR($A70),MONTH(FinishedData!$A:$A)=MONTH($A70),FinishedData!$B:$B=""Game"")))"),"")</f>
        <v/>
      </c>
      <c r="C70" s="7"/>
      <c r="D70" s="7"/>
      <c r="E70" s="7"/>
      <c r="F70" s="7"/>
      <c r="G70" s="7"/>
      <c r="H70" s="7"/>
      <c r="I70" s="7"/>
      <c r="J70" s="7"/>
      <c r="K70" s="7"/>
      <c r="L70" s="7"/>
      <c r="M70" s="7"/>
      <c r="N70" s="7"/>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c r="A71" s="112"/>
      <c r="B71" s="7" t="str">
        <f>IFERROR(__xludf.DUMMYFUNCTION("IF(A71="""","""",SUM(FILTER(#REF!,YEAR(FinishedData!$A:$A)=YEAR($A71),MONTH(FinishedData!$A:$A)=MONTH($A71),FinishedData!$B:$B=""Game"")))"),"")</f>
        <v/>
      </c>
      <c r="C71" s="7"/>
      <c r="D71" s="7"/>
      <c r="E71" s="7"/>
      <c r="F71" s="7"/>
      <c r="G71" s="7"/>
      <c r="H71" s="7"/>
      <c r="I71" s="7"/>
      <c r="J71" s="7"/>
      <c r="K71" s="7"/>
      <c r="L71" s="7"/>
      <c r="M71" s="7"/>
      <c r="N71" s="7"/>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c r="A72" s="112"/>
      <c r="B72" s="7" t="str">
        <f>IFERROR(__xludf.DUMMYFUNCTION("IF(A72="""","""",SUM(FILTER(#REF!,YEAR(FinishedData!$A:$A)=YEAR($A72),MONTH(FinishedData!$A:$A)=MONTH($A72),FinishedData!$B:$B=""Game"")))"),"")</f>
        <v/>
      </c>
      <c r="C72" s="7"/>
      <c r="D72" s="7"/>
      <c r="E72" s="7"/>
      <c r="F72" s="7"/>
      <c r="G72" s="7"/>
      <c r="H72" s="7"/>
      <c r="I72" s="7"/>
      <c r="J72" s="7"/>
      <c r="K72" s="7"/>
      <c r="L72" s="7"/>
      <c r="M72" s="7"/>
      <c r="N72" s="7"/>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c r="A73" s="112"/>
      <c r="B73" s="7" t="str">
        <f>IFERROR(__xludf.DUMMYFUNCTION("IF(A73="""","""",SUM(FILTER(#REF!,YEAR(FinishedData!$A:$A)=YEAR($A73),MONTH(FinishedData!$A:$A)=MONTH($A73),FinishedData!$B:$B=""Game"")))"),"")</f>
        <v/>
      </c>
      <c r="C73" s="7"/>
      <c r="D73" s="7"/>
      <c r="E73" s="7"/>
      <c r="F73" s="7"/>
      <c r="G73" s="7"/>
      <c r="H73" s="7"/>
      <c r="I73" s="7"/>
      <c r="J73" s="7"/>
      <c r="K73" s="7"/>
      <c r="L73" s="7"/>
      <c r="M73" s="7"/>
      <c r="N73" s="7"/>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c r="A74" s="112"/>
      <c r="B74" s="7" t="str">
        <f>IFERROR(__xludf.DUMMYFUNCTION("IF(A74="""","""",SUM(FILTER(#REF!,YEAR(FinishedData!$A:$A)=YEAR($A74),MONTH(FinishedData!$A:$A)=MONTH($A74),FinishedData!$B:$B=""Game"")))"),"")</f>
        <v/>
      </c>
      <c r="C74" s="7"/>
      <c r="D74" s="7"/>
      <c r="E74" s="7"/>
      <c r="F74" s="7"/>
      <c r="G74" s="7"/>
      <c r="H74" s="7"/>
      <c r="I74" s="7"/>
      <c r="J74" s="7"/>
      <c r="K74" s="7"/>
      <c r="L74" s="7"/>
      <c r="M74" s="7"/>
      <c r="N74" s="7"/>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c r="A75" s="112"/>
      <c r="B75" s="7" t="str">
        <f>IFERROR(__xludf.DUMMYFUNCTION("IF(A75="""","""",SUM(FILTER(#REF!,YEAR(FinishedData!$A:$A)=YEAR($A75),MONTH(FinishedData!$A:$A)=MONTH($A75),FinishedData!$B:$B=""Game"")))"),"")</f>
        <v/>
      </c>
      <c r="C75" s="7"/>
      <c r="D75" s="7"/>
      <c r="E75" s="7"/>
      <c r="F75" s="7"/>
      <c r="G75" s="7"/>
      <c r="H75" s="7"/>
      <c r="I75" s="7"/>
      <c r="J75" s="7"/>
      <c r="K75" s="7"/>
      <c r="L75" s="7"/>
      <c r="M75" s="7"/>
      <c r="N75" s="7"/>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c r="A76" s="112"/>
      <c r="B76" s="7" t="str">
        <f>IFERROR(__xludf.DUMMYFUNCTION("IF(A76="""","""",SUM(FILTER(#REF!,YEAR(FinishedData!$A:$A)=YEAR($A76),MONTH(FinishedData!$A:$A)=MONTH($A76),FinishedData!$B:$B=""Game"")))"),"")</f>
        <v/>
      </c>
      <c r="C76" s="7"/>
      <c r="D76" s="7"/>
      <c r="E76" s="7"/>
      <c r="F76" s="7"/>
      <c r="G76" s="7"/>
      <c r="H76" s="7"/>
      <c r="I76" s="7"/>
      <c r="J76" s="7"/>
      <c r="K76" s="7"/>
      <c r="L76" s="7"/>
      <c r="M76" s="7"/>
      <c r="N76" s="7"/>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c r="A77" s="112"/>
      <c r="B77" s="7" t="str">
        <f>IFERROR(__xludf.DUMMYFUNCTION("IF(A77="""","""",SUM(FILTER(#REF!,YEAR(FinishedData!$A:$A)=YEAR($A77),MONTH(FinishedData!$A:$A)=MONTH($A77),FinishedData!$B:$B=""Game"")))"),"")</f>
        <v/>
      </c>
      <c r="C77" s="7"/>
      <c r="D77" s="7"/>
      <c r="E77" s="7"/>
      <c r="F77" s="7"/>
      <c r="G77" s="7"/>
      <c r="H77" s="7"/>
      <c r="I77" s="7"/>
      <c r="J77" s="7"/>
      <c r="K77" s="7"/>
      <c r="L77" s="7"/>
      <c r="M77" s="7"/>
      <c r="N77" s="7"/>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c r="A78" s="112"/>
      <c r="B78" s="7" t="str">
        <f>IFERROR(__xludf.DUMMYFUNCTION("IF(A78="""","""",SUM(FILTER(#REF!,YEAR(FinishedData!$A:$A)=YEAR($A78),MONTH(FinishedData!$A:$A)=MONTH($A78),FinishedData!$B:$B=""Game"")))"),"")</f>
        <v/>
      </c>
      <c r="C78" s="7"/>
      <c r="D78" s="7"/>
      <c r="E78" s="7"/>
      <c r="F78" s="7"/>
      <c r="G78" s="7"/>
      <c r="H78" s="7"/>
      <c r="I78" s="7"/>
      <c r="J78" s="7"/>
      <c r="K78" s="7"/>
      <c r="L78" s="7"/>
      <c r="M78" s="7"/>
      <c r="N78" s="7"/>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c r="A79" s="112"/>
      <c r="B79" s="7" t="str">
        <f>IFERROR(__xludf.DUMMYFUNCTION("IF(A79="""","""",SUM(FILTER(#REF!,YEAR(FinishedData!$A:$A)=YEAR($A79),MONTH(FinishedData!$A:$A)=MONTH($A79),FinishedData!$B:$B=""Game"")))"),"")</f>
        <v/>
      </c>
      <c r="C79" s="7"/>
      <c r="D79" s="7"/>
      <c r="E79" s="7"/>
      <c r="F79" s="7"/>
      <c r="G79" s="7"/>
      <c r="H79" s="7"/>
      <c r="I79" s="7"/>
      <c r="J79" s="7"/>
      <c r="K79" s="7"/>
      <c r="L79" s="7"/>
      <c r="M79" s="7"/>
      <c r="N79" s="7"/>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c r="A80" s="112"/>
      <c r="B80" s="7" t="str">
        <f>IFERROR(__xludf.DUMMYFUNCTION("IF(A80="""","""",SUM(FILTER(#REF!,YEAR(FinishedData!$A:$A)=YEAR($A80),MONTH(FinishedData!$A:$A)=MONTH($A80),FinishedData!$B:$B=""Game"")))"),"")</f>
        <v/>
      </c>
      <c r="C80" s="7"/>
      <c r="D80" s="7"/>
      <c r="E80" s="7"/>
      <c r="F80" s="7"/>
      <c r="G80" s="7"/>
      <c r="H80" s="7"/>
      <c r="I80" s="7"/>
      <c r="J80" s="7"/>
      <c r="K80" s="7"/>
      <c r="L80" s="7"/>
      <c r="M80" s="7"/>
      <c r="N80" s="7"/>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c r="A81" s="112"/>
      <c r="B81" s="7" t="str">
        <f>IFERROR(__xludf.DUMMYFUNCTION("IF(A81="""","""",SUM(FILTER(#REF!,YEAR(FinishedData!$A:$A)=YEAR($A81),MONTH(FinishedData!$A:$A)=MONTH($A81),FinishedData!$B:$B=""Game"")))"),"")</f>
        <v/>
      </c>
      <c r="C81" s="7"/>
      <c r="D81" s="7"/>
      <c r="E81" s="7"/>
      <c r="F81" s="7"/>
      <c r="G81" s="7"/>
      <c r="H81" s="7"/>
      <c r="I81" s="7"/>
      <c r="J81" s="7"/>
      <c r="K81" s="7"/>
      <c r="L81" s="7"/>
      <c r="M81" s="7"/>
      <c r="N81" s="7"/>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c r="A82" s="112"/>
      <c r="B82" s="7" t="str">
        <f>IFERROR(__xludf.DUMMYFUNCTION("IF(A82="""","""",SUM(FILTER(#REF!,YEAR(FinishedData!$A:$A)=YEAR($A82),MONTH(FinishedData!$A:$A)=MONTH($A82),FinishedData!$B:$B=""Game"")))"),"")</f>
        <v/>
      </c>
      <c r="C82" s="7"/>
      <c r="D82" s="7"/>
      <c r="E82" s="7"/>
      <c r="F82" s="7"/>
      <c r="G82" s="7"/>
      <c r="H82" s="7"/>
      <c r="I82" s="7"/>
      <c r="J82" s="7"/>
      <c r="K82" s="7"/>
      <c r="L82" s="7"/>
      <c r="M82" s="7"/>
      <c r="N82" s="7"/>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c r="A83" s="112"/>
      <c r="B83" s="7" t="str">
        <f>IFERROR(__xludf.DUMMYFUNCTION("IF(A83="""","""",SUM(FILTER(#REF!,YEAR(FinishedData!$A:$A)=YEAR($A83),MONTH(FinishedData!$A:$A)=MONTH($A83),FinishedData!$B:$B=""Game"")))"),"")</f>
        <v/>
      </c>
      <c r="C83" s="7"/>
      <c r="D83" s="7"/>
      <c r="E83" s="7"/>
      <c r="F83" s="7"/>
      <c r="G83" s="7"/>
      <c r="H83" s="7"/>
      <c r="I83" s="7"/>
      <c r="J83" s="7"/>
      <c r="K83" s="7"/>
      <c r="L83" s="7"/>
      <c r="M83" s="7"/>
      <c r="N83" s="7"/>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c r="A84" s="112"/>
      <c r="B84" s="7" t="str">
        <f>IFERROR(__xludf.DUMMYFUNCTION("IF(A84="""","""",SUM(FILTER(#REF!,YEAR(FinishedData!$A:$A)=YEAR($A84),MONTH(FinishedData!$A:$A)=MONTH($A84),FinishedData!$B:$B=""Game"")))"),"")</f>
        <v/>
      </c>
      <c r="C84" s="7"/>
      <c r="D84" s="7"/>
      <c r="E84" s="7"/>
      <c r="F84" s="7"/>
      <c r="G84" s="7"/>
      <c r="H84" s="7"/>
      <c r="I84" s="7"/>
      <c r="J84" s="7"/>
      <c r="K84" s="7"/>
      <c r="L84" s="7"/>
      <c r="M84" s="7"/>
      <c r="N84" s="7"/>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c r="A85" s="112"/>
      <c r="B85" s="7" t="str">
        <f>IFERROR(__xludf.DUMMYFUNCTION("IF(A85="""","""",SUM(FILTER(#REF!,YEAR(FinishedData!$A:$A)=YEAR($A85),MONTH(FinishedData!$A:$A)=MONTH($A85),FinishedData!$B:$B=""Game"")))"),"")</f>
        <v/>
      </c>
      <c r="C85" s="7"/>
      <c r="D85" s="7"/>
      <c r="E85" s="7"/>
      <c r="F85" s="7"/>
      <c r="G85" s="7"/>
      <c r="H85" s="7"/>
      <c r="I85" s="7"/>
      <c r="J85" s="7"/>
      <c r="K85" s="7"/>
      <c r="L85" s="7"/>
      <c r="M85" s="7"/>
      <c r="N85" s="7"/>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c r="A86" s="112"/>
      <c r="B86" s="7" t="str">
        <f>IFERROR(__xludf.DUMMYFUNCTION("IF(A86="""","""",SUM(FILTER(#REF!,YEAR(FinishedData!$A:$A)=YEAR($A86),MONTH(FinishedData!$A:$A)=MONTH($A86),FinishedData!$B:$B=""Game"")))"),"")</f>
        <v/>
      </c>
      <c r="C86" s="7"/>
      <c r="D86" s="7"/>
      <c r="E86" s="7"/>
      <c r="F86" s="7"/>
      <c r="G86" s="7"/>
      <c r="H86" s="7"/>
      <c r="I86" s="7"/>
      <c r="J86" s="7"/>
      <c r="K86" s="7"/>
      <c r="L86" s="7"/>
      <c r="M86" s="7"/>
      <c r="N86" s="7"/>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c r="A87" s="112"/>
      <c r="B87" s="7" t="str">
        <f>IFERROR(__xludf.DUMMYFUNCTION("IF(A87="""","""",SUM(FILTER(#REF!,YEAR(FinishedData!$A:$A)=YEAR($A87),MONTH(FinishedData!$A:$A)=MONTH($A87),FinishedData!$B:$B=""Game"")))"),"")</f>
        <v/>
      </c>
      <c r="C87" s="7"/>
      <c r="D87" s="7"/>
      <c r="E87" s="7"/>
      <c r="F87" s="7"/>
      <c r="G87" s="7"/>
      <c r="H87" s="7"/>
      <c r="I87" s="7"/>
      <c r="J87" s="7"/>
      <c r="K87" s="7"/>
      <c r="L87" s="7"/>
      <c r="M87" s="7"/>
      <c r="N87" s="7"/>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c r="A88" s="112"/>
      <c r="B88" s="7" t="str">
        <f>IFERROR(__xludf.DUMMYFUNCTION("IF(A88="""","""",SUM(FILTER(#REF!,YEAR(FinishedData!$A:$A)=YEAR($A88),MONTH(FinishedData!$A:$A)=MONTH($A88),FinishedData!$B:$B=""Game"")))"),"")</f>
        <v/>
      </c>
      <c r="C88" s="7"/>
      <c r="D88" s="7"/>
      <c r="E88" s="7"/>
      <c r="F88" s="7"/>
      <c r="G88" s="7"/>
      <c r="H88" s="7"/>
      <c r="I88" s="7"/>
      <c r="J88" s="7"/>
      <c r="K88" s="7"/>
      <c r="L88" s="7"/>
      <c r="M88" s="7"/>
      <c r="N88" s="7"/>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c r="A89" s="112"/>
      <c r="B89" s="7" t="str">
        <f>IFERROR(__xludf.DUMMYFUNCTION("IF(A89="""","""",SUM(FILTER(#REF!,YEAR(FinishedData!$A:$A)=YEAR($A89),MONTH(FinishedData!$A:$A)=MONTH($A89),FinishedData!$B:$B=""Game"")))"),"")</f>
        <v/>
      </c>
      <c r="C89" s="7"/>
      <c r="D89" s="7"/>
      <c r="E89" s="7"/>
      <c r="F89" s="7"/>
      <c r="G89" s="7"/>
      <c r="H89" s="7"/>
      <c r="I89" s="7"/>
      <c r="J89" s="7"/>
      <c r="K89" s="7"/>
      <c r="L89" s="7"/>
      <c r="M89" s="7"/>
      <c r="N89" s="7"/>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c r="A90" s="112"/>
      <c r="B90" s="7" t="str">
        <f>IFERROR(__xludf.DUMMYFUNCTION("IF(A90="""","""",SUM(FILTER(#REF!,YEAR(FinishedData!$A:$A)=YEAR($A90),MONTH(FinishedData!$A:$A)=MONTH($A90),FinishedData!$B:$B=""Game"")))"),"")</f>
        <v/>
      </c>
      <c r="C90" s="7"/>
      <c r="D90" s="7"/>
      <c r="E90" s="7"/>
      <c r="F90" s="7"/>
      <c r="G90" s="7"/>
      <c r="H90" s="7"/>
      <c r="I90" s="7"/>
      <c r="J90" s="7"/>
      <c r="K90" s="7"/>
      <c r="L90" s="7"/>
      <c r="M90" s="7"/>
      <c r="N90" s="7"/>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c r="A91" s="112"/>
      <c r="B91" s="7" t="str">
        <f>IFERROR(__xludf.DUMMYFUNCTION("IF(A91="""","""",SUM(FILTER(#REF!,YEAR(FinishedData!$A:$A)=YEAR($A91),MONTH(FinishedData!$A:$A)=MONTH($A91),FinishedData!$B:$B=""Game"")))"),"")</f>
        <v/>
      </c>
      <c r="C91" s="7"/>
      <c r="D91" s="7"/>
      <c r="E91" s="7"/>
      <c r="F91" s="7"/>
      <c r="G91" s="7"/>
      <c r="H91" s="7"/>
      <c r="I91" s="7"/>
      <c r="J91" s="7"/>
      <c r="K91" s="7"/>
      <c r="L91" s="7"/>
      <c r="M91" s="7"/>
      <c r="N91" s="7"/>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c r="A92" s="112"/>
      <c r="B92" s="7" t="str">
        <f>IFERROR(__xludf.DUMMYFUNCTION("IF(A92="""","""",SUM(FILTER(#REF!,YEAR(FinishedData!$A:$A)=YEAR($A92),MONTH(FinishedData!$A:$A)=MONTH($A92),FinishedData!$B:$B=""Game"")))"),"")</f>
        <v/>
      </c>
      <c r="C92" s="7"/>
      <c r="D92" s="7"/>
      <c r="E92" s="7"/>
      <c r="F92" s="7"/>
      <c r="G92" s="7"/>
      <c r="H92" s="7"/>
      <c r="I92" s="7"/>
      <c r="J92" s="7"/>
      <c r="K92" s="7"/>
      <c r="L92" s="7"/>
      <c r="M92" s="7"/>
      <c r="N92" s="7"/>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c r="A93" s="112"/>
      <c r="B93" s="7" t="str">
        <f>IFERROR(__xludf.DUMMYFUNCTION("IF(A93="""","""",SUM(FILTER(#REF!,YEAR(FinishedData!$A:$A)=YEAR($A93),MONTH(FinishedData!$A:$A)=MONTH($A93),FinishedData!$B:$B=""Game"")))"),"")</f>
        <v/>
      </c>
      <c r="C93" s="7"/>
      <c r="D93" s="7"/>
      <c r="E93" s="7"/>
      <c r="F93" s="7"/>
      <c r="G93" s="7"/>
      <c r="H93" s="7"/>
      <c r="I93" s="7"/>
      <c r="J93" s="7"/>
      <c r="K93" s="7"/>
      <c r="L93" s="7"/>
      <c r="M93" s="7"/>
      <c r="N93" s="7"/>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c r="A94" s="112"/>
      <c r="B94" s="7" t="str">
        <f>IFERROR(__xludf.DUMMYFUNCTION("IF(A94="""","""",SUM(FILTER(#REF!,YEAR(FinishedData!$A:$A)=YEAR($A94),MONTH(FinishedData!$A:$A)=MONTH($A94),FinishedData!$B:$B=""Game"")))"),"")</f>
        <v/>
      </c>
      <c r="C94" s="7"/>
      <c r="D94" s="7"/>
      <c r="E94" s="7"/>
      <c r="F94" s="7"/>
      <c r="G94" s="7"/>
      <c r="H94" s="7"/>
      <c r="I94" s="7"/>
      <c r="J94" s="7"/>
      <c r="K94" s="7"/>
      <c r="L94" s="7"/>
      <c r="M94" s="7"/>
      <c r="N94" s="7"/>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c r="A95" s="112"/>
      <c r="B95" s="7" t="str">
        <f>IFERROR(__xludf.DUMMYFUNCTION("IF(A95="""","""",SUM(FILTER(#REF!,YEAR(FinishedData!$A:$A)=YEAR($A95),MONTH(FinishedData!$A:$A)=MONTH($A95),FinishedData!$B:$B=""Game"")))"),"")</f>
        <v/>
      </c>
      <c r="C95" s="7"/>
      <c r="D95" s="7"/>
      <c r="E95" s="7"/>
      <c r="F95" s="7"/>
      <c r="G95" s="7"/>
      <c r="H95" s="7"/>
      <c r="I95" s="7"/>
      <c r="J95" s="7"/>
      <c r="K95" s="7"/>
      <c r="L95" s="7"/>
      <c r="M95" s="7"/>
      <c r="N95" s="7"/>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c r="A96" s="112"/>
      <c r="B96" s="7" t="str">
        <f>IFERROR(__xludf.DUMMYFUNCTION("IF(A96="""","""",SUM(FILTER(#REF!,YEAR(FinishedData!$A:$A)=YEAR($A96),MONTH(FinishedData!$A:$A)=MONTH($A96),FinishedData!$B:$B=""Game"")))"),"")</f>
        <v/>
      </c>
      <c r="C96" s="7"/>
      <c r="D96" s="7"/>
      <c r="E96" s="7"/>
      <c r="F96" s="7"/>
      <c r="G96" s="7"/>
      <c r="H96" s="7"/>
      <c r="I96" s="7"/>
      <c r="J96" s="7"/>
      <c r="K96" s="7"/>
      <c r="L96" s="7"/>
      <c r="M96" s="7"/>
      <c r="N96" s="7"/>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c r="A97" s="112"/>
      <c r="B97" s="7" t="str">
        <f>IFERROR(__xludf.DUMMYFUNCTION("IF(A97="""","""",SUM(FILTER(#REF!,YEAR(FinishedData!$A:$A)=YEAR($A97),MONTH(FinishedData!$A:$A)=MONTH($A97),FinishedData!$B:$B=""Game"")))"),"")</f>
        <v/>
      </c>
      <c r="C97" s="7"/>
      <c r="D97" s="7"/>
      <c r="E97" s="7"/>
      <c r="F97" s="7"/>
      <c r="G97" s="7"/>
      <c r="H97" s="7"/>
      <c r="I97" s="7"/>
      <c r="J97" s="7"/>
      <c r="K97" s="7"/>
      <c r="L97" s="7"/>
      <c r="M97" s="7"/>
      <c r="N97" s="7"/>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c r="A98" s="112"/>
      <c r="B98" s="7" t="str">
        <f>IFERROR(__xludf.DUMMYFUNCTION("IF(A98="""","""",SUM(FILTER(#REF!,YEAR(FinishedData!$A:$A)=YEAR($A98),MONTH(FinishedData!$A:$A)=MONTH($A98),FinishedData!$B:$B=""Game"")))"),"")</f>
        <v/>
      </c>
      <c r="C98" s="7"/>
      <c r="D98" s="7"/>
      <c r="E98" s="7"/>
      <c r="F98" s="7"/>
      <c r="G98" s="7"/>
      <c r="H98" s="7"/>
      <c r="I98" s="7"/>
      <c r="J98" s="7"/>
      <c r="K98" s="7"/>
      <c r="L98" s="7"/>
      <c r="M98" s="7"/>
      <c r="N98" s="7"/>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c r="A99" s="112"/>
      <c r="B99" s="7" t="str">
        <f>IFERROR(__xludf.DUMMYFUNCTION("IF(A99="""","""",SUM(FILTER(#REF!,YEAR(FinishedData!$A:$A)=YEAR($A99),MONTH(FinishedData!$A:$A)=MONTH($A99),FinishedData!$B:$B=""Game"")))"),"")</f>
        <v/>
      </c>
      <c r="C99" s="7"/>
      <c r="D99" s="7"/>
      <c r="E99" s="7"/>
      <c r="F99" s="7"/>
      <c r="G99" s="7"/>
      <c r="H99" s="7"/>
      <c r="I99" s="7"/>
      <c r="J99" s="7"/>
      <c r="K99" s="7"/>
      <c r="L99" s="7"/>
      <c r="M99" s="7"/>
      <c r="N99" s="7"/>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c r="A100" s="112"/>
      <c r="B100" s="7" t="str">
        <f>IFERROR(__xludf.DUMMYFUNCTION("IF(A100="""","""",SUM(FILTER(#REF!,YEAR(FinishedData!$A:$A)=YEAR($A100),MONTH(FinishedData!$A:$A)=MONTH($A100),FinishedData!$B:$B=""Game"")))"),"")</f>
        <v/>
      </c>
      <c r="C100" s="7"/>
      <c r="D100" s="7"/>
      <c r="E100" s="7"/>
      <c r="F100" s="7"/>
      <c r="G100" s="7"/>
      <c r="H100" s="7"/>
      <c r="I100" s="7"/>
      <c r="J100" s="7"/>
      <c r="K100" s="7"/>
      <c r="L100" s="7"/>
      <c r="M100" s="7"/>
      <c r="N100" s="7"/>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c r="A101" s="112"/>
      <c r="B101" s="7" t="str">
        <f>IFERROR(__xludf.DUMMYFUNCTION("IF(A101="""","""",SUM(FILTER(#REF!,YEAR(FinishedData!$A:$A)=YEAR($A101),MONTH(FinishedData!$A:$A)=MONTH($A101),FinishedData!$B:$B=""Game"")))"),"")</f>
        <v/>
      </c>
      <c r="C101" s="7"/>
      <c r="D101" s="7"/>
      <c r="E101" s="7"/>
      <c r="F101" s="7"/>
      <c r="G101" s="7"/>
      <c r="H101" s="7"/>
      <c r="I101" s="7"/>
      <c r="J101" s="7"/>
      <c r="K101" s="7"/>
      <c r="L101" s="7"/>
      <c r="M101" s="7"/>
      <c r="N101" s="7"/>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c r="A102" s="112"/>
      <c r="B102" s="7" t="str">
        <f>IFERROR(__xludf.DUMMYFUNCTION("IF(A102="""","""",SUM(FILTER(#REF!,YEAR(FinishedData!$A:$A)=YEAR($A102),MONTH(FinishedData!$A:$A)=MONTH($A102),FinishedData!$B:$B=""Game"")))"),"")</f>
        <v/>
      </c>
      <c r="C102" s="7"/>
      <c r="D102" s="7"/>
      <c r="E102" s="7"/>
      <c r="F102" s="7"/>
      <c r="G102" s="7"/>
      <c r="H102" s="7"/>
      <c r="I102" s="7"/>
      <c r="J102" s="7"/>
      <c r="K102" s="7"/>
      <c r="L102" s="7"/>
      <c r="M102" s="7"/>
      <c r="N102" s="7"/>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c r="A103" s="112"/>
      <c r="B103" s="7" t="str">
        <f>IFERROR(__xludf.DUMMYFUNCTION("IF(A103="""","""",SUM(FILTER(#REF!,YEAR(FinishedData!$A:$A)=YEAR($A103),MONTH(FinishedData!$A:$A)=MONTH($A103),FinishedData!$B:$B=""Game"")))"),"")</f>
        <v/>
      </c>
      <c r="C103" s="7"/>
      <c r="D103" s="7"/>
      <c r="E103" s="7"/>
      <c r="F103" s="7"/>
      <c r="G103" s="7"/>
      <c r="H103" s="7"/>
      <c r="I103" s="7"/>
      <c r="J103" s="7"/>
      <c r="K103" s="7"/>
      <c r="L103" s="7"/>
      <c r="M103" s="7"/>
      <c r="N103" s="7"/>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c r="A104" s="112"/>
      <c r="B104" s="7" t="str">
        <f>IFERROR(__xludf.DUMMYFUNCTION("IF(A104="""","""",SUM(FILTER(#REF!,YEAR(FinishedData!$A:$A)=YEAR($A104),MONTH(FinishedData!$A:$A)=MONTH($A104),FinishedData!$B:$B=""Game"")))"),"")</f>
        <v/>
      </c>
      <c r="C104" s="7"/>
      <c r="D104" s="7"/>
      <c r="E104" s="7"/>
      <c r="F104" s="7"/>
      <c r="G104" s="7"/>
      <c r="H104" s="7"/>
      <c r="I104" s="7"/>
      <c r="J104" s="7"/>
      <c r="K104" s="7"/>
      <c r="L104" s="7"/>
      <c r="M104" s="7"/>
      <c r="N104" s="7"/>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c r="A105" s="112"/>
      <c r="B105" s="7" t="str">
        <f>IFERROR(__xludf.DUMMYFUNCTION("IF(A105="""","""",SUM(FILTER(#REF!,YEAR(FinishedData!$A:$A)=YEAR($A105),MONTH(FinishedData!$A:$A)=MONTH($A105),FinishedData!$B:$B=""Game"")))"),"")</f>
        <v/>
      </c>
      <c r="C105" s="7"/>
      <c r="D105" s="7"/>
      <c r="E105" s="7"/>
      <c r="F105" s="7"/>
      <c r="G105" s="7"/>
      <c r="H105" s="7"/>
      <c r="I105" s="7"/>
      <c r="J105" s="7"/>
      <c r="K105" s="7"/>
      <c r="L105" s="7"/>
      <c r="M105" s="7"/>
      <c r="N105" s="7"/>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c r="A106" s="112"/>
      <c r="B106" s="7" t="str">
        <f>IFERROR(__xludf.DUMMYFUNCTION("IF(A106="""","""",SUM(FILTER(#REF!,YEAR(FinishedData!$A:$A)=YEAR($A106),MONTH(FinishedData!$A:$A)=MONTH($A106),FinishedData!$B:$B=""Game"")))"),"")</f>
        <v/>
      </c>
      <c r="C106" s="7"/>
      <c r="D106" s="7"/>
      <c r="E106" s="7"/>
      <c r="F106" s="7"/>
      <c r="G106" s="7"/>
      <c r="H106" s="7"/>
      <c r="I106" s="7"/>
      <c r="J106" s="7"/>
      <c r="K106" s="7"/>
      <c r="L106" s="7"/>
      <c r="M106" s="7"/>
      <c r="N106" s="7"/>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c r="A107" s="112"/>
      <c r="B107" s="7" t="str">
        <f>IFERROR(__xludf.DUMMYFUNCTION("IF(A107="""","""",SUM(FILTER(#REF!,YEAR(FinishedData!$A:$A)=YEAR($A107),MONTH(FinishedData!$A:$A)=MONTH($A107),FinishedData!$B:$B=""Game"")))"),"")</f>
        <v/>
      </c>
      <c r="C107" s="7"/>
      <c r="D107" s="7"/>
      <c r="E107" s="7"/>
      <c r="F107" s="7"/>
      <c r="G107" s="7"/>
      <c r="H107" s="7"/>
      <c r="I107" s="7"/>
      <c r="J107" s="7"/>
      <c r="K107" s="7"/>
      <c r="L107" s="7"/>
      <c r="M107" s="7"/>
      <c r="N107" s="7"/>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c r="A108" s="112"/>
      <c r="B108" s="7" t="str">
        <f>IFERROR(__xludf.DUMMYFUNCTION("IF(A108="""","""",SUM(FILTER(#REF!,YEAR(FinishedData!$A:$A)=YEAR($A108),MONTH(FinishedData!$A:$A)=MONTH($A108),FinishedData!$B:$B=""Game"")))"),"")</f>
        <v/>
      </c>
      <c r="C108" s="7"/>
      <c r="D108" s="7"/>
      <c r="E108" s="7"/>
      <c r="F108" s="7"/>
      <c r="G108" s="7"/>
      <c r="H108" s="7"/>
      <c r="I108" s="7"/>
      <c r="J108" s="7"/>
      <c r="K108" s="7"/>
      <c r="L108" s="7"/>
      <c r="M108" s="7"/>
      <c r="N108" s="7"/>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c r="A109" s="112"/>
      <c r="B109" s="7" t="str">
        <f>IFERROR(__xludf.DUMMYFUNCTION("IF(A109="""","""",SUM(FILTER(#REF!,YEAR(FinishedData!$A:$A)=YEAR($A109),MONTH(FinishedData!$A:$A)=MONTH($A109),FinishedData!$B:$B=""Game"")))"),"")</f>
        <v/>
      </c>
      <c r="C109" s="7"/>
      <c r="D109" s="7"/>
      <c r="E109" s="7"/>
      <c r="F109" s="7"/>
      <c r="G109" s="7"/>
      <c r="H109" s="7"/>
      <c r="I109" s="7"/>
      <c r="J109" s="7"/>
      <c r="K109" s="7"/>
      <c r="L109" s="7"/>
      <c r="M109" s="7"/>
      <c r="N109" s="7"/>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c r="A110" s="112"/>
      <c r="B110" s="7" t="str">
        <f>IFERROR(__xludf.DUMMYFUNCTION("IF(A110="""","""",SUM(FILTER(#REF!,YEAR(FinishedData!$A:$A)=YEAR($A110),MONTH(FinishedData!$A:$A)=MONTH($A110),FinishedData!$B:$B=""Game"")))"),"")</f>
        <v/>
      </c>
      <c r="C110" s="7"/>
      <c r="D110" s="7"/>
      <c r="E110" s="7"/>
      <c r="F110" s="7"/>
      <c r="G110" s="7"/>
      <c r="H110" s="7"/>
      <c r="I110" s="7"/>
      <c r="J110" s="7"/>
      <c r="K110" s="7"/>
      <c r="L110" s="7"/>
      <c r="M110" s="7"/>
      <c r="N110" s="7"/>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c r="A111" s="112"/>
      <c r="B111" s="7" t="str">
        <f>IFERROR(__xludf.DUMMYFUNCTION("IF(A111="""","""",SUM(FILTER(#REF!,YEAR(FinishedData!$A:$A)=YEAR($A111),MONTH(FinishedData!$A:$A)=MONTH($A111),FinishedData!$B:$B=""Game"")))"),"")</f>
        <v/>
      </c>
      <c r="C111" s="7"/>
      <c r="D111" s="7"/>
      <c r="E111" s="7"/>
      <c r="F111" s="7"/>
      <c r="G111" s="7"/>
      <c r="H111" s="7"/>
      <c r="I111" s="7"/>
      <c r="J111" s="7"/>
      <c r="K111" s="7"/>
      <c r="L111" s="7"/>
      <c r="M111" s="7"/>
      <c r="N111" s="7"/>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c r="A112" s="112"/>
      <c r="B112" s="7" t="str">
        <f>IFERROR(__xludf.DUMMYFUNCTION("IF(A112="""","""",SUM(FILTER(#REF!,YEAR(FinishedData!$A:$A)=YEAR($A112),MONTH(FinishedData!$A:$A)=MONTH($A112),FinishedData!$B:$B=""Game"")))"),"")</f>
        <v/>
      </c>
      <c r="C112" s="7"/>
      <c r="D112" s="7"/>
      <c r="E112" s="7"/>
      <c r="F112" s="7"/>
      <c r="G112" s="7"/>
      <c r="H112" s="7"/>
      <c r="I112" s="7"/>
      <c r="J112" s="7"/>
      <c r="K112" s="7"/>
      <c r="L112" s="7"/>
      <c r="M112" s="7"/>
      <c r="N112" s="7"/>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c r="A113" s="112"/>
      <c r="B113" s="7" t="str">
        <f>IFERROR(__xludf.DUMMYFUNCTION("IF(A113="""","""",SUM(FILTER(#REF!,YEAR(FinishedData!$A:$A)=YEAR($A113),MONTH(FinishedData!$A:$A)=MONTH($A113),FinishedData!$B:$B=""Game"")))"),"")</f>
        <v/>
      </c>
      <c r="C113" s="7"/>
      <c r="D113" s="7"/>
      <c r="E113" s="7"/>
      <c r="F113" s="7"/>
      <c r="G113" s="7"/>
      <c r="H113" s="7"/>
      <c r="I113" s="7"/>
      <c r="J113" s="7"/>
      <c r="K113" s="7"/>
      <c r="L113" s="7"/>
      <c r="M113" s="7"/>
      <c r="N113" s="7"/>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c r="A114" s="112"/>
      <c r="B114" s="7" t="str">
        <f>IFERROR(__xludf.DUMMYFUNCTION("IF(A114="""","""",SUM(FILTER(#REF!,YEAR(FinishedData!$A:$A)=YEAR($A114),MONTH(FinishedData!$A:$A)=MONTH($A114),FinishedData!$B:$B=""Game"")))"),"")</f>
        <v/>
      </c>
      <c r="C114" s="7"/>
      <c r="D114" s="7"/>
      <c r="E114" s="7"/>
      <c r="F114" s="7"/>
      <c r="G114" s="7"/>
      <c r="H114" s="7"/>
      <c r="I114" s="7"/>
      <c r="J114" s="7"/>
      <c r="K114" s="7"/>
      <c r="L114" s="7"/>
      <c r="M114" s="7"/>
      <c r="N114" s="7"/>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c r="A115" s="112"/>
      <c r="B115" s="7" t="str">
        <f>IFERROR(__xludf.DUMMYFUNCTION("IF(A115="""","""",SUM(FILTER(#REF!,YEAR(FinishedData!$A:$A)=YEAR($A115),MONTH(FinishedData!$A:$A)=MONTH($A115),FinishedData!$B:$B=""Game"")))"),"")</f>
        <v/>
      </c>
      <c r="C115" s="7"/>
      <c r="D115" s="7"/>
      <c r="E115" s="7"/>
      <c r="F115" s="7"/>
      <c r="G115" s="7"/>
      <c r="H115" s="7"/>
      <c r="I115" s="7"/>
      <c r="J115" s="7"/>
      <c r="K115" s="7"/>
      <c r="L115" s="7"/>
      <c r="M115" s="7"/>
      <c r="N115" s="7"/>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c r="A116" s="112"/>
      <c r="B116" s="7" t="str">
        <f>IFERROR(__xludf.DUMMYFUNCTION("IF(A116="""","""",SUM(FILTER(#REF!,YEAR(FinishedData!$A:$A)=YEAR($A116),MONTH(FinishedData!$A:$A)=MONTH($A116),FinishedData!$B:$B=""Game"")))"),"")</f>
        <v/>
      </c>
      <c r="C116" s="7"/>
      <c r="D116" s="7"/>
      <c r="E116" s="7"/>
      <c r="F116" s="7"/>
      <c r="G116" s="7"/>
      <c r="H116" s="7"/>
      <c r="I116" s="7"/>
      <c r="J116" s="7"/>
      <c r="K116" s="7"/>
      <c r="L116" s="7"/>
      <c r="M116" s="7"/>
      <c r="N116" s="7"/>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c r="A117" s="112"/>
      <c r="B117" s="7" t="str">
        <f>IFERROR(__xludf.DUMMYFUNCTION("IF(A117="""","""",SUM(FILTER(#REF!,YEAR(FinishedData!$A:$A)=YEAR($A117),MONTH(FinishedData!$A:$A)=MONTH($A117),FinishedData!$B:$B=""Game"")))"),"")</f>
        <v/>
      </c>
      <c r="C117" s="7"/>
      <c r="D117" s="7"/>
      <c r="E117" s="7"/>
      <c r="F117" s="7"/>
      <c r="G117" s="7"/>
      <c r="H117" s="7"/>
      <c r="I117" s="7"/>
      <c r="J117" s="7"/>
      <c r="K117" s="7"/>
      <c r="L117" s="7"/>
      <c r="M117" s="7"/>
      <c r="N117" s="7"/>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c r="A118" s="112"/>
      <c r="B118" s="7" t="str">
        <f>IFERROR(__xludf.DUMMYFUNCTION("IF(A118="""","""",SUM(FILTER(#REF!,YEAR(FinishedData!$A:$A)=YEAR($A118),MONTH(FinishedData!$A:$A)=MONTH($A118),FinishedData!$B:$B=""Game"")))"),"")</f>
        <v/>
      </c>
      <c r="C118" s="7"/>
      <c r="D118" s="7"/>
      <c r="E118" s="7"/>
      <c r="F118" s="7"/>
      <c r="G118" s="7"/>
      <c r="H118" s="7"/>
      <c r="I118" s="7"/>
      <c r="J118" s="7"/>
      <c r="K118" s="7"/>
      <c r="L118" s="7"/>
      <c r="M118" s="7"/>
      <c r="N118" s="7"/>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c r="A119" s="112"/>
      <c r="B119" s="7" t="str">
        <f>IFERROR(__xludf.DUMMYFUNCTION("IF(A119="""","""",SUM(FILTER(#REF!,YEAR(FinishedData!$A:$A)=YEAR($A119),MONTH(FinishedData!$A:$A)=MONTH($A119),FinishedData!$B:$B=""Game"")))"),"")</f>
        <v/>
      </c>
      <c r="C119" s="7"/>
      <c r="D119" s="7"/>
      <c r="E119" s="7"/>
      <c r="F119" s="7"/>
      <c r="G119" s="7"/>
      <c r="H119" s="7"/>
      <c r="I119" s="7"/>
      <c r="J119" s="7"/>
      <c r="K119" s="7"/>
      <c r="L119" s="7"/>
      <c r="M119" s="7"/>
      <c r="N119" s="7"/>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c r="A120" s="112"/>
      <c r="B120" s="7" t="str">
        <f>IFERROR(__xludf.DUMMYFUNCTION("IF(A120="""","""",SUM(FILTER(#REF!,YEAR(FinishedData!$A:$A)=YEAR($A120),MONTH(FinishedData!$A:$A)=MONTH($A120),FinishedData!$B:$B=""Game"")))"),"")</f>
        <v/>
      </c>
      <c r="C120" s="7"/>
      <c r="D120" s="7"/>
      <c r="E120" s="7"/>
      <c r="F120" s="7"/>
      <c r="G120" s="7"/>
      <c r="H120" s="7"/>
      <c r="I120" s="7"/>
      <c r="J120" s="7"/>
      <c r="K120" s="7"/>
      <c r="L120" s="7"/>
      <c r="M120" s="7"/>
      <c r="N120" s="7"/>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c r="A121" s="112"/>
      <c r="B121" s="7" t="str">
        <f>IFERROR(__xludf.DUMMYFUNCTION("IF(A121="""","""",SUM(FILTER(#REF!,YEAR(FinishedData!$A:$A)=YEAR($A121),MONTH(FinishedData!$A:$A)=MONTH($A121),FinishedData!$B:$B=""Game"")))"),"")</f>
        <v/>
      </c>
      <c r="C121" s="7"/>
      <c r="D121" s="7"/>
      <c r="E121" s="7"/>
      <c r="F121" s="7"/>
      <c r="G121" s="7"/>
      <c r="H121" s="7"/>
      <c r="I121" s="7"/>
      <c r="J121" s="7"/>
      <c r="K121" s="7"/>
      <c r="L121" s="7"/>
      <c r="M121" s="7"/>
      <c r="N121" s="7"/>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c r="A122" s="112"/>
      <c r="B122" s="7" t="str">
        <f>IFERROR(__xludf.DUMMYFUNCTION("IF(A122="""","""",SUM(FILTER(#REF!,YEAR(FinishedData!$A:$A)=YEAR($A122),MONTH(FinishedData!$A:$A)=MONTH($A122),FinishedData!$B:$B=""Game"")))"),"")</f>
        <v/>
      </c>
      <c r="C122" s="7"/>
      <c r="D122" s="7"/>
      <c r="E122" s="7"/>
      <c r="F122" s="7"/>
      <c r="G122" s="7"/>
      <c r="H122" s="7"/>
      <c r="I122" s="7"/>
      <c r="J122" s="7"/>
      <c r="K122" s="7"/>
      <c r="L122" s="7"/>
      <c r="M122" s="7"/>
      <c r="N122" s="7"/>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c r="A123" s="112"/>
      <c r="B123" s="7" t="str">
        <f>IFERROR(__xludf.DUMMYFUNCTION("IF(A123="""","""",SUM(FILTER(#REF!,YEAR(FinishedData!$A:$A)=YEAR($A123),MONTH(FinishedData!$A:$A)=MONTH($A123),FinishedData!$B:$B=""Game"")))"),"")</f>
        <v/>
      </c>
      <c r="C123" s="7"/>
      <c r="D123" s="7"/>
      <c r="E123" s="7"/>
      <c r="F123" s="7"/>
      <c r="G123" s="7"/>
      <c r="H123" s="7"/>
      <c r="I123" s="7"/>
      <c r="J123" s="7"/>
      <c r="K123" s="7"/>
      <c r="L123" s="7"/>
      <c r="M123" s="7"/>
      <c r="N123" s="7"/>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c r="A124" s="112"/>
      <c r="B124" s="7" t="str">
        <f>IFERROR(__xludf.DUMMYFUNCTION("IF(A124="""","""",SUM(FILTER(#REF!,YEAR(FinishedData!$A:$A)=YEAR($A124),MONTH(FinishedData!$A:$A)=MONTH($A124),FinishedData!$B:$B=""Game"")))"),"")</f>
        <v/>
      </c>
      <c r="C124" s="7"/>
      <c r="D124" s="7"/>
      <c r="E124" s="7"/>
      <c r="F124" s="7"/>
      <c r="G124" s="7"/>
      <c r="H124" s="7"/>
      <c r="I124" s="7"/>
      <c r="J124" s="7"/>
      <c r="K124" s="7"/>
      <c r="L124" s="7"/>
      <c r="M124" s="7"/>
      <c r="N124" s="7"/>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c r="A125" s="112"/>
      <c r="B125" s="7" t="str">
        <f>IFERROR(__xludf.DUMMYFUNCTION("IF(A125="""","""",SUM(FILTER(#REF!,YEAR(FinishedData!$A:$A)=YEAR($A125),MONTH(FinishedData!$A:$A)=MONTH($A125),FinishedData!$B:$B=""Game"")))"),"")</f>
        <v/>
      </c>
      <c r="C125" s="7"/>
      <c r="D125" s="7"/>
      <c r="E125" s="7"/>
      <c r="F125" s="7"/>
      <c r="G125" s="7"/>
      <c r="H125" s="7"/>
      <c r="I125" s="7"/>
      <c r="J125" s="7"/>
      <c r="K125" s="7"/>
      <c r="L125" s="7"/>
      <c r="M125" s="7"/>
      <c r="N125" s="7"/>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c r="A126" s="112"/>
      <c r="B126" s="7" t="str">
        <f>IFERROR(__xludf.DUMMYFUNCTION("IF(A126="""","""",SUM(FILTER(#REF!,YEAR(FinishedData!$A:$A)=YEAR($A126),MONTH(FinishedData!$A:$A)=MONTH($A126),FinishedData!$B:$B=""Game"")))"),"")</f>
        <v/>
      </c>
      <c r="C126" s="7"/>
      <c r="D126" s="7"/>
      <c r="E126" s="7"/>
      <c r="F126" s="7"/>
      <c r="G126" s="7"/>
      <c r="H126" s="7"/>
      <c r="I126" s="7"/>
      <c r="J126" s="7"/>
      <c r="K126" s="7"/>
      <c r="L126" s="7"/>
      <c r="M126" s="7"/>
      <c r="N126" s="7"/>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c r="A127" s="112"/>
      <c r="B127" s="7" t="str">
        <f>IFERROR(__xludf.DUMMYFUNCTION("IF(A127="""","""",SUM(FILTER(#REF!,YEAR(FinishedData!$A:$A)=YEAR($A127),MONTH(FinishedData!$A:$A)=MONTH($A127),FinishedData!$B:$B=""Game"")))"),"")</f>
        <v/>
      </c>
      <c r="C127" s="7"/>
      <c r="D127" s="7"/>
      <c r="E127" s="7"/>
      <c r="F127" s="7"/>
      <c r="G127" s="7"/>
      <c r="H127" s="7"/>
      <c r="I127" s="7"/>
      <c r="J127" s="7"/>
      <c r="K127" s="7"/>
      <c r="L127" s="7"/>
      <c r="M127" s="7"/>
      <c r="N127" s="7"/>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c r="A128" s="112"/>
      <c r="B128" s="7" t="str">
        <f>IFERROR(__xludf.DUMMYFUNCTION("IF(A128="""","""",SUM(FILTER(#REF!,YEAR(FinishedData!$A:$A)=YEAR($A128),MONTH(FinishedData!$A:$A)=MONTH($A128),FinishedData!$B:$B=""Game"")))"),"")</f>
        <v/>
      </c>
      <c r="C128" s="7"/>
      <c r="D128" s="7"/>
      <c r="E128" s="7"/>
      <c r="F128" s="7"/>
      <c r="G128" s="7"/>
      <c r="H128" s="7"/>
      <c r="I128" s="7"/>
      <c r="J128" s="7"/>
      <c r="K128" s="7"/>
      <c r="L128" s="7"/>
      <c r="M128" s="7"/>
      <c r="N128" s="7"/>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c r="A129" s="112"/>
      <c r="B129" s="7" t="str">
        <f>IFERROR(__xludf.DUMMYFUNCTION("IF(A129="""","""",SUM(FILTER(#REF!,YEAR(FinishedData!$A:$A)=YEAR($A129),MONTH(FinishedData!$A:$A)=MONTH($A129),FinishedData!$B:$B=""Game"")))"),"")</f>
        <v/>
      </c>
      <c r="C129" s="7"/>
      <c r="D129" s="7"/>
      <c r="E129" s="7"/>
      <c r="F129" s="7"/>
      <c r="G129" s="7"/>
      <c r="H129" s="7"/>
      <c r="I129" s="7"/>
      <c r="J129" s="7"/>
      <c r="K129" s="7"/>
      <c r="L129" s="7"/>
      <c r="M129" s="7"/>
      <c r="N129" s="7"/>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c r="A130" s="112"/>
      <c r="B130" s="7" t="str">
        <f>IFERROR(__xludf.DUMMYFUNCTION("IF(A130="""","""",SUM(FILTER(#REF!,YEAR(FinishedData!$A:$A)=YEAR($A130),MONTH(FinishedData!$A:$A)=MONTH($A130),FinishedData!$B:$B=""Game"")))"),"")</f>
        <v/>
      </c>
      <c r="C130" s="7"/>
      <c r="D130" s="7"/>
      <c r="E130" s="7"/>
      <c r="F130" s="7"/>
      <c r="G130" s="7"/>
      <c r="H130" s="7"/>
      <c r="I130" s="7"/>
      <c r="J130" s="7"/>
      <c r="K130" s="7"/>
      <c r="L130" s="7"/>
      <c r="M130" s="7"/>
      <c r="N130" s="7"/>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c r="A131" s="112"/>
      <c r="B131" s="7" t="str">
        <f>IFERROR(__xludf.DUMMYFUNCTION("IF(A131="""","""",SUM(FILTER(#REF!,YEAR(FinishedData!$A:$A)=YEAR($A131),MONTH(FinishedData!$A:$A)=MONTH($A131),FinishedData!$B:$B=""Game"")))"),"")</f>
        <v/>
      </c>
      <c r="C131" s="7"/>
      <c r="D131" s="7"/>
      <c r="E131" s="7"/>
      <c r="F131" s="7"/>
      <c r="G131" s="7"/>
      <c r="H131" s="7"/>
      <c r="I131" s="7"/>
      <c r="J131" s="7"/>
      <c r="K131" s="7"/>
      <c r="L131" s="7"/>
      <c r="M131" s="7"/>
      <c r="N131" s="7"/>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c r="A132" s="112"/>
      <c r="B132" s="7" t="str">
        <f>IFERROR(__xludf.DUMMYFUNCTION("IF(A132="""","""",SUM(FILTER(#REF!,YEAR(FinishedData!$A:$A)=YEAR($A132),MONTH(FinishedData!$A:$A)=MONTH($A132),FinishedData!$B:$B=""Game"")))"),"")</f>
        <v/>
      </c>
      <c r="C132" s="7"/>
      <c r="D132" s="7"/>
      <c r="E132" s="7"/>
      <c r="F132" s="7"/>
      <c r="G132" s="7"/>
      <c r="H132" s="7"/>
      <c r="I132" s="7"/>
      <c r="J132" s="7"/>
      <c r="K132" s="7"/>
      <c r="L132" s="7"/>
      <c r="M132" s="7"/>
      <c r="N132" s="7"/>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c r="A133" s="112"/>
      <c r="B133" s="7" t="str">
        <f>IFERROR(__xludf.DUMMYFUNCTION("IF(A133="""","""",SUM(FILTER(#REF!,YEAR(FinishedData!$A:$A)=YEAR($A133),MONTH(FinishedData!$A:$A)=MONTH($A133),FinishedData!$B:$B=""Game"")))"),"")</f>
        <v/>
      </c>
      <c r="C133" s="7"/>
      <c r="D133" s="7"/>
      <c r="E133" s="7"/>
      <c r="F133" s="7"/>
      <c r="G133" s="7"/>
      <c r="H133" s="7"/>
      <c r="I133" s="7"/>
      <c r="J133" s="7"/>
      <c r="K133" s="7"/>
      <c r="L133" s="7"/>
      <c r="M133" s="7"/>
      <c r="N133" s="7"/>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c r="A134" s="112"/>
      <c r="B134" s="7" t="str">
        <f>IFERROR(__xludf.DUMMYFUNCTION("IF(A134="""","""",SUM(FILTER(#REF!,YEAR(FinishedData!$A:$A)=YEAR($A134),MONTH(FinishedData!$A:$A)=MONTH($A134),FinishedData!$B:$B=""Game"")))"),"")</f>
        <v/>
      </c>
      <c r="C134" s="7"/>
      <c r="D134" s="7"/>
      <c r="E134" s="7"/>
      <c r="F134" s="7"/>
      <c r="G134" s="7"/>
      <c r="H134" s="7"/>
      <c r="I134" s="7"/>
      <c r="J134" s="7"/>
      <c r="K134" s="7"/>
      <c r="L134" s="7"/>
      <c r="M134" s="7"/>
      <c r="N134" s="7"/>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c r="A135" s="112"/>
      <c r="B135" s="7" t="str">
        <f>IFERROR(__xludf.DUMMYFUNCTION("IF(A135="""","""",SUM(FILTER(#REF!,YEAR(FinishedData!$A:$A)=YEAR($A135),MONTH(FinishedData!$A:$A)=MONTH($A135),FinishedData!$B:$B=""Game"")))"),"")</f>
        <v/>
      </c>
      <c r="C135" s="7"/>
      <c r="D135" s="7"/>
      <c r="E135" s="7"/>
      <c r="F135" s="7"/>
      <c r="G135" s="7"/>
      <c r="H135" s="7"/>
      <c r="I135" s="7"/>
      <c r="J135" s="7"/>
      <c r="K135" s="7"/>
      <c r="L135" s="7"/>
      <c r="M135" s="7"/>
      <c r="N135" s="7"/>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c r="A136" s="112"/>
      <c r="B136" s="7" t="str">
        <f>IFERROR(__xludf.DUMMYFUNCTION("IF(A136="""","""",SUM(FILTER(#REF!,YEAR(FinishedData!$A:$A)=YEAR($A136),MONTH(FinishedData!$A:$A)=MONTH($A136),FinishedData!$B:$B=""Game"")))"),"")</f>
        <v/>
      </c>
      <c r="C136" s="7"/>
      <c r="D136" s="7"/>
      <c r="E136" s="7"/>
      <c r="F136" s="7"/>
      <c r="G136" s="7"/>
      <c r="H136" s="7"/>
      <c r="I136" s="7"/>
      <c r="J136" s="7"/>
      <c r="K136" s="7"/>
      <c r="L136" s="7"/>
      <c r="M136" s="7"/>
      <c r="N136" s="7"/>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c r="A137" s="112"/>
      <c r="B137" s="7" t="str">
        <f>IFERROR(__xludf.DUMMYFUNCTION("IF(A137="""","""",SUM(FILTER(#REF!,YEAR(FinishedData!$A:$A)=YEAR($A137),MONTH(FinishedData!$A:$A)=MONTH($A137),FinishedData!$B:$B=""Game"")))"),"")</f>
        <v/>
      </c>
      <c r="C137" s="7"/>
      <c r="D137" s="7"/>
      <c r="E137" s="7"/>
      <c r="F137" s="7"/>
      <c r="G137" s="7"/>
      <c r="H137" s="7"/>
      <c r="I137" s="7"/>
      <c r="J137" s="7"/>
      <c r="K137" s="7"/>
      <c r="L137" s="7"/>
      <c r="M137" s="7"/>
      <c r="N137" s="7"/>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c r="A138" s="112"/>
      <c r="B138" s="7" t="str">
        <f>IFERROR(__xludf.DUMMYFUNCTION("IF(A138="""","""",SUM(FILTER(#REF!,YEAR(FinishedData!$A:$A)=YEAR($A138),MONTH(FinishedData!$A:$A)=MONTH($A138),FinishedData!$B:$B=""Game"")))"),"")</f>
        <v/>
      </c>
      <c r="C138" s="7"/>
      <c r="D138" s="7"/>
      <c r="E138" s="7"/>
      <c r="F138" s="7"/>
      <c r="G138" s="7"/>
      <c r="H138" s="7"/>
      <c r="I138" s="7"/>
      <c r="J138" s="7"/>
      <c r="K138" s="7"/>
      <c r="L138" s="7"/>
      <c r="M138" s="7"/>
      <c r="N138" s="7"/>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c r="A139" s="112"/>
      <c r="B139" s="7" t="str">
        <f>IFERROR(__xludf.DUMMYFUNCTION("IF(A139="""","""",SUM(FILTER(#REF!,YEAR(FinishedData!$A:$A)=YEAR($A139),MONTH(FinishedData!$A:$A)=MONTH($A139),FinishedData!$B:$B=""Game"")))"),"")</f>
        <v/>
      </c>
      <c r="C139" s="7"/>
      <c r="D139" s="7"/>
      <c r="E139" s="7"/>
      <c r="F139" s="7"/>
      <c r="G139" s="7"/>
      <c r="H139" s="7"/>
      <c r="I139" s="7"/>
      <c r="J139" s="7"/>
      <c r="K139" s="7"/>
      <c r="L139" s="7"/>
      <c r="M139" s="7"/>
      <c r="N139" s="7"/>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c r="A140" s="112"/>
      <c r="B140" s="7" t="str">
        <f>IFERROR(__xludf.DUMMYFUNCTION("IF(A140="""","""",SUM(FILTER(#REF!,YEAR(FinishedData!$A:$A)=YEAR($A140),MONTH(FinishedData!$A:$A)=MONTH($A140),FinishedData!$B:$B=""Game"")))"),"")</f>
        <v/>
      </c>
      <c r="C140" s="7"/>
      <c r="D140" s="7"/>
      <c r="E140" s="7"/>
      <c r="F140" s="7"/>
      <c r="G140" s="7"/>
      <c r="H140" s="7"/>
      <c r="I140" s="7"/>
      <c r="J140" s="7"/>
      <c r="K140" s="7"/>
      <c r="L140" s="7"/>
      <c r="M140" s="7"/>
      <c r="N140" s="7"/>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c r="A141" s="112"/>
      <c r="B141" s="7" t="str">
        <f>IFERROR(__xludf.DUMMYFUNCTION("IF(A141="""","""",SUM(FILTER(#REF!,YEAR(FinishedData!$A:$A)=YEAR($A141),MONTH(FinishedData!$A:$A)=MONTH($A141),FinishedData!$B:$B=""Game"")))"),"")</f>
        <v/>
      </c>
      <c r="C141" s="7"/>
      <c r="D141" s="7"/>
      <c r="E141" s="7"/>
      <c r="F141" s="7"/>
      <c r="G141" s="7"/>
      <c r="H141" s="7"/>
      <c r="I141" s="7"/>
      <c r="J141" s="7"/>
      <c r="K141" s="7"/>
      <c r="L141" s="7"/>
      <c r="M141" s="7"/>
      <c r="N141" s="7"/>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c r="A142" s="112"/>
      <c r="B142" s="7" t="str">
        <f>IFERROR(__xludf.DUMMYFUNCTION("IF(A142="""","""",SUM(FILTER(#REF!,YEAR(FinishedData!$A:$A)=YEAR($A142),MONTH(FinishedData!$A:$A)=MONTH($A142),FinishedData!$B:$B=""Game"")))"),"")</f>
        <v/>
      </c>
      <c r="C142" s="7"/>
      <c r="D142" s="7"/>
      <c r="E142" s="7"/>
      <c r="F142" s="7"/>
      <c r="G142" s="7"/>
      <c r="H142" s="7"/>
      <c r="I142" s="7"/>
      <c r="J142" s="7"/>
      <c r="K142" s="7"/>
      <c r="L142" s="7"/>
      <c r="M142" s="7"/>
      <c r="N142" s="7"/>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c r="A143" s="112"/>
      <c r="B143" s="7" t="str">
        <f>IFERROR(__xludf.DUMMYFUNCTION("IF(A143="""","""",SUM(FILTER(#REF!,YEAR(FinishedData!$A:$A)=YEAR($A143),MONTH(FinishedData!$A:$A)=MONTH($A143),FinishedData!$B:$B=""Game"")))"),"")</f>
        <v/>
      </c>
      <c r="C143" s="7"/>
      <c r="D143" s="7"/>
      <c r="E143" s="7"/>
      <c r="F143" s="7"/>
      <c r="G143" s="7"/>
      <c r="H143" s="7"/>
      <c r="I143" s="7"/>
      <c r="J143" s="7"/>
      <c r="K143" s="7"/>
      <c r="L143" s="7"/>
      <c r="M143" s="7"/>
      <c r="N143" s="7"/>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c r="A144" s="112"/>
      <c r="B144" s="7" t="str">
        <f>IFERROR(__xludf.DUMMYFUNCTION("IF(A144="""","""",SUM(FILTER(#REF!,YEAR(FinishedData!$A:$A)=YEAR($A144),MONTH(FinishedData!$A:$A)=MONTH($A144),FinishedData!$B:$B=""Game"")))"),"")</f>
        <v/>
      </c>
      <c r="C144" s="7"/>
      <c r="D144" s="7"/>
      <c r="E144" s="7"/>
      <c r="F144" s="7"/>
      <c r="G144" s="7"/>
      <c r="H144" s="7"/>
      <c r="I144" s="7"/>
      <c r="J144" s="7"/>
      <c r="K144" s="7"/>
      <c r="L144" s="7"/>
      <c r="M144" s="7"/>
      <c r="N144" s="7"/>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c r="A145" s="112"/>
      <c r="B145" s="7" t="str">
        <f>IFERROR(__xludf.DUMMYFUNCTION("IF(A145="""","""",SUM(FILTER(#REF!,YEAR(FinishedData!$A:$A)=YEAR($A145),MONTH(FinishedData!$A:$A)=MONTH($A145),FinishedData!$B:$B=""Game"")))"),"")</f>
        <v/>
      </c>
      <c r="C145" s="7"/>
      <c r="D145" s="7"/>
      <c r="E145" s="7"/>
      <c r="F145" s="7"/>
      <c r="G145" s="7"/>
      <c r="H145" s="7"/>
      <c r="I145" s="7"/>
      <c r="J145" s="7"/>
      <c r="K145" s="7"/>
      <c r="L145" s="7"/>
      <c r="M145" s="7"/>
      <c r="N145" s="7"/>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c r="A146" s="112"/>
      <c r="B146" s="7" t="str">
        <f>IFERROR(__xludf.DUMMYFUNCTION("IF(A146="""","""",SUM(FILTER(#REF!,YEAR(FinishedData!$A:$A)=YEAR($A146),MONTH(FinishedData!$A:$A)=MONTH($A146),FinishedData!$B:$B=""Game"")))"),"")</f>
        <v/>
      </c>
      <c r="C146" s="7"/>
      <c r="D146" s="7"/>
      <c r="E146" s="7"/>
      <c r="F146" s="7"/>
      <c r="G146" s="7"/>
      <c r="H146" s="7"/>
      <c r="I146" s="7"/>
      <c r="J146" s="7"/>
      <c r="K146" s="7"/>
      <c r="L146" s="7"/>
      <c r="M146" s="7"/>
      <c r="N146" s="7"/>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c r="A147" s="112"/>
      <c r="B147" s="7" t="str">
        <f>IFERROR(__xludf.DUMMYFUNCTION("IF(A147="""","""",SUM(FILTER(#REF!,YEAR(FinishedData!$A:$A)=YEAR($A147),MONTH(FinishedData!$A:$A)=MONTH($A147),FinishedData!$B:$B=""Game"")))"),"")</f>
        <v/>
      </c>
      <c r="C147" s="7"/>
      <c r="D147" s="7"/>
      <c r="E147" s="7"/>
      <c r="F147" s="7"/>
      <c r="G147" s="7"/>
      <c r="H147" s="7"/>
      <c r="I147" s="7"/>
      <c r="J147" s="7"/>
      <c r="K147" s="7"/>
      <c r="L147" s="7"/>
      <c r="M147" s="7"/>
      <c r="N147" s="7"/>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c r="A148" s="112"/>
      <c r="B148" s="7" t="str">
        <f>IFERROR(__xludf.DUMMYFUNCTION("IF(A148="""","""",SUM(FILTER(#REF!,YEAR(FinishedData!$A:$A)=YEAR($A148),MONTH(FinishedData!$A:$A)=MONTH($A148),FinishedData!$B:$B=""Game"")))"),"")</f>
        <v/>
      </c>
      <c r="C148" s="7"/>
      <c r="D148" s="7"/>
      <c r="E148" s="7"/>
      <c r="F148" s="7"/>
      <c r="G148" s="7"/>
      <c r="H148" s="7"/>
      <c r="I148" s="7"/>
      <c r="J148" s="7"/>
      <c r="K148" s="7"/>
      <c r="L148" s="7"/>
      <c r="M148" s="7"/>
      <c r="N148" s="7"/>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c r="A149" s="112"/>
      <c r="B149" s="7" t="str">
        <f>IFERROR(__xludf.DUMMYFUNCTION("IF(A149="""","""",SUM(FILTER(#REF!,YEAR(FinishedData!$A:$A)=YEAR($A149),MONTH(FinishedData!$A:$A)=MONTH($A149),FinishedData!$B:$B=""Game"")))"),"")</f>
        <v/>
      </c>
      <c r="C149" s="7"/>
      <c r="D149" s="7"/>
      <c r="E149" s="7"/>
      <c r="F149" s="7"/>
      <c r="G149" s="7"/>
      <c r="H149" s="7"/>
      <c r="I149" s="7"/>
      <c r="J149" s="7"/>
      <c r="K149" s="7"/>
      <c r="L149" s="7"/>
      <c r="M149" s="7"/>
      <c r="N149" s="7"/>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c r="A150" s="112"/>
      <c r="B150" s="7" t="str">
        <f>IFERROR(__xludf.DUMMYFUNCTION("IF(A150="""","""",SUM(FILTER(#REF!,YEAR(FinishedData!$A:$A)=YEAR($A150),MONTH(FinishedData!$A:$A)=MONTH($A150),FinishedData!$B:$B=""Game"")))"),"")</f>
        <v/>
      </c>
      <c r="C150" s="7"/>
      <c r="D150" s="7"/>
      <c r="E150" s="7"/>
      <c r="F150" s="7"/>
      <c r="G150" s="7"/>
      <c r="H150" s="7"/>
      <c r="I150" s="7"/>
      <c r="J150" s="7"/>
      <c r="K150" s="7"/>
      <c r="L150" s="7"/>
      <c r="M150" s="7"/>
      <c r="N150" s="7"/>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c r="A151" s="112"/>
      <c r="B151" s="7" t="str">
        <f>IFERROR(__xludf.DUMMYFUNCTION("IF(A151="""","""",SUM(FILTER(#REF!,YEAR(FinishedData!$A:$A)=YEAR($A151),MONTH(FinishedData!$A:$A)=MONTH($A151),FinishedData!$B:$B=""Game"")))"),"")</f>
        <v/>
      </c>
      <c r="C151" s="7"/>
      <c r="D151" s="7"/>
      <c r="E151" s="7"/>
      <c r="F151" s="7"/>
      <c r="G151" s="7"/>
      <c r="H151" s="7"/>
      <c r="I151" s="7"/>
      <c r="J151" s="7"/>
      <c r="K151" s="7"/>
      <c r="L151" s="7"/>
      <c r="M151" s="7"/>
      <c r="N151" s="7"/>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c r="A152" s="112"/>
      <c r="B152" s="7" t="str">
        <f>IFERROR(__xludf.DUMMYFUNCTION("IF(A152="""","""",SUM(FILTER(#REF!,YEAR(FinishedData!$A:$A)=YEAR($A152),MONTH(FinishedData!$A:$A)=MONTH($A152),FinishedData!$B:$B=""Game"")))"),"")</f>
        <v/>
      </c>
      <c r="C152" s="7"/>
      <c r="D152" s="7"/>
      <c r="E152" s="7"/>
      <c r="F152" s="7"/>
      <c r="G152" s="7"/>
      <c r="H152" s="7"/>
      <c r="I152" s="7"/>
      <c r="J152" s="7"/>
      <c r="K152" s="7"/>
      <c r="L152" s="7"/>
      <c r="M152" s="7"/>
      <c r="N152" s="7"/>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c r="A153" s="112"/>
      <c r="B153" s="7" t="str">
        <f>IFERROR(__xludf.DUMMYFUNCTION("IF(A153="""","""",SUM(FILTER(#REF!,YEAR(FinishedData!$A:$A)=YEAR($A153),MONTH(FinishedData!$A:$A)=MONTH($A153),FinishedData!$B:$B=""Game"")))"),"")</f>
        <v/>
      </c>
      <c r="C153" s="7"/>
      <c r="D153" s="7"/>
      <c r="E153" s="7"/>
      <c r="F153" s="7"/>
      <c r="G153" s="7"/>
      <c r="H153" s="7"/>
      <c r="I153" s="7"/>
      <c r="J153" s="7"/>
      <c r="K153" s="7"/>
      <c r="L153" s="7"/>
      <c r="M153" s="7"/>
      <c r="N153" s="7"/>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c r="A154" s="112"/>
      <c r="B154" s="7" t="str">
        <f>IFERROR(__xludf.DUMMYFUNCTION("IF(A154="""","""",SUM(FILTER(#REF!,YEAR(FinishedData!$A:$A)=YEAR($A154),MONTH(FinishedData!$A:$A)=MONTH($A154),FinishedData!$B:$B=""Game"")))"),"")</f>
        <v/>
      </c>
      <c r="C154" s="7"/>
      <c r="D154" s="7"/>
      <c r="E154" s="7"/>
      <c r="F154" s="7"/>
      <c r="G154" s="7"/>
      <c r="H154" s="7"/>
      <c r="I154" s="7"/>
      <c r="J154" s="7"/>
      <c r="K154" s="7"/>
      <c r="L154" s="7"/>
      <c r="M154" s="7"/>
      <c r="N154" s="7"/>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c r="A155" s="112"/>
      <c r="B155" s="7" t="str">
        <f>IFERROR(__xludf.DUMMYFUNCTION("IF(A155="""","""",SUM(FILTER(#REF!,YEAR(FinishedData!$A:$A)=YEAR($A155),MONTH(FinishedData!$A:$A)=MONTH($A155),FinishedData!$B:$B=""Game"")))"),"")</f>
        <v/>
      </c>
      <c r="C155" s="7"/>
      <c r="D155" s="7"/>
      <c r="E155" s="7"/>
      <c r="F155" s="7"/>
      <c r="G155" s="7"/>
      <c r="H155" s="7"/>
      <c r="I155" s="7"/>
      <c r="J155" s="7"/>
      <c r="K155" s="7"/>
      <c r="L155" s="7"/>
      <c r="M155" s="7"/>
      <c r="N155" s="7"/>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c r="A156" s="112"/>
      <c r="B156" s="7" t="str">
        <f>IFERROR(__xludf.DUMMYFUNCTION("IF(A156="""","""",SUM(FILTER(#REF!,YEAR(FinishedData!$A:$A)=YEAR($A156),MONTH(FinishedData!$A:$A)=MONTH($A156),FinishedData!$B:$B=""Game"")))"),"")</f>
        <v/>
      </c>
      <c r="C156" s="7"/>
      <c r="D156" s="7"/>
      <c r="E156" s="7"/>
      <c r="F156" s="7"/>
      <c r="G156" s="7"/>
      <c r="H156" s="7"/>
      <c r="I156" s="7"/>
      <c r="J156" s="7"/>
      <c r="K156" s="7"/>
      <c r="L156" s="7"/>
      <c r="M156" s="7"/>
      <c r="N156" s="7"/>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c r="A157" s="112"/>
      <c r="B157" s="7" t="str">
        <f>IFERROR(__xludf.DUMMYFUNCTION("IF(A157="""","""",SUM(FILTER(#REF!,YEAR(FinishedData!$A:$A)=YEAR($A157),MONTH(FinishedData!$A:$A)=MONTH($A157),FinishedData!$B:$B=""Game"")))"),"")</f>
        <v/>
      </c>
      <c r="C157" s="7"/>
      <c r="D157" s="7"/>
      <c r="E157" s="7"/>
      <c r="F157" s="7"/>
      <c r="G157" s="7"/>
      <c r="H157" s="7"/>
      <c r="I157" s="7"/>
      <c r="J157" s="7"/>
      <c r="K157" s="7"/>
      <c r="L157" s="7"/>
      <c r="M157" s="7"/>
      <c r="N157" s="7"/>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c r="A158" s="112"/>
      <c r="B158" s="7" t="str">
        <f>IFERROR(__xludf.DUMMYFUNCTION("IF(A158="""","""",SUM(FILTER(#REF!,YEAR(FinishedData!$A:$A)=YEAR($A158),MONTH(FinishedData!$A:$A)=MONTH($A158),FinishedData!$B:$B=""Game"")))"),"")</f>
        <v/>
      </c>
      <c r="C158" s="7"/>
      <c r="D158" s="7"/>
      <c r="E158" s="7"/>
      <c r="F158" s="7"/>
      <c r="G158" s="7"/>
      <c r="H158" s="7"/>
      <c r="I158" s="7"/>
      <c r="J158" s="7"/>
      <c r="K158" s="7"/>
      <c r="L158" s="7"/>
      <c r="M158" s="7"/>
      <c r="N158" s="7"/>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c r="A159" s="112"/>
      <c r="B159" s="7" t="str">
        <f>IFERROR(__xludf.DUMMYFUNCTION("IF(A159="""","""",SUM(FILTER(#REF!,YEAR(FinishedData!$A:$A)=YEAR($A159),MONTH(FinishedData!$A:$A)=MONTH($A159),FinishedData!$B:$B=""Game"")))"),"")</f>
        <v/>
      </c>
      <c r="C159" s="7"/>
      <c r="D159" s="7"/>
      <c r="E159" s="7"/>
      <c r="F159" s="7"/>
      <c r="G159" s="7"/>
      <c r="H159" s="7"/>
      <c r="I159" s="7"/>
      <c r="J159" s="7"/>
      <c r="K159" s="7"/>
      <c r="L159" s="7"/>
      <c r="M159" s="7"/>
      <c r="N159" s="7"/>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c r="A160" s="112"/>
      <c r="B160" s="7" t="str">
        <f>IFERROR(__xludf.DUMMYFUNCTION("IF(A160="""","""",SUM(FILTER(#REF!,YEAR(FinishedData!$A:$A)=YEAR($A160),MONTH(FinishedData!$A:$A)=MONTH($A160),FinishedData!$B:$B=""Game"")))"),"")</f>
        <v/>
      </c>
      <c r="C160" s="7"/>
      <c r="D160" s="7"/>
      <c r="E160" s="7"/>
      <c r="F160" s="7"/>
      <c r="G160" s="7"/>
      <c r="H160" s="7"/>
      <c r="I160" s="7"/>
      <c r="J160" s="7"/>
      <c r="K160" s="7"/>
      <c r="L160" s="7"/>
      <c r="M160" s="7"/>
      <c r="N160" s="7"/>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c r="A161" s="112"/>
      <c r="B161" s="7" t="str">
        <f>IFERROR(__xludf.DUMMYFUNCTION("IF(A161="""","""",SUM(FILTER(#REF!,YEAR(FinishedData!$A:$A)=YEAR($A161),MONTH(FinishedData!$A:$A)=MONTH($A161),FinishedData!$B:$B=""Game"")))"),"")</f>
        <v/>
      </c>
      <c r="C161" s="7"/>
      <c r="D161" s="7"/>
      <c r="E161" s="7"/>
      <c r="F161" s="7"/>
      <c r="G161" s="7"/>
      <c r="H161" s="7"/>
      <c r="I161" s="7"/>
      <c r="J161" s="7"/>
      <c r="K161" s="7"/>
      <c r="L161" s="7"/>
      <c r="M161" s="7"/>
      <c r="N161" s="7"/>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c r="A162" s="112"/>
      <c r="B162" s="7" t="str">
        <f>IFERROR(__xludf.DUMMYFUNCTION("IF(A162="""","""",SUM(FILTER(#REF!,YEAR(FinishedData!$A:$A)=YEAR($A162),MONTH(FinishedData!$A:$A)=MONTH($A162),FinishedData!$B:$B=""Game"")))"),"")</f>
        <v/>
      </c>
      <c r="C162" s="7"/>
      <c r="D162" s="7"/>
      <c r="E162" s="7"/>
      <c r="F162" s="7"/>
      <c r="G162" s="7"/>
      <c r="H162" s="7"/>
      <c r="I162" s="7"/>
      <c r="J162" s="7"/>
      <c r="K162" s="7"/>
      <c r="L162" s="7"/>
      <c r="M162" s="7"/>
      <c r="N162" s="7"/>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c r="A163" s="112"/>
      <c r="B163" s="7" t="str">
        <f>IFERROR(__xludf.DUMMYFUNCTION("IF(A163="""","""",SUM(FILTER(#REF!,YEAR(FinishedData!$A:$A)=YEAR($A163),MONTH(FinishedData!$A:$A)=MONTH($A163),FinishedData!$B:$B=""Game"")))"),"")</f>
        <v/>
      </c>
      <c r="C163" s="7"/>
      <c r="D163" s="7"/>
      <c r="E163" s="7"/>
      <c r="F163" s="7"/>
      <c r="G163" s="7"/>
      <c r="H163" s="7"/>
      <c r="I163" s="7"/>
      <c r="J163" s="7"/>
      <c r="K163" s="7"/>
      <c r="L163" s="7"/>
      <c r="M163" s="7"/>
      <c r="N163" s="7"/>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c r="A164" s="112"/>
      <c r="B164" s="7" t="str">
        <f>IFERROR(__xludf.DUMMYFUNCTION("IF(A164="""","""",SUM(FILTER(#REF!,YEAR(FinishedData!$A:$A)=YEAR($A164),MONTH(FinishedData!$A:$A)=MONTH($A164),FinishedData!$B:$B=""Game"")))"),"")</f>
        <v/>
      </c>
      <c r="C164" s="7"/>
      <c r="D164" s="7"/>
      <c r="E164" s="7"/>
      <c r="F164" s="7"/>
      <c r="G164" s="7"/>
      <c r="H164" s="7"/>
      <c r="I164" s="7"/>
      <c r="J164" s="7"/>
      <c r="K164" s="7"/>
      <c r="L164" s="7"/>
      <c r="M164" s="7"/>
      <c r="N164" s="7"/>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c r="A165" s="112"/>
      <c r="B165" s="7" t="str">
        <f>IFERROR(__xludf.DUMMYFUNCTION("IF(A165="""","""",SUM(FILTER(#REF!,YEAR(FinishedData!$A:$A)=YEAR($A165),MONTH(FinishedData!$A:$A)=MONTH($A165),FinishedData!$B:$B=""Game"")))"),"")</f>
        <v/>
      </c>
      <c r="C165" s="7"/>
      <c r="D165" s="7"/>
      <c r="E165" s="7"/>
      <c r="F165" s="7"/>
      <c r="G165" s="7"/>
      <c r="H165" s="7"/>
      <c r="I165" s="7"/>
      <c r="J165" s="7"/>
      <c r="K165" s="7"/>
      <c r="L165" s="7"/>
      <c r="M165" s="7"/>
      <c r="N165" s="7"/>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c r="A166" s="112"/>
      <c r="B166" s="7" t="str">
        <f>IFERROR(__xludf.DUMMYFUNCTION("IF(A166="""","""",SUM(FILTER(#REF!,YEAR(FinishedData!$A:$A)=YEAR($A166),MONTH(FinishedData!$A:$A)=MONTH($A166),FinishedData!$B:$B=""Game"")))"),"")</f>
        <v/>
      </c>
      <c r="C166" s="7"/>
      <c r="D166" s="7"/>
      <c r="E166" s="7"/>
      <c r="F166" s="7"/>
      <c r="G166" s="7"/>
      <c r="H166" s="7"/>
      <c r="I166" s="7"/>
      <c r="J166" s="7"/>
      <c r="K166" s="7"/>
      <c r="L166" s="7"/>
      <c r="M166" s="7"/>
      <c r="N166" s="7"/>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c r="A167" s="112"/>
      <c r="B167" s="7" t="str">
        <f>IFERROR(__xludf.DUMMYFUNCTION("IF(A167="""","""",SUM(FILTER(#REF!,YEAR(FinishedData!$A:$A)=YEAR($A167),MONTH(FinishedData!$A:$A)=MONTH($A167),FinishedData!$B:$B=""Game"")))"),"")</f>
        <v/>
      </c>
      <c r="C167" s="7"/>
      <c r="D167" s="7"/>
      <c r="E167" s="7"/>
      <c r="F167" s="7"/>
      <c r="G167" s="7"/>
      <c r="H167" s="7"/>
      <c r="I167" s="7"/>
      <c r="J167" s="7"/>
      <c r="K167" s="7"/>
      <c r="L167" s="7"/>
      <c r="M167" s="7"/>
      <c r="N167" s="7"/>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c r="A168" s="112"/>
      <c r="B168" s="7" t="str">
        <f>IFERROR(__xludf.DUMMYFUNCTION("IF(A168="""","""",SUM(FILTER(#REF!,YEAR(FinishedData!$A:$A)=YEAR($A168),MONTH(FinishedData!$A:$A)=MONTH($A168),FinishedData!$B:$B=""Game"")))"),"")</f>
        <v/>
      </c>
      <c r="C168" s="7"/>
      <c r="D168" s="7"/>
      <c r="E168" s="7"/>
      <c r="F168" s="7"/>
      <c r="G168" s="7"/>
      <c r="H168" s="7"/>
      <c r="I168" s="7"/>
      <c r="J168" s="7"/>
      <c r="K168" s="7"/>
      <c r="L168" s="7"/>
      <c r="M168" s="7"/>
      <c r="N168" s="7"/>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c r="A169" s="112"/>
      <c r="B169" s="7" t="str">
        <f>IFERROR(__xludf.DUMMYFUNCTION("IF(A169="""","""",SUM(FILTER(#REF!,YEAR(FinishedData!$A:$A)=YEAR($A169),MONTH(FinishedData!$A:$A)=MONTH($A169),FinishedData!$B:$B=""Game"")))"),"")</f>
        <v/>
      </c>
      <c r="C169" s="7"/>
      <c r="D169" s="7"/>
      <c r="E169" s="7"/>
      <c r="F169" s="7"/>
      <c r="G169" s="7"/>
      <c r="H169" s="7"/>
      <c r="I169" s="7"/>
      <c r="J169" s="7"/>
      <c r="K169" s="7"/>
      <c r="L169" s="7"/>
      <c r="M169" s="7"/>
      <c r="N169" s="7"/>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c r="A170" s="112"/>
      <c r="B170" s="7" t="str">
        <f>IFERROR(__xludf.DUMMYFUNCTION("IF(A170="""","""",SUM(FILTER(#REF!,YEAR(FinishedData!$A:$A)=YEAR($A170),MONTH(FinishedData!$A:$A)=MONTH($A170),FinishedData!$B:$B=""Game"")))"),"")</f>
        <v/>
      </c>
      <c r="C170" s="7"/>
      <c r="D170" s="7"/>
      <c r="E170" s="7"/>
      <c r="F170" s="7"/>
      <c r="G170" s="7"/>
      <c r="H170" s="7"/>
      <c r="I170" s="7"/>
      <c r="J170" s="7"/>
      <c r="K170" s="7"/>
      <c r="L170" s="7"/>
      <c r="M170" s="7"/>
      <c r="N170" s="7"/>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c r="A171" s="112"/>
      <c r="B171" s="7" t="str">
        <f>IFERROR(__xludf.DUMMYFUNCTION("IF(A171="""","""",SUM(FILTER(#REF!,YEAR(FinishedData!$A:$A)=YEAR($A171),MONTH(FinishedData!$A:$A)=MONTH($A171),FinishedData!$B:$B=""Game"")))"),"")</f>
        <v/>
      </c>
      <c r="C171" s="7"/>
      <c r="D171" s="7"/>
      <c r="E171" s="7"/>
      <c r="F171" s="7"/>
      <c r="G171" s="7"/>
      <c r="H171" s="7"/>
      <c r="I171" s="7"/>
      <c r="J171" s="7"/>
      <c r="K171" s="7"/>
      <c r="L171" s="7"/>
      <c r="M171" s="7"/>
      <c r="N171" s="7"/>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c r="A172" s="112"/>
      <c r="B172" s="7" t="str">
        <f>IFERROR(__xludf.DUMMYFUNCTION("IF(A172="""","""",SUM(FILTER(#REF!,YEAR(FinishedData!$A:$A)=YEAR($A172),MONTH(FinishedData!$A:$A)=MONTH($A172),FinishedData!$B:$B=""Game"")))"),"")</f>
        <v/>
      </c>
      <c r="C172" s="7"/>
      <c r="D172" s="7"/>
      <c r="E172" s="7"/>
      <c r="F172" s="7"/>
      <c r="G172" s="7"/>
      <c r="H172" s="7"/>
      <c r="I172" s="7"/>
      <c r="J172" s="7"/>
      <c r="K172" s="7"/>
      <c r="L172" s="7"/>
      <c r="M172" s="7"/>
      <c r="N172" s="7"/>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c r="A173" s="112"/>
      <c r="B173" s="7" t="str">
        <f>IFERROR(__xludf.DUMMYFUNCTION("IF(A173="""","""",SUM(FILTER(#REF!,YEAR(FinishedData!$A:$A)=YEAR($A173),MONTH(FinishedData!$A:$A)=MONTH($A173),FinishedData!$B:$B=""Game"")))"),"")</f>
        <v/>
      </c>
      <c r="C173" s="7"/>
      <c r="D173" s="7"/>
      <c r="E173" s="7"/>
      <c r="F173" s="7"/>
      <c r="G173" s="7"/>
      <c r="H173" s="7"/>
      <c r="I173" s="7"/>
      <c r="J173" s="7"/>
      <c r="K173" s="7"/>
      <c r="L173" s="7"/>
      <c r="M173" s="7"/>
      <c r="N173" s="7"/>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c r="A174" s="112"/>
      <c r="B174" s="7" t="str">
        <f>IFERROR(__xludf.DUMMYFUNCTION("IF(A174="""","""",SUM(FILTER(#REF!,YEAR(FinishedData!$A:$A)=YEAR($A174),MONTH(FinishedData!$A:$A)=MONTH($A174),FinishedData!$B:$B=""Game"")))"),"")</f>
        <v/>
      </c>
      <c r="C174" s="7"/>
      <c r="D174" s="7"/>
      <c r="E174" s="7"/>
      <c r="F174" s="7"/>
      <c r="G174" s="7"/>
      <c r="H174" s="7"/>
      <c r="I174" s="7"/>
      <c r="J174" s="7"/>
      <c r="K174" s="7"/>
      <c r="L174" s="7"/>
      <c r="M174" s="7"/>
      <c r="N174" s="7"/>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c r="A175" s="112"/>
      <c r="B175" s="7" t="str">
        <f>IFERROR(__xludf.DUMMYFUNCTION("IF(A175="""","""",SUM(FILTER(#REF!,YEAR(FinishedData!$A:$A)=YEAR($A175),MONTH(FinishedData!$A:$A)=MONTH($A175),FinishedData!$B:$B=""Game"")))"),"")</f>
        <v/>
      </c>
      <c r="C175" s="7"/>
      <c r="D175" s="7"/>
      <c r="E175" s="7"/>
      <c r="F175" s="7"/>
      <c r="G175" s="7"/>
      <c r="H175" s="7"/>
      <c r="I175" s="7"/>
      <c r="J175" s="7"/>
      <c r="K175" s="7"/>
      <c r="L175" s="7"/>
      <c r="M175" s="7"/>
      <c r="N175" s="7"/>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c r="A176" s="112"/>
      <c r="B176" s="7" t="str">
        <f>IFERROR(__xludf.DUMMYFUNCTION("IF(A176="""","""",SUM(FILTER(#REF!,YEAR(FinishedData!$A:$A)=YEAR($A176),MONTH(FinishedData!$A:$A)=MONTH($A176),FinishedData!$B:$B=""Game"")))"),"")</f>
        <v/>
      </c>
      <c r="C176" s="7"/>
      <c r="D176" s="7"/>
      <c r="E176" s="7"/>
      <c r="F176" s="7"/>
      <c r="G176" s="7"/>
      <c r="H176" s="7"/>
      <c r="I176" s="7"/>
      <c r="J176" s="7"/>
      <c r="K176" s="7"/>
      <c r="L176" s="7"/>
      <c r="M176" s="7"/>
      <c r="N176" s="7"/>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c r="A177" s="112"/>
      <c r="B177" s="7" t="str">
        <f>IFERROR(__xludf.DUMMYFUNCTION("IF(A177="""","""",SUM(FILTER(#REF!,YEAR(FinishedData!$A:$A)=YEAR($A177),MONTH(FinishedData!$A:$A)=MONTH($A177),FinishedData!$B:$B=""Game"")))"),"")</f>
        <v/>
      </c>
      <c r="C177" s="7"/>
      <c r="D177" s="7"/>
      <c r="E177" s="7"/>
      <c r="F177" s="7"/>
      <c r="G177" s="7"/>
      <c r="H177" s="7"/>
      <c r="I177" s="7"/>
      <c r="J177" s="7"/>
      <c r="K177" s="7"/>
      <c r="L177" s="7"/>
      <c r="M177" s="7"/>
      <c r="N177" s="7"/>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c r="A178" s="112"/>
      <c r="B178" s="7" t="str">
        <f>IFERROR(__xludf.DUMMYFUNCTION("IF(A178="""","""",SUM(FILTER(#REF!,YEAR(FinishedData!$A:$A)=YEAR($A178),MONTH(FinishedData!$A:$A)=MONTH($A178),FinishedData!$B:$B=""Game"")))"),"")</f>
        <v/>
      </c>
      <c r="C178" s="7"/>
      <c r="D178" s="7"/>
      <c r="E178" s="7"/>
      <c r="F178" s="7"/>
      <c r="G178" s="7"/>
      <c r="H178" s="7"/>
      <c r="I178" s="7"/>
      <c r="J178" s="7"/>
      <c r="K178" s="7"/>
      <c r="L178" s="7"/>
      <c r="M178" s="7"/>
      <c r="N178" s="7"/>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c r="A179" s="112"/>
      <c r="B179" s="7" t="str">
        <f>IFERROR(__xludf.DUMMYFUNCTION("IF(A179="""","""",SUM(FILTER(#REF!,YEAR(FinishedData!$A:$A)=YEAR($A179),MONTH(FinishedData!$A:$A)=MONTH($A179),FinishedData!$B:$B=""Game"")))"),"")</f>
        <v/>
      </c>
      <c r="C179" s="7"/>
      <c r="D179" s="7"/>
      <c r="E179" s="7"/>
      <c r="F179" s="7"/>
      <c r="G179" s="7"/>
      <c r="H179" s="7"/>
      <c r="I179" s="7"/>
      <c r="J179" s="7"/>
      <c r="K179" s="7"/>
      <c r="L179" s="7"/>
      <c r="M179" s="7"/>
      <c r="N179" s="7"/>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c r="A180" s="112"/>
      <c r="B180" s="7" t="str">
        <f>IFERROR(__xludf.DUMMYFUNCTION("IF(A180="""","""",SUM(FILTER(#REF!,YEAR(FinishedData!$A:$A)=YEAR($A180),MONTH(FinishedData!$A:$A)=MONTH($A180),FinishedData!$B:$B=""Game"")))"),"")</f>
        <v/>
      </c>
      <c r="C180" s="7"/>
      <c r="D180" s="7"/>
      <c r="E180" s="7"/>
      <c r="F180" s="7"/>
      <c r="G180" s="7"/>
      <c r="H180" s="7"/>
      <c r="I180" s="7"/>
      <c r="J180" s="7"/>
      <c r="K180" s="7"/>
      <c r="L180" s="7"/>
      <c r="M180" s="7"/>
      <c r="N180" s="7"/>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c r="A181" s="112"/>
      <c r="B181" s="7" t="str">
        <f>IFERROR(__xludf.DUMMYFUNCTION("IF(A181="""","""",SUM(FILTER(#REF!,YEAR(FinishedData!$A:$A)=YEAR($A181),MONTH(FinishedData!$A:$A)=MONTH($A181),FinishedData!$B:$B=""Game"")))"),"")</f>
        <v/>
      </c>
      <c r="C181" s="7"/>
      <c r="D181" s="7"/>
      <c r="E181" s="7"/>
      <c r="F181" s="7"/>
      <c r="G181" s="7"/>
      <c r="H181" s="7"/>
      <c r="I181" s="7"/>
      <c r="J181" s="7"/>
      <c r="K181" s="7"/>
      <c r="L181" s="7"/>
      <c r="M181" s="7"/>
      <c r="N181" s="7"/>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c r="A182" s="112"/>
      <c r="B182" s="7" t="str">
        <f>IFERROR(__xludf.DUMMYFUNCTION("IF(A182="""","""",SUM(FILTER(#REF!,YEAR(FinishedData!$A:$A)=YEAR($A182),MONTH(FinishedData!$A:$A)=MONTH($A182),FinishedData!$B:$B=""Game"")))"),"")</f>
        <v/>
      </c>
      <c r="C182" s="7"/>
      <c r="D182" s="7"/>
      <c r="E182" s="7"/>
      <c r="F182" s="7"/>
      <c r="G182" s="7"/>
      <c r="H182" s="7"/>
      <c r="I182" s="7"/>
      <c r="J182" s="7"/>
      <c r="K182" s="7"/>
      <c r="L182" s="7"/>
      <c r="M182" s="7"/>
      <c r="N182" s="7"/>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c r="A183" s="112"/>
      <c r="B183" s="7" t="str">
        <f>IFERROR(__xludf.DUMMYFUNCTION("IF(A183="""","""",SUM(FILTER(#REF!,YEAR(FinishedData!$A:$A)=YEAR($A183),MONTH(FinishedData!$A:$A)=MONTH($A183),FinishedData!$B:$B=""Game"")))"),"")</f>
        <v/>
      </c>
      <c r="C183" s="7"/>
      <c r="D183" s="7"/>
      <c r="E183" s="7"/>
      <c r="F183" s="7"/>
      <c r="G183" s="7"/>
      <c r="H183" s="7"/>
      <c r="I183" s="7"/>
      <c r="J183" s="7"/>
      <c r="K183" s="7"/>
      <c r="L183" s="7"/>
      <c r="M183" s="7"/>
      <c r="N183" s="7"/>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c r="A184" s="112"/>
      <c r="B184" s="7" t="str">
        <f>IFERROR(__xludf.DUMMYFUNCTION("IF(A184="""","""",SUM(FILTER(#REF!,YEAR(FinishedData!$A:$A)=YEAR($A184),MONTH(FinishedData!$A:$A)=MONTH($A184),FinishedData!$B:$B=""Game"")))"),"")</f>
        <v/>
      </c>
      <c r="C184" s="7"/>
      <c r="D184" s="7"/>
      <c r="E184" s="7"/>
      <c r="F184" s="7"/>
      <c r="G184" s="7"/>
      <c r="H184" s="7"/>
      <c r="I184" s="7"/>
      <c r="J184" s="7"/>
      <c r="K184" s="7"/>
      <c r="L184" s="7"/>
      <c r="M184" s="7"/>
      <c r="N184" s="7"/>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c r="A185" s="112"/>
      <c r="B185" s="7" t="str">
        <f>IFERROR(__xludf.DUMMYFUNCTION("IF(A185="""","""",SUM(FILTER(#REF!,YEAR(FinishedData!$A:$A)=YEAR($A185),MONTH(FinishedData!$A:$A)=MONTH($A185),FinishedData!$B:$B=""Game"")))"),"")</f>
        <v/>
      </c>
      <c r="C185" s="7"/>
      <c r="D185" s="7"/>
      <c r="E185" s="7"/>
      <c r="F185" s="7"/>
      <c r="G185" s="7"/>
      <c r="H185" s="7"/>
      <c r="I185" s="7"/>
      <c r="J185" s="7"/>
      <c r="K185" s="7"/>
      <c r="L185" s="7"/>
      <c r="M185" s="7"/>
      <c r="N185" s="7"/>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c r="A186" s="112"/>
      <c r="B186" s="7" t="str">
        <f>IFERROR(__xludf.DUMMYFUNCTION("IF(A186="""","""",SUM(FILTER(#REF!,YEAR(FinishedData!$A:$A)=YEAR($A186),MONTH(FinishedData!$A:$A)=MONTH($A186),FinishedData!$B:$B=""Game"")))"),"")</f>
        <v/>
      </c>
      <c r="C186" s="7"/>
      <c r="D186" s="7"/>
      <c r="E186" s="7"/>
      <c r="F186" s="7"/>
      <c r="G186" s="7"/>
      <c r="H186" s="7"/>
      <c r="I186" s="7"/>
      <c r="J186" s="7"/>
      <c r="K186" s="7"/>
      <c r="L186" s="7"/>
      <c r="M186" s="7"/>
      <c r="N186" s="7"/>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c r="A187" s="112"/>
      <c r="B187" s="7" t="str">
        <f>IFERROR(__xludf.DUMMYFUNCTION("IF(A187="""","""",SUM(FILTER(#REF!,YEAR(FinishedData!$A:$A)=YEAR($A187),MONTH(FinishedData!$A:$A)=MONTH($A187),FinishedData!$B:$B=""Game"")))"),"")</f>
        <v/>
      </c>
      <c r="C187" s="7"/>
      <c r="D187" s="7"/>
      <c r="E187" s="7"/>
      <c r="F187" s="7"/>
      <c r="G187" s="7"/>
      <c r="H187" s="7"/>
      <c r="I187" s="7"/>
      <c r="J187" s="7"/>
      <c r="K187" s="7"/>
      <c r="L187" s="7"/>
      <c r="M187" s="7"/>
      <c r="N187" s="7"/>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c r="A188" s="112"/>
      <c r="B188" s="7" t="str">
        <f>IFERROR(__xludf.DUMMYFUNCTION("IF(A188="""","""",SUM(FILTER(#REF!,YEAR(FinishedData!$A:$A)=YEAR($A188),MONTH(FinishedData!$A:$A)=MONTH($A188),FinishedData!$B:$B=""Game"")))"),"")</f>
        <v/>
      </c>
      <c r="C188" s="7"/>
      <c r="D188" s="7"/>
      <c r="E188" s="7"/>
      <c r="F188" s="7"/>
      <c r="G188" s="7"/>
      <c r="H188" s="7"/>
      <c r="I188" s="7"/>
      <c r="J188" s="7"/>
      <c r="K188" s="7"/>
      <c r="L188" s="7"/>
      <c r="M188" s="7"/>
      <c r="N188" s="7"/>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c r="A189" s="112"/>
      <c r="B189" s="7" t="str">
        <f>IFERROR(__xludf.DUMMYFUNCTION("IF(A189="""","""",SUM(FILTER(#REF!,YEAR(FinishedData!$A:$A)=YEAR($A189),MONTH(FinishedData!$A:$A)=MONTH($A189),FinishedData!$B:$B=""Game"")))"),"")</f>
        <v/>
      </c>
      <c r="C189" s="7"/>
      <c r="D189" s="7"/>
      <c r="E189" s="7"/>
      <c r="F189" s="7"/>
      <c r="G189" s="7"/>
      <c r="H189" s="7"/>
      <c r="I189" s="7"/>
      <c r="J189" s="7"/>
      <c r="K189" s="7"/>
      <c r="L189" s="7"/>
      <c r="M189" s="7"/>
      <c r="N189" s="7"/>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c r="A190" s="112"/>
      <c r="B190" s="7" t="str">
        <f>IFERROR(__xludf.DUMMYFUNCTION("IF(A190="""","""",SUM(FILTER(#REF!,YEAR(FinishedData!$A:$A)=YEAR($A190),MONTH(FinishedData!$A:$A)=MONTH($A190),FinishedData!$B:$B=""Game"")))"),"")</f>
        <v/>
      </c>
      <c r="C190" s="7"/>
      <c r="D190" s="7"/>
      <c r="E190" s="7"/>
      <c r="F190" s="7"/>
      <c r="G190" s="7"/>
      <c r="H190" s="7"/>
      <c r="I190" s="7"/>
      <c r="J190" s="7"/>
      <c r="K190" s="7"/>
      <c r="L190" s="7"/>
      <c r="M190" s="7"/>
      <c r="N190" s="7"/>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c r="A191" s="112"/>
      <c r="B191" s="7" t="str">
        <f>IFERROR(__xludf.DUMMYFUNCTION("IF(A191="""","""",SUM(FILTER(#REF!,YEAR(FinishedData!$A:$A)=YEAR($A191),MONTH(FinishedData!$A:$A)=MONTH($A191),FinishedData!$B:$B=""Game"")))"),"")</f>
        <v/>
      </c>
      <c r="C191" s="7"/>
      <c r="D191" s="7"/>
      <c r="E191" s="7"/>
      <c r="F191" s="7"/>
      <c r="G191" s="7"/>
      <c r="H191" s="7"/>
      <c r="I191" s="7"/>
      <c r="J191" s="7"/>
      <c r="K191" s="7"/>
      <c r="L191" s="7"/>
      <c r="M191" s="7"/>
      <c r="N191" s="7"/>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c r="A192" s="112"/>
      <c r="B192" s="7" t="str">
        <f>IFERROR(__xludf.DUMMYFUNCTION("IF(A192="""","""",SUM(FILTER(#REF!,YEAR(FinishedData!$A:$A)=YEAR($A192),MONTH(FinishedData!$A:$A)=MONTH($A192),FinishedData!$B:$B=""Game"")))"),"")</f>
        <v/>
      </c>
      <c r="C192" s="7"/>
      <c r="D192" s="7"/>
      <c r="E192" s="7"/>
      <c r="F192" s="7"/>
      <c r="G192" s="7"/>
      <c r="H192" s="7"/>
      <c r="I192" s="7"/>
      <c r="J192" s="7"/>
      <c r="K192" s="7"/>
      <c r="L192" s="7"/>
      <c r="M192" s="7"/>
      <c r="N192" s="7"/>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c r="A193" s="112"/>
      <c r="B193" s="7" t="str">
        <f>IFERROR(__xludf.DUMMYFUNCTION("IF(A193="""","""",SUM(FILTER(#REF!,YEAR(FinishedData!$A:$A)=YEAR($A193),MONTH(FinishedData!$A:$A)=MONTH($A193),FinishedData!$B:$B=""Game"")))"),"")</f>
        <v/>
      </c>
      <c r="C193" s="7"/>
      <c r="D193" s="7"/>
      <c r="E193" s="7"/>
      <c r="F193" s="7"/>
      <c r="G193" s="7"/>
      <c r="H193" s="7"/>
      <c r="I193" s="7"/>
      <c r="J193" s="7"/>
      <c r="K193" s="7"/>
      <c r="L193" s="7"/>
      <c r="M193" s="7"/>
      <c r="N193" s="7"/>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c r="A194" s="112"/>
      <c r="B194" s="7" t="str">
        <f>IFERROR(__xludf.DUMMYFUNCTION("IF(A194="""","""",SUM(FILTER(#REF!,YEAR(FinishedData!$A:$A)=YEAR($A194),MONTH(FinishedData!$A:$A)=MONTH($A194),FinishedData!$B:$B=""Game"")))"),"")</f>
        <v/>
      </c>
      <c r="C194" s="7"/>
      <c r="D194" s="7"/>
      <c r="E194" s="7"/>
      <c r="F194" s="7"/>
      <c r="G194" s="7"/>
      <c r="H194" s="7"/>
      <c r="I194" s="7"/>
      <c r="J194" s="7"/>
      <c r="K194" s="7"/>
      <c r="L194" s="7"/>
      <c r="M194" s="7"/>
      <c r="N194" s="7"/>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c r="A195" s="112"/>
      <c r="B195" s="7" t="str">
        <f>IFERROR(__xludf.DUMMYFUNCTION("IF(A195="""","""",SUM(FILTER(#REF!,YEAR(FinishedData!$A:$A)=YEAR($A195),MONTH(FinishedData!$A:$A)=MONTH($A195),FinishedData!$B:$B=""Game"")))"),"")</f>
        <v/>
      </c>
      <c r="C195" s="7"/>
      <c r="D195" s="7"/>
      <c r="E195" s="7"/>
      <c r="F195" s="7"/>
      <c r="G195" s="7"/>
      <c r="H195" s="7"/>
      <c r="I195" s="7"/>
      <c r="J195" s="7"/>
      <c r="K195" s="7"/>
      <c r="L195" s="7"/>
      <c r="M195" s="7"/>
      <c r="N195" s="7"/>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c r="A196" s="112"/>
      <c r="B196" s="7" t="str">
        <f>IFERROR(__xludf.DUMMYFUNCTION("IF(A196="""","""",SUM(FILTER(#REF!,YEAR(FinishedData!$A:$A)=YEAR($A196),MONTH(FinishedData!$A:$A)=MONTH($A196),FinishedData!$B:$B=""Game"")))"),"")</f>
        <v/>
      </c>
      <c r="C196" s="7"/>
      <c r="D196" s="7"/>
      <c r="E196" s="7"/>
      <c r="F196" s="7"/>
      <c r="G196" s="7"/>
      <c r="H196" s="7"/>
      <c r="I196" s="7"/>
      <c r="J196" s="7"/>
      <c r="K196" s="7"/>
      <c r="L196" s="7"/>
      <c r="M196" s="7"/>
      <c r="N196" s="7"/>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c r="A197" s="112"/>
      <c r="B197" s="7" t="str">
        <f>IFERROR(__xludf.DUMMYFUNCTION("IF(A197="""","""",SUM(FILTER(#REF!,YEAR(FinishedData!$A:$A)=YEAR($A197),MONTH(FinishedData!$A:$A)=MONTH($A197),FinishedData!$B:$B=""Game"")))"),"")</f>
        <v/>
      </c>
      <c r="C197" s="7"/>
      <c r="D197" s="7"/>
      <c r="E197" s="7"/>
      <c r="F197" s="7"/>
      <c r="G197" s="7"/>
      <c r="H197" s="7"/>
      <c r="I197" s="7"/>
      <c r="J197" s="7"/>
      <c r="K197" s="7"/>
      <c r="L197" s="7"/>
      <c r="M197" s="7"/>
      <c r="N197" s="7"/>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c r="A198" s="112"/>
      <c r="B198" s="7" t="str">
        <f>IFERROR(__xludf.DUMMYFUNCTION("IF(A198="""","""",SUM(FILTER(#REF!,YEAR(FinishedData!$A:$A)=YEAR($A198),MONTH(FinishedData!$A:$A)=MONTH($A198),FinishedData!$B:$B=""Game"")))"),"")</f>
        <v/>
      </c>
      <c r="C198" s="7"/>
      <c r="D198" s="7"/>
      <c r="E198" s="7"/>
      <c r="F198" s="7"/>
      <c r="G198" s="7"/>
      <c r="H198" s="7"/>
      <c r="I198" s="7"/>
      <c r="J198" s="7"/>
      <c r="K198" s="7"/>
      <c r="L198" s="7"/>
      <c r="M198" s="7"/>
      <c r="N198" s="7"/>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c r="A199" s="112"/>
      <c r="B199" s="7" t="str">
        <f>IFERROR(__xludf.DUMMYFUNCTION("IF(A199="""","""",SUM(FILTER(#REF!,YEAR(FinishedData!$A:$A)=YEAR($A199),MONTH(FinishedData!$A:$A)=MONTH($A199),FinishedData!$B:$B=""Game"")))"),"")</f>
        <v/>
      </c>
      <c r="C199" s="7"/>
      <c r="D199" s="7"/>
      <c r="E199" s="7"/>
      <c r="F199" s="7"/>
      <c r="G199" s="7"/>
      <c r="H199" s="7"/>
      <c r="I199" s="7"/>
      <c r="J199" s="7"/>
      <c r="K199" s="7"/>
      <c r="L199" s="7"/>
      <c r="M199" s="7"/>
      <c r="N199" s="7"/>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c r="A200" s="112"/>
      <c r="B200" s="7" t="str">
        <f>IFERROR(__xludf.DUMMYFUNCTION("IF(A200="""","""",SUM(FILTER(#REF!,YEAR(FinishedData!$A:$A)=YEAR($A200),MONTH(FinishedData!$A:$A)=MONTH($A200),FinishedData!$B:$B=""Game"")))"),"")</f>
        <v/>
      </c>
      <c r="C200" s="7"/>
      <c r="D200" s="7"/>
      <c r="E200" s="7"/>
      <c r="F200" s="7"/>
      <c r="G200" s="7"/>
      <c r="H200" s="7"/>
      <c r="I200" s="7"/>
      <c r="J200" s="7"/>
      <c r="K200" s="7"/>
      <c r="L200" s="7"/>
      <c r="M200" s="7"/>
      <c r="N200" s="7"/>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c r="A201" s="112"/>
      <c r="B201" s="7" t="str">
        <f>IFERROR(__xludf.DUMMYFUNCTION("IF(A201="""","""",SUM(FILTER(#REF!,YEAR(FinishedData!$A:$A)=YEAR($A201),MONTH(FinishedData!$A:$A)=MONTH($A201),FinishedData!$B:$B=""Game"")))"),"")</f>
        <v/>
      </c>
      <c r="C201" s="7"/>
      <c r="D201" s="7"/>
      <c r="E201" s="7"/>
      <c r="F201" s="7"/>
      <c r="G201" s="7"/>
      <c r="H201" s="7"/>
      <c r="I201" s="7"/>
      <c r="J201" s="7"/>
      <c r="K201" s="7"/>
      <c r="L201" s="7"/>
      <c r="M201" s="7"/>
      <c r="N201" s="7"/>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c r="A202" s="112"/>
      <c r="B202" s="7" t="str">
        <f>IFERROR(__xludf.DUMMYFUNCTION("IF(A202="""","""",SUM(FILTER(#REF!,YEAR(FinishedData!$A:$A)=YEAR($A202),MONTH(FinishedData!$A:$A)=MONTH($A202),FinishedData!$B:$B=""Game"")))"),"")</f>
        <v/>
      </c>
      <c r="C202" s="7"/>
      <c r="D202" s="7"/>
      <c r="E202" s="7"/>
      <c r="F202" s="7"/>
      <c r="G202" s="7"/>
      <c r="H202" s="7"/>
      <c r="I202" s="7"/>
      <c r="J202" s="7"/>
      <c r="K202" s="7"/>
      <c r="L202" s="7"/>
      <c r="M202" s="7"/>
      <c r="N202" s="7"/>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c r="A203" s="112"/>
      <c r="B203" s="7" t="str">
        <f>IFERROR(__xludf.DUMMYFUNCTION("IF(A203="""","""",SUM(FILTER(#REF!,YEAR(FinishedData!$A:$A)=YEAR($A203),MONTH(FinishedData!$A:$A)=MONTH($A203),FinishedData!$B:$B=""Game"")))"),"")</f>
        <v/>
      </c>
      <c r="C203" s="7"/>
      <c r="D203" s="7"/>
      <c r="E203" s="7"/>
      <c r="F203" s="7"/>
      <c r="G203" s="7"/>
      <c r="H203" s="7"/>
      <c r="I203" s="7"/>
      <c r="J203" s="7"/>
      <c r="K203" s="7"/>
      <c r="L203" s="7"/>
      <c r="M203" s="7"/>
      <c r="N203" s="7"/>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c r="A204" s="112"/>
      <c r="B204" s="7" t="str">
        <f>IFERROR(__xludf.DUMMYFUNCTION("IF(A204="""","""",SUM(FILTER(#REF!,YEAR(FinishedData!$A:$A)=YEAR($A204),MONTH(FinishedData!$A:$A)=MONTH($A204),FinishedData!$B:$B=""Game"")))"),"")</f>
        <v/>
      </c>
      <c r="C204" s="7"/>
      <c r="D204" s="7"/>
      <c r="E204" s="7"/>
      <c r="F204" s="7"/>
      <c r="G204" s="7"/>
      <c r="H204" s="7"/>
      <c r="I204" s="7"/>
      <c r="J204" s="7"/>
      <c r="K204" s="7"/>
      <c r="L204" s="7"/>
      <c r="M204" s="7"/>
      <c r="N204" s="7"/>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c r="A205" s="112"/>
      <c r="B205" s="7" t="str">
        <f>IFERROR(__xludf.DUMMYFUNCTION("IF(A205="""","""",SUM(FILTER(#REF!,YEAR(FinishedData!$A:$A)=YEAR($A205),MONTH(FinishedData!$A:$A)=MONTH($A205),FinishedData!$B:$B=""Game"")))"),"")</f>
        <v/>
      </c>
      <c r="C205" s="7"/>
      <c r="D205" s="7"/>
      <c r="E205" s="7"/>
      <c r="F205" s="7"/>
      <c r="G205" s="7"/>
      <c r="H205" s="7"/>
      <c r="I205" s="7"/>
      <c r="J205" s="7"/>
      <c r="K205" s="7"/>
      <c r="L205" s="7"/>
      <c r="M205" s="7"/>
      <c r="N205" s="7"/>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c r="A206" s="112"/>
      <c r="B206" s="7" t="str">
        <f>IFERROR(__xludf.DUMMYFUNCTION("IF(A206="""","""",SUM(FILTER(#REF!,YEAR(FinishedData!$A:$A)=YEAR($A206),MONTH(FinishedData!$A:$A)=MONTH($A206),FinishedData!$B:$B=""Game"")))"),"")</f>
        <v/>
      </c>
      <c r="C206" s="7"/>
      <c r="D206" s="7"/>
      <c r="E206" s="7"/>
      <c r="F206" s="7"/>
      <c r="G206" s="7"/>
      <c r="H206" s="7"/>
      <c r="I206" s="7"/>
      <c r="J206" s="7"/>
      <c r="K206" s="7"/>
      <c r="L206" s="7"/>
      <c r="M206" s="7"/>
      <c r="N206" s="7"/>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c r="A207" s="112"/>
      <c r="B207" s="7" t="str">
        <f>IFERROR(__xludf.DUMMYFUNCTION("IF(A207="""","""",SUM(FILTER(#REF!,YEAR(FinishedData!$A:$A)=YEAR($A207),MONTH(FinishedData!$A:$A)=MONTH($A207),FinishedData!$B:$B=""Game"")))"),"")</f>
        <v/>
      </c>
      <c r="C207" s="7"/>
      <c r="D207" s="7"/>
      <c r="E207" s="7"/>
      <c r="F207" s="7"/>
      <c r="G207" s="7"/>
      <c r="H207" s="7"/>
      <c r="I207" s="7"/>
      <c r="J207" s="7"/>
      <c r="K207" s="7"/>
      <c r="L207" s="7"/>
      <c r="M207" s="7"/>
      <c r="N207" s="7"/>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c r="A208" s="112"/>
      <c r="B208" s="7" t="str">
        <f>IFERROR(__xludf.DUMMYFUNCTION("IF(A208="""","""",SUM(FILTER(#REF!,YEAR(FinishedData!$A:$A)=YEAR($A208),MONTH(FinishedData!$A:$A)=MONTH($A208),FinishedData!$B:$B=""Game"")))"),"")</f>
        <v/>
      </c>
      <c r="C208" s="7"/>
      <c r="D208" s="7"/>
      <c r="E208" s="7"/>
      <c r="F208" s="7"/>
      <c r="G208" s="7"/>
      <c r="H208" s="7"/>
      <c r="I208" s="7"/>
      <c r="J208" s="7"/>
      <c r="K208" s="7"/>
      <c r="L208" s="7"/>
      <c r="M208" s="7"/>
      <c r="N208" s="7"/>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c r="A209" s="112"/>
      <c r="B209" s="7" t="str">
        <f>IFERROR(__xludf.DUMMYFUNCTION("IF(A209="""","""",SUM(FILTER(#REF!,YEAR(FinishedData!$A:$A)=YEAR($A209),MONTH(FinishedData!$A:$A)=MONTH($A209),FinishedData!$B:$B=""Game"")))"),"")</f>
        <v/>
      </c>
      <c r="C209" s="7"/>
      <c r="D209" s="7"/>
      <c r="E209" s="7"/>
      <c r="F209" s="7"/>
      <c r="G209" s="7"/>
      <c r="H209" s="7"/>
      <c r="I209" s="7"/>
      <c r="J209" s="7"/>
      <c r="K209" s="7"/>
      <c r="L209" s="7"/>
      <c r="M209" s="7"/>
      <c r="N209" s="7"/>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c r="A210" s="112"/>
      <c r="B210" s="7" t="str">
        <f>IFERROR(__xludf.DUMMYFUNCTION("IF(A210="""","""",SUM(FILTER(#REF!,YEAR(FinishedData!$A:$A)=YEAR($A210),MONTH(FinishedData!$A:$A)=MONTH($A210),FinishedData!$B:$B=""Game"")))"),"")</f>
        <v/>
      </c>
      <c r="C210" s="7"/>
      <c r="D210" s="7"/>
      <c r="E210" s="7"/>
      <c r="F210" s="7"/>
      <c r="G210" s="7"/>
      <c r="H210" s="7"/>
      <c r="I210" s="7"/>
      <c r="J210" s="7"/>
      <c r="K210" s="7"/>
      <c r="L210" s="7"/>
      <c r="M210" s="7"/>
      <c r="N210" s="7"/>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c r="A211" s="112"/>
      <c r="B211" s="7" t="str">
        <f>IFERROR(__xludf.DUMMYFUNCTION("IF(A211="""","""",SUM(FILTER(#REF!,YEAR(FinishedData!$A:$A)=YEAR($A211),MONTH(FinishedData!$A:$A)=MONTH($A211),FinishedData!$B:$B=""Game"")))"),"")</f>
        <v/>
      </c>
      <c r="C211" s="7"/>
      <c r="D211" s="7"/>
      <c r="E211" s="7"/>
      <c r="F211" s="7"/>
      <c r="G211" s="7"/>
      <c r="H211" s="7"/>
      <c r="I211" s="7"/>
      <c r="J211" s="7"/>
      <c r="K211" s="7"/>
      <c r="L211" s="7"/>
      <c r="M211" s="7"/>
      <c r="N211" s="7"/>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c r="A212" s="112"/>
      <c r="B212" s="7" t="str">
        <f>IFERROR(__xludf.DUMMYFUNCTION("IF(A212="""","""",SUM(FILTER(#REF!,YEAR(FinishedData!$A:$A)=YEAR($A212),MONTH(FinishedData!$A:$A)=MONTH($A212),FinishedData!$B:$B=""Game"")))"),"")</f>
        <v/>
      </c>
      <c r="C212" s="7"/>
      <c r="D212" s="7"/>
      <c r="E212" s="7"/>
      <c r="F212" s="7"/>
      <c r="G212" s="7"/>
      <c r="H212" s="7"/>
      <c r="I212" s="7"/>
      <c r="J212" s="7"/>
      <c r="K212" s="7"/>
      <c r="L212" s="7"/>
      <c r="M212" s="7"/>
      <c r="N212" s="7"/>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c r="A213" s="112"/>
      <c r="B213" s="7" t="str">
        <f>IFERROR(__xludf.DUMMYFUNCTION("IF(A213="""","""",SUM(FILTER(#REF!,YEAR(FinishedData!$A:$A)=YEAR($A213),MONTH(FinishedData!$A:$A)=MONTH($A213),FinishedData!$B:$B=""Game"")))"),"")</f>
        <v/>
      </c>
      <c r="C213" s="7"/>
      <c r="D213" s="7"/>
      <c r="E213" s="7"/>
      <c r="F213" s="7"/>
      <c r="G213" s="7"/>
      <c r="H213" s="7"/>
      <c r="I213" s="7"/>
      <c r="J213" s="7"/>
      <c r="K213" s="7"/>
      <c r="L213" s="7"/>
      <c r="M213" s="7"/>
      <c r="N213" s="7"/>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c r="A214" s="112"/>
      <c r="B214" s="7" t="str">
        <f>IFERROR(__xludf.DUMMYFUNCTION("IF(A214="""","""",SUM(FILTER(#REF!,YEAR(FinishedData!$A:$A)=YEAR($A214),MONTH(FinishedData!$A:$A)=MONTH($A214),FinishedData!$B:$B=""Game"")))"),"")</f>
        <v/>
      </c>
      <c r="C214" s="7"/>
      <c r="D214" s="7"/>
      <c r="E214" s="7"/>
      <c r="F214" s="7"/>
      <c r="G214" s="7"/>
      <c r="H214" s="7"/>
      <c r="I214" s="7"/>
      <c r="J214" s="7"/>
      <c r="K214" s="7"/>
      <c r="L214" s="7"/>
      <c r="M214" s="7"/>
      <c r="N214" s="7"/>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c r="A215" s="112"/>
      <c r="B215" s="7" t="str">
        <f>IFERROR(__xludf.DUMMYFUNCTION("IF(A215="""","""",SUM(FILTER(#REF!,YEAR(FinishedData!$A:$A)=YEAR($A215),MONTH(FinishedData!$A:$A)=MONTH($A215),FinishedData!$B:$B=""Game"")))"),"")</f>
        <v/>
      </c>
      <c r="C215" s="7"/>
      <c r="D215" s="7"/>
      <c r="E215" s="7"/>
      <c r="F215" s="7"/>
      <c r="G215" s="7"/>
      <c r="H215" s="7"/>
      <c r="I215" s="7"/>
      <c r="J215" s="7"/>
      <c r="K215" s="7"/>
      <c r="L215" s="7"/>
      <c r="M215" s="7"/>
      <c r="N215" s="7"/>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c r="A216" s="112"/>
      <c r="B216" s="7" t="str">
        <f>IFERROR(__xludf.DUMMYFUNCTION("IF(A216="""","""",SUM(FILTER(#REF!,YEAR(FinishedData!$A:$A)=YEAR($A216),MONTH(FinishedData!$A:$A)=MONTH($A216),FinishedData!$B:$B=""Game"")))"),"")</f>
        <v/>
      </c>
      <c r="C216" s="7"/>
      <c r="D216" s="7"/>
      <c r="E216" s="7"/>
      <c r="F216" s="7"/>
      <c r="G216" s="7"/>
      <c r="H216" s="7"/>
      <c r="I216" s="7"/>
      <c r="J216" s="7"/>
      <c r="K216" s="7"/>
      <c r="L216" s="7"/>
      <c r="M216" s="7"/>
      <c r="N216" s="7"/>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c r="A217" s="112"/>
      <c r="B217" s="7" t="str">
        <f>IFERROR(__xludf.DUMMYFUNCTION("IF(A217="""","""",SUM(FILTER(#REF!,YEAR(FinishedData!$A:$A)=YEAR($A217),MONTH(FinishedData!$A:$A)=MONTH($A217),FinishedData!$B:$B=""Game"")))"),"")</f>
        <v/>
      </c>
      <c r="C217" s="7"/>
      <c r="D217" s="7"/>
      <c r="E217" s="7"/>
      <c r="F217" s="7"/>
      <c r="G217" s="7"/>
      <c r="H217" s="7"/>
      <c r="I217" s="7"/>
      <c r="J217" s="7"/>
      <c r="K217" s="7"/>
      <c r="L217" s="7"/>
      <c r="M217" s="7"/>
      <c r="N217" s="7"/>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c r="A218" s="112"/>
      <c r="B218" s="7" t="str">
        <f>IFERROR(__xludf.DUMMYFUNCTION("IF(A218="""","""",SUM(FILTER(#REF!,YEAR(FinishedData!$A:$A)=YEAR($A218),MONTH(FinishedData!$A:$A)=MONTH($A218),FinishedData!$B:$B=""Game"")))"),"")</f>
        <v/>
      </c>
      <c r="C218" s="7"/>
      <c r="D218" s="7"/>
      <c r="E218" s="7"/>
      <c r="F218" s="7"/>
      <c r="G218" s="7"/>
      <c r="H218" s="7"/>
      <c r="I218" s="7"/>
      <c r="J218" s="7"/>
      <c r="K218" s="7"/>
      <c r="L218" s="7"/>
      <c r="M218" s="7"/>
      <c r="N218" s="7"/>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c r="A219" s="112"/>
      <c r="B219" s="7" t="str">
        <f>IFERROR(__xludf.DUMMYFUNCTION("IF(A219="""","""",SUM(FILTER(#REF!,YEAR(FinishedData!$A:$A)=YEAR($A219),MONTH(FinishedData!$A:$A)=MONTH($A219),FinishedData!$B:$B=""Game"")))"),"")</f>
        <v/>
      </c>
      <c r="C219" s="7"/>
      <c r="D219" s="7"/>
      <c r="E219" s="7"/>
      <c r="F219" s="7"/>
      <c r="G219" s="7"/>
      <c r="H219" s="7"/>
      <c r="I219" s="7"/>
      <c r="J219" s="7"/>
      <c r="K219" s="7"/>
      <c r="L219" s="7"/>
      <c r="M219" s="7"/>
      <c r="N219" s="7"/>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c r="A220" s="112"/>
      <c r="B220" s="7" t="str">
        <f>IFERROR(__xludf.DUMMYFUNCTION("IF(A220="""","""",SUM(FILTER(#REF!,YEAR(FinishedData!$A:$A)=YEAR($A220),MONTH(FinishedData!$A:$A)=MONTH($A220),FinishedData!$B:$B=""Game"")))"),"")</f>
        <v/>
      </c>
      <c r="C220" s="7"/>
      <c r="D220" s="7"/>
      <c r="E220" s="7"/>
      <c r="F220" s="7"/>
      <c r="G220" s="7"/>
      <c r="H220" s="7"/>
      <c r="I220" s="7"/>
      <c r="J220" s="7"/>
      <c r="K220" s="7"/>
      <c r="L220" s="7"/>
      <c r="M220" s="7"/>
      <c r="N220" s="7"/>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c r="A221" s="112"/>
      <c r="B221" s="7" t="str">
        <f>IFERROR(__xludf.DUMMYFUNCTION("IF(A221="""","""",SUM(FILTER(#REF!,YEAR(FinishedData!$A:$A)=YEAR($A221),MONTH(FinishedData!$A:$A)=MONTH($A221),FinishedData!$B:$B=""Game"")))"),"")</f>
        <v/>
      </c>
      <c r="C221" s="7"/>
      <c r="D221" s="7"/>
      <c r="E221" s="7"/>
      <c r="F221" s="7"/>
      <c r="G221" s="7"/>
      <c r="H221" s="7"/>
      <c r="I221" s="7"/>
      <c r="J221" s="7"/>
      <c r="K221" s="7"/>
      <c r="L221" s="7"/>
      <c r="M221" s="7"/>
      <c r="N221" s="7"/>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c r="A222" s="112"/>
      <c r="B222" s="7" t="str">
        <f>IFERROR(__xludf.DUMMYFUNCTION("IF(A222="""","""",SUM(FILTER(#REF!,YEAR(FinishedData!$A:$A)=YEAR($A222),MONTH(FinishedData!$A:$A)=MONTH($A222),FinishedData!$B:$B=""Game"")))"),"")</f>
        <v/>
      </c>
      <c r="C222" s="7"/>
      <c r="D222" s="7"/>
      <c r="E222" s="7"/>
      <c r="F222" s="7"/>
      <c r="G222" s="7"/>
      <c r="H222" s="7"/>
      <c r="I222" s="7"/>
      <c r="J222" s="7"/>
      <c r="K222" s="7"/>
      <c r="L222" s="7"/>
      <c r="M222" s="7"/>
      <c r="N222" s="7"/>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c r="A223" s="112"/>
      <c r="B223" s="7" t="str">
        <f>IFERROR(__xludf.DUMMYFUNCTION("IF(A223="""","""",SUM(FILTER(#REF!,YEAR(FinishedData!$A:$A)=YEAR($A223),MONTH(FinishedData!$A:$A)=MONTH($A223),FinishedData!$B:$B=""Game"")))"),"")</f>
        <v/>
      </c>
      <c r="C223" s="7"/>
      <c r="D223" s="7"/>
      <c r="E223" s="7"/>
      <c r="F223" s="7"/>
      <c r="G223" s="7"/>
      <c r="H223" s="7"/>
      <c r="I223" s="7"/>
      <c r="J223" s="7"/>
      <c r="K223" s="7"/>
      <c r="L223" s="7"/>
      <c r="M223" s="7"/>
      <c r="N223" s="7"/>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c r="A224" s="112"/>
      <c r="B224" s="7" t="str">
        <f>IFERROR(__xludf.DUMMYFUNCTION("IF(A224="""","""",SUM(FILTER(#REF!,YEAR(FinishedData!$A:$A)=YEAR($A224),MONTH(FinishedData!$A:$A)=MONTH($A224),FinishedData!$B:$B=""Game"")))"),"")</f>
        <v/>
      </c>
      <c r="C224" s="7"/>
      <c r="D224" s="7"/>
      <c r="E224" s="7"/>
      <c r="F224" s="7"/>
      <c r="G224" s="7"/>
      <c r="H224" s="7"/>
      <c r="I224" s="7"/>
      <c r="J224" s="7"/>
      <c r="K224" s="7"/>
      <c r="L224" s="7"/>
      <c r="M224" s="7"/>
      <c r="N224" s="7"/>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c r="A225" s="112"/>
      <c r="B225" s="7" t="str">
        <f>IFERROR(__xludf.DUMMYFUNCTION("IF(A225="""","""",SUM(FILTER(#REF!,YEAR(FinishedData!$A:$A)=YEAR($A225),MONTH(FinishedData!$A:$A)=MONTH($A225),FinishedData!$B:$B=""Game"")))"),"")</f>
        <v/>
      </c>
      <c r="C225" s="7"/>
      <c r="D225" s="7"/>
      <c r="E225" s="7"/>
      <c r="F225" s="7"/>
      <c r="G225" s="7"/>
      <c r="H225" s="7"/>
      <c r="I225" s="7"/>
      <c r="J225" s="7"/>
      <c r="K225" s="7"/>
      <c r="L225" s="7"/>
      <c r="M225" s="7"/>
      <c r="N225" s="7"/>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c r="A226" s="112"/>
      <c r="B226" s="7" t="str">
        <f>IFERROR(__xludf.DUMMYFUNCTION("IF(A226="""","""",SUM(FILTER(#REF!,YEAR(FinishedData!$A:$A)=YEAR($A226),MONTH(FinishedData!$A:$A)=MONTH($A226),FinishedData!$B:$B=""Game"")))"),"")</f>
        <v/>
      </c>
      <c r="C226" s="7"/>
      <c r="D226" s="7"/>
      <c r="E226" s="7"/>
      <c r="F226" s="7"/>
      <c r="G226" s="7"/>
      <c r="H226" s="7"/>
      <c r="I226" s="7"/>
      <c r="J226" s="7"/>
      <c r="K226" s="7"/>
      <c r="L226" s="7"/>
      <c r="M226" s="7"/>
      <c r="N226" s="7"/>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c r="A227" s="112"/>
      <c r="B227" s="7" t="str">
        <f>IFERROR(__xludf.DUMMYFUNCTION("IF(A227="""","""",SUM(FILTER(#REF!,YEAR(FinishedData!$A:$A)=YEAR($A227),MONTH(FinishedData!$A:$A)=MONTH($A227),FinishedData!$B:$B=""Game"")))"),"")</f>
        <v/>
      </c>
      <c r="C227" s="7"/>
      <c r="D227" s="7"/>
      <c r="E227" s="7"/>
      <c r="F227" s="7"/>
      <c r="G227" s="7"/>
      <c r="H227" s="7"/>
      <c r="I227" s="7"/>
      <c r="J227" s="7"/>
      <c r="K227" s="7"/>
      <c r="L227" s="7"/>
      <c r="M227" s="7"/>
      <c r="N227" s="7"/>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c r="A228" s="112"/>
      <c r="B228" s="7" t="str">
        <f>IFERROR(__xludf.DUMMYFUNCTION("IF(A228="""","""",SUM(FILTER(#REF!,YEAR(FinishedData!$A:$A)=YEAR($A228),MONTH(FinishedData!$A:$A)=MONTH($A228),FinishedData!$B:$B=""Game"")))"),"")</f>
        <v/>
      </c>
      <c r="C228" s="7"/>
      <c r="D228" s="7"/>
      <c r="E228" s="7"/>
      <c r="F228" s="7"/>
      <c r="G228" s="7"/>
      <c r="H228" s="7"/>
      <c r="I228" s="7"/>
      <c r="J228" s="7"/>
      <c r="K228" s="7"/>
      <c r="L228" s="7"/>
      <c r="M228" s="7"/>
      <c r="N228" s="7"/>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c r="A229" s="112"/>
      <c r="B229" s="7" t="str">
        <f>IFERROR(__xludf.DUMMYFUNCTION("IF(A229="""","""",SUM(FILTER(#REF!,YEAR(FinishedData!$A:$A)=YEAR($A229),MONTH(FinishedData!$A:$A)=MONTH($A229),FinishedData!$B:$B=""Game"")))"),"")</f>
        <v/>
      </c>
      <c r="C229" s="7"/>
      <c r="D229" s="7"/>
      <c r="E229" s="7"/>
      <c r="F229" s="7"/>
      <c r="G229" s="7"/>
      <c r="H229" s="7"/>
      <c r="I229" s="7"/>
      <c r="J229" s="7"/>
      <c r="K229" s="7"/>
      <c r="L229" s="7"/>
      <c r="M229" s="7"/>
      <c r="N229" s="7"/>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c r="A230" s="112"/>
      <c r="B230" s="7" t="str">
        <f>IFERROR(__xludf.DUMMYFUNCTION("IF(A230="""","""",SUM(FILTER(#REF!,YEAR(FinishedData!$A:$A)=YEAR($A230),MONTH(FinishedData!$A:$A)=MONTH($A230),FinishedData!$B:$B=""Game"")))"),"")</f>
        <v/>
      </c>
      <c r="C230" s="7"/>
      <c r="D230" s="7"/>
      <c r="E230" s="7"/>
      <c r="F230" s="7"/>
      <c r="G230" s="7"/>
      <c r="H230" s="7"/>
      <c r="I230" s="7"/>
      <c r="J230" s="7"/>
      <c r="K230" s="7"/>
      <c r="L230" s="7"/>
      <c r="M230" s="7"/>
      <c r="N230" s="7"/>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c r="A231" s="112"/>
      <c r="B231" s="7" t="str">
        <f>IFERROR(__xludf.DUMMYFUNCTION("IF(A231="""","""",SUM(FILTER(#REF!,YEAR(FinishedData!$A:$A)=YEAR($A231),MONTH(FinishedData!$A:$A)=MONTH($A231),FinishedData!$B:$B=""Game"")))"),"")</f>
        <v/>
      </c>
      <c r="C231" s="7"/>
      <c r="D231" s="7"/>
      <c r="E231" s="7"/>
      <c r="F231" s="7"/>
      <c r="G231" s="7"/>
      <c r="H231" s="7"/>
      <c r="I231" s="7"/>
      <c r="J231" s="7"/>
      <c r="K231" s="7"/>
      <c r="L231" s="7"/>
      <c r="M231" s="7"/>
      <c r="N231" s="7"/>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c r="A232" s="112"/>
      <c r="B232" s="7" t="str">
        <f>IFERROR(__xludf.DUMMYFUNCTION("IF(A232="""","""",SUM(FILTER(#REF!,YEAR(FinishedData!$A:$A)=YEAR($A232),MONTH(FinishedData!$A:$A)=MONTH($A232),FinishedData!$B:$B=""Game"")))"),"")</f>
        <v/>
      </c>
      <c r="C232" s="7"/>
      <c r="D232" s="7"/>
      <c r="E232" s="7"/>
      <c r="F232" s="7"/>
      <c r="G232" s="7"/>
      <c r="H232" s="7"/>
      <c r="I232" s="7"/>
      <c r="J232" s="7"/>
      <c r="K232" s="7"/>
      <c r="L232" s="7"/>
      <c r="M232" s="7"/>
      <c r="N232" s="7"/>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c r="A233" s="112"/>
      <c r="B233" s="7" t="str">
        <f>IFERROR(__xludf.DUMMYFUNCTION("IF(A233="""","""",SUM(FILTER(#REF!,YEAR(FinishedData!$A:$A)=YEAR($A233),MONTH(FinishedData!$A:$A)=MONTH($A233),FinishedData!$B:$B=""Game"")))"),"")</f>
        <v/>
      </c>
      <c r="C233" s="7"/>
      <c r="D233" s="7"/>
      <c r="E233" s="7"/>
      <c r="F233" s="7"/>
      <c r="G233" s="7"/>
      <c r="H233" s="7"/>
      <c r="I233" s="7"/>
      <c r="J233" s="7"/>
      <c r="K233" s="7"/>
      <c r="L233" s="7"/>
      <c r="M233" s="7"/>
      <c r="N233" s="7"/>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c r="A234" s="112"/>
      <c r="B234" s="7" t="str">
        <f>IFERROR(__xludf.DUMMYFUNCTION("IF(A234="""","""",SUM(FILTER(#REF!,YEAR(FinishedData!$A:$A)=YEAR($A234),MONTH(FinishedData!$A:$A)=MONTH($A234),FinishedData!$B:$B=""Game"")))"),"")</f>
        <v/>
      </c>
      <c r="C234" s="7"/>
      <c r="D234" s="7"/>
      <c r="E234" s="7"/>
      <c r="F234" s="7"/>
      <c r="G234" s="7"/>
      <c r="H234" s="7"/>
      <c r="I234" s="7"/>
      <c r="J234" s="7"/>
      <c r="K234" s="7"/>
      <c r="L234" s="7"/>
      <c r="M234" s="7"/>
      <c r="N234" s="7"/>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c r="A235" s="112"/>
      <c r="B235" s="7" t="str">
        <f>IFERROR(__xludf.DUMMYFUNCTION("IF(A235="""","""",SUM(FILTER(#REF!,YEAR(FinishedData!$A:$A)=YEAR($A235),MONTH(FinishedData!$A:$A)=MONTH($A235),FinishedData!$B:$B=""Game"")))"),"")</f>
        <v/>
      </c>
      <c r="C235" s="7"/>
      <c r="D235" s="7"/>
      <c r="E235" s="7"/>
      <c r="F235" s="7"/>
      <c r="G235" s="7"/>
      <c r="H235" s="7"/>
      <c r="I235" s="7"/>
      <c r="J235" s="7"/>
      <c r="K235" s="7"/>
      <c r="L235" s="7"/>
      <c r="M235" s="7"/>
      <c r="N235" s="7"/>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c r="A236" s="112"/>
      <c r="B236" s="7" t="str">
        <f>IFERROR(__xludf.DUMMYFUNCTION("IF(A236="""","""",SUM(FILTER(#REF!,YEAR(FinishedData!$A:$A)=YEAR($A236),MONTH(FinishedData!$A:$A)=MONTH($A236),FinishedData!$B:$B=""Game"")))"),"")</f>
        <v/>
      </c>
      <c r="C236" s="7"/>
      <c r="D236" s="7"/>
      <c r="E236" s="7"/>
      <c r="F236" s="7"/>
      <c r="G236" s="7"/>
      <c r="H236" s="7"/>
      <c r="I236" s="7"/>
      <c r="J236" s="7"/>
      <c r="K236" s="7"/>
      <c r="L236" s="7"/>
      <c r="M236" s="7"/>
      <c r="N236" s="7"/>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c r="A237" s="112"/>
      <c r="B237" s="7" t="str">
        <f>IFERROR(__xludf.DUMMYFUNCTION("IF(A237="""","""",SUM(FILTER(#REF!,YEAR(FinishedData!$A:$A)=YEAR($A237),MONTH(FinishedData!$A:$A)=MONTH($A237),FinishedData!$B:$B=""Game"")))"),"")</f>
        <v/>
      </c>
      <c r="C237" s="7"/>
      <c r="D237" s="7"/>
      <c r="E237" s="7"/>
      <c r="F237" s="7"/>
      <c r="G237" s="7"/>
      <c r="H237" s="7"/>
      <c r="I237" s="7"/>
      <c r="J237" s="7"/>
      <c r="K237" s="7"/>
      <c r="L237" s="7"/>
      <c r="M237" s="7"/>
      <c r="N237" s="7"/>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c r="A238" s="112"/>
      <c r="B238" s="7" t="str">
        <f>IFERROR(__xludf.DUMMYFUNCTION("IF(A238="""","""",SUM(FILTER(#REF!,YEAR(FinishedData!$A:$A)=YEAR($A238),MONTH(FinishedData!$A:$A)=MONTH($A238),FinishedData!$B:$B=""Game"")))"),"")</f>
        <v/>
      </c>
      <c r="C238" s="7"/>
      <c r="D238" s="7"/>
      <c r="E238" s="7"/>
      <c r="F238" s="7"/>
      <c r="G238" s="7"/>
      <c r="H238" s="7"/>
      <c r="I238" s="7"/>
      <c r="J238" s="7"/>
      <c r="K238" s="7"/>
      <c r="L238" s="7"/>
      <c r="M238" s="7"/>
      <c r="N238" s="7"/>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c r="A239" s="112"/>
      <c r="B239" s="7" t="str">
        <f>IFERROR(__xludf.DUMMYFUNCTION("IF(A239="""","""",SUM(FILTER(#REF!,YEAR(FinishedData!$A:$A)=YEAR($A239),MONTH(FinishedData!$A:$A)=MONTH($A239),FinishedData!$B:$B=""Game"")))"),"")</f>
        <v/>
      </c>
      <c r="C239" s="7"/>
      <c r="D239" s="7"/>
      <c r="E239" s="7"/>
      <c r="F239" s="7"/>
      <c r="G239" s="7"/>
      <c r="H239" s="7"/>
      <c r="I239" s="7"/>
      <c r="J239" s="7"/>
      <c r="K239" s="7"/>
      <c r="L239" s="7"/>
      <c r="M239" s="7"/>
      <c r="N239" s="7"/>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c r="A240" s="112"/>
      <c r="B240" s="7" t="str">
        <f>IFERROR(__xludf.DUMMYFUNCTION("IF(A240="""","""",SUM(FILTER(#REF!,YEAR(FinishedData!$A:$A)=YEAR($A240),MONTH(FinishedData!$A:$A)=MONTH($A240),FinishedData!$B:$B=""Game"")))"),"")</f>
        <v/>
      </c>
      <c r="C240" s="7"/>
      <c r="D240" s="7"/>
      <c r="E240" s="7"/>
      <c r="F240" s="7"/>
      <c r="G240" s="7"/>
      <c r="H240" s="7"/>
      <c r="I240" s="7"/>
      <c r="J240" s="7"/>
      <c r="K240" s="7"/>
      <c r="L240" s="7"/>
      <c r="M240" s="7"/>
      <c r="N240" s="7"/>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c r="A241" s="112"/>
      <c r="B241" s="7" t="str">
        <f>IFERROR(__xludf.DUMMYFUNCTION("IF(A241="""","""",SUM(FILTER(#REF!,YEAR(FinishedData!$A:$A)=YEAR($A241),MONTH(FinishedData!$A:$A)=MONTH($A241),FinishedData!$B:$B=""Game"")))"),"")</f>
        <v/>
      </c>
      <c r="C241" s="7"/>
      <c r="D241" s="7"/>
      <c r="E241" s="7"/>
      <c r="F241" s="7"/>
      <c r="G241" s="7"/>
      <c r="H241" s="7"/>
      <c r="I241" s="7"/>
      <c r="J241" s="7"/>
      <c r="K241" s="7"/>
      <c r="L241" s="7"/>
      <c r="M241" s="7"/>
      <c r="N241" s="7"/>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c r="A242" s="112"/>
      <c r="B242" s="7" t="str">
        <f>IFERROR(__xludf.DUMMYFUNCTION("IF(A242="""","""",SUM(FILTER(#REF!,YEAR(FinishedData!$A:$A)=YEAR($A242),MONTH(FinishedData!$A:$A)=MONTH($A242),FinishedData!$B:$B=""Game"")))"),"")</f>
        <v/>
      </c>
      <c r="C242" s="7"/>
      <c r="D242" s="7"/>
      <c r="E242" s="7"/>
      <c r="F242" s="7"/>
      <c r="G242" s="7"/>
      <c r="H242" s="7"/>
      <c r="I242" s="7"/>
      <c r="J242" s="7"/>
      <c r="K242" s="7"/>
      <c r="L242" s="7"/>
      <c r="M242" s="7"/>
      <c r="N242" s="7"/>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c r="A243" s="112"/>
      <c r="B243" s="7" t="str">
        <f>IFERROR(__xludf.DUMMYFUNCTION("IF(A243="""","""",SUM(FILTER(#REF!,YEAR(FinishedData!$A:$A)=YEAR($A243),MONTH(FinishedData!$A:$A)=MONTH($A243),FinishedData!$B:$B=""Game"")))"),"")</f>
        <v/>
      </c>
      <c r="C243" s="7"/>
      <c r="D243" s="7"/>
      <c r="E243" s="7"/>
      <c r="F243" s="7"/>
      <c r="G243" s="7"/>
      <c r="H243" s="7"/>
      <c r="I243" s="7"/>
      <c r="J243" s="7"/>
      <c r="K243" s="7"/>
      <c r="L243" s="7"/>
      <c r="M243" s="7"/>
      <c r="N243" s="7"/>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c r="A244" s="112"/>
      <c r="B244" s="7" t="str">
        <f>IFERROR(__xludf.DUMMYFUNCTION("IF(A244="""","""",SUM(FILTER(#REF!,YEAR(FinishedData!$A:$A)=YEAR($A244),MONTH(FinishedData!$A:$A)=MONTH($A244),FinishedData!$B:$B=""Game"")))"),"")</f>
        <v/>
      </c>
      <c r="C244" s="7"/>
      <c r="D244" s="7"/>
      <c r="E244" s="7"/>
      <c r="F244" s="7"/>
      <c r="G244" s="7"/>
      <c r="H244" s="7"/>
      <c r="I244" s="7"/>
      <c r="J244" s="7"/>
      <c r="K244" s="7"/>
      <c r="L244" s="7"/>
      <c r="M244" s="7"/>
      <c r="N244" s="7"/>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c r="A245" s="112"/>
      <c r="B245" s="7" t="str">
        <f>IFERROR(__xludf.DUMMYFUNCTION("IF(A245="""","""",SUM(FILTER(#REF!,YEAR(FinishedData!$A:$A)=YEAR($A245),MONTH(FinishedData!$A:$A)=MONTH($A245),FinishedData!$B:$B=""Game"")))"),"")</f>
        <v/>
      </c>
      <c r="C245" s="7"/>
      <c r="D245" s="7"/>
      <c r="E245" s="7"/>
      <c r="F245" s="7"/>
      <c r="G245" s="7"/>
      <c r="H245" s="7"/>
      <c r="I245" s="7"/>
      <c r="J245" s="7"/>
      <c r="K245" s="7"/>
      <c r="L245" s="7"/>
      <c r="M245" s="7"/>
      <c r="N245" s="7"/>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c r="A246" s="112"/>
      <c r="B246" s="7" t="str">
        <f>IFERROR(__xludf.DUMMYFUNCTION("IF(A246="""","""",SUM(FILTER(#REF!,YEAR(FinishedData!$A:$A)=YEAR($A246),MONTH(FinishedData!$A:$A)=MONTH($A246),FinishedData!$B:$B=""Game"")))"),"")</f>
        <v/>
      </c>
      <c r="C246" s="7"/>
      <c r="D246" s="7"/>
      <c r="E246" s="7"/>
      <c r="F246" s="7"/>
      <c r="G246" s="7"/>
      <c r="H246" s="7"/>
      <c r="I246" s="7"/>
      <c r="J246" s="7"/>
      <c r="K246" s="7"/>
      <c r="L246" s="7"/>
      <c r="M246" s="7"/>
      <c r="N246" s="7"/>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c r="A247" s="112"/>
      <c r="B247" s="7" t="str">
        <f>IFERROR(__xludf.DUMMYFUNCTION("IF(A247="""","""",SUM(FILTER(#REF!,YEAR(FinishedData!$A:$A)=YEAR($A247),MONTH(FinishedData!$A:$A)=MONTH($A247),FinishedData!$B:$B=""Game"")))"),"")</f>
        <v/>
      </c>
      <c r="C247" s="7"/>
      <c r="D247" s="7"/>
      <c r="E247" s="7"/>
      <c r="F247" s="7"/>
      <c r="G247" s="7"/>
      <c r="H247" s="7"/>
      <c r="I247" s="7"/>
      <c r="J247" s="7"/>
      <c r="K247" s="7"/>
      <c r="L247" s="7"/>
      <c r="M247" s="7"/>
      <c r="N247" s="7"/>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c r="A248" s="112"/>
      <c r="B248" s="7" t="str">
        <f>IFERROR(__xludf.DUMMYFUNCTION("IF(A248="""","""",SUM(FILTER(#REF!,YEAR(FinishedData!$A:$A)=YEAR($A248),MONTH(FinishedData!$A:$A)=MONTH($A248),FinishedData!$B:$B=""Game"")))"),"")</f>
        <v/>
      </c>
      <c r="C248" s="7"/>
      <c r="D248" s="7"/>
      <c r="E248" s="7"/>
      <c r="F248" s="7"/>
      <c r="G248" s="7"/>
      <c r="H248" s="7"/>
      <c r="I248" s="7"/>
      <c r="J248" s="7"/>
      <c r="K248" s="7"/>
      <c r="L248" s="7"/>
      <c r="M248" s="7"/>
      <c r="N248" s="7"/>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c r="A249" s="112"/>
      <c r="B249" s="7" t="str">
        <f>IFERROR(__xludf.DUMMYFUNCTION("IF(A249="""","""",SUM(FILTER(#REF!,YEAR(FinishedData!$A:$A)=YEAR($A249),MONTH(FinishedData!$A:$A)=MONTH($A249),FinishedData!$B:$B=""Game"")))"),"")</f>
        <v/>
      </c>
      <c r="C249" s="7"/>
      <c r="D249" s="7"/>
      <c r="E249" s="7"/>
      <c r="F249" s="7"/>
      <c r="G249" s="7"/>
      <c r="H249" s="7"/>
      <c r="I249" s="7"/>
      <c r="J249" s="7"/>
      <c r="K249" s="7"/>
      <c r="L249" s="7"/>
      <c r="M249" s="7"/>
      <c r="N249" s="7"/>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c r="A250" s="112"/>
      <c r="B250" s="7" t="str">
        <f>IFERROR(__xludf.DUMMYFUNCTION("IF(A250="""","""",SUM(FILTER(#REF!,YEAR(FinishedData!$A:$A)=YEAR($A250),MONTH(FinishedData!$A:$A)=MONTH($A250),FinishedData!$B:$B=""Game"")))"),"")</f>
        <v/>
      </c>
      <c r="C250" s="7"/>
      <c r="D250" s="7"/>
      <c r="E250" s="7"/>
      <c r="F250" s="7"/>
      <c r="G250" s="7"/>
      <c r="H250" s="7"/>
      <c r="I250" s="7"/>
      <c r="J250" s="7"/>
      <c r="K250" s="7"/>
      <c r="L250" s="7"/>
      <c r="M250" s="7"/>
      <c r="N250" s="7"/>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c r="A251" s="112"/>
      <c r="B251" s="7" t="str">
        <f>IFERROR(__xludf.DUMMYFUNCTION("IF(A251="""","""",SUM(FILTER(#REF!,YEAR(FinishedData!$A:$A)=YEAR($A251),MONTH(FinishedData!$A:$A)=MONTH($A251),FinishedData!$B:$B=""Game"")))"),"")</f>
        <v/>
      </c>
      <c r="C251" s="7"/>
      <c r="D251" s="7"/>
      <c r="E251" s="7"/>
      <c r="F251" s="7"/>
      <c r="G251" s="7"/>
      <c r="H251" s="7"/>
      <c r="I251" s="7"/>
      <c r="J251" s="7"/>
      <c r="K251" s="7"/>
      <c r="L251" s="7"/>
      <c r="M251" s="7"/>
      <c r="N251" s="7"/>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c r="A252" s="112"/>
      <c r="B252" s="7" t="str">
        <f>IFERROR(__xludf.DUMMYFUNCTION("IF(A252="""","""",SUM(FILTER(#REF!,YEAR(FinishedData!$A:$A)=YEAR($A252),MONTH(FinishedData!$A:$A)=MONTH($A252),FinishedData!$B:$B=""Game"")))"),"")</f>
        <v/>
      </c>
      <c r="C252" s="7"/>
      <c r="D252" s="7"/>
      <c r="E252" s="7"/>
      <c r="F252" s="7"/>
      <c r="G252" s="7"/>
      <c r="H252" s="7"/>
      <c r="I252" s="7"/>
      <c r="J252" s="7"/>
      <c r="K252" s="7"/>
      <c r="L252" s="7"/>
      <c r="M252" s="7"/>
      <c r="N252" s="7"/>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c r="A253" s="112"/>
      <c r="B253" s="7" t="str">
        <f>IFERROR(__xludf.DUMMYFUNCTION("IF(A253="""","""",SUM(FILTER(#REF!,YEAR(FinishedData!$A:$A)=YEAR($A253),MONTH(FinishedData!$A:$A)=MONTH($A253),FinishedData!$B:$B=""Game"")))"),"")</f>
        <v/>
      </c>
      <c r="C253" s="7"/>
      <c r="D253" s="7"/>
      <c r="E253" s="7"/>
      <c r="F253" s="7"/>
      <c r="G253" s="7"/>
      <c r="H253" s="7"/>
      <c r="I253" s="7"/>
      <c r="J253" s="7"/>
      <c r="K253" s="7"/>
      <c r="L253" s="7"/>
      <c r="M253" s="7"/>
      <c r="N253" s="7"/>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c r="A254" s="112"/>
      <c r="B254" s="7" t="str">
        <f>IFERROR(__xludf.DUMMYFUNCTION("IF(A254="""","""",SUM(FILTER(#REF!,YEAR(FinishedData!$A:$A)=YEAR($A254),MONTH(FinishedData!$A:$A)=MONTH($A254),FinishedData!$B:$B=""Game"")))"),"")</f>
        <v/>
      </c>
      <c r="C254" s="7"/>
      <c r="D254" s="7"/>
      <c r="E254" s="7"/>
      <c r="F254" s="7"/>
      <c r="G254" s="7"/>
      <c r="H254" s="7"/>
      <c r="I254" s="7"/>
      <c r="J254" s="7"/>
      <c r="K254" s="7"/>
      <c r="L254" s="7"/>
      <c r="M254" s="7"/>
      <c r="N254" s="7"/>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c r="A255" s="112"/>
      <c r="B255" s="7" t="str">
        <f>IFERROR(__xludf.DUMMYFUNCTION("IF(A255="""","""",SUM(FILTER(#REF!,YEAR(FinishedData!$A:$A)=YEAR($A255),MONTH(FinishedData!$A:$A)=MONTH($A255),FinishedData!$B:$B=""Game"")))"),"")</f>
        <v/>
      </c>
      <c r="C255" s="7"/>
      <c r="D255" s="7"/>
      <c r="E255" s="7"/>
      <c r="F255" s="7"/>
      <c r="G255" s="7"/>
      <c r="H255" s="7"/>
      <c r="I255" s="7"/>
      <c r="J255" s="7"/>
      <c r="K255" s="7"/>
      <c r="L255" s="7"/>
      <c r="M255" s="7"/>
      <c r="N255" s="7"/>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c r="A256" s="112"/>
      <c r="B256" s="7" t="str">
        <f>IFERROR(__xludf.DUMMYFUNCTION("IF(A256="""","""",SUM(FILTER(#REF!,YEAR(FinishedData!$A:$A)=YEAR($A256),MONTH(FinishedData!$A:$A)=MONTH($A256),FinishedData!$B:$B=""Game"")))"),"")</f>
        <v/>
      </c>
      <c r="C256" s="7"/>
      <c r="D256" s="7"/>
      <c r="E256" s="7"/>
      <c r="F256" s="7"/>
      <c r="G256" s="7"/>
      <c r="H256" s="7"/>
      <c r="I256" s="7"/>
      <c r="J256" s="7"/>
      <c r="K256" s="7"/>
      <c r="L256" s="7"/>
      <c r="M256" s="7"/>
      <c r="N256" s="7"/>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c r="A257" s="112"/>
      <c r="B257" s="7" t="str">
        <f>IFERROR(__xludf.DUMMYFUNCTION("IF(A257="""","""",SUM(FILTER(#REF!,YEAR(FinishedData!$A:$A)=YEAR($A257),MONTH(FinishedData!$A:$A)=MONTH($A257),FinishedData!$B:$B=""Game"")))"),"")</f>
        <v/>
      </c>
      <c r="C257" s="7"/>
      <c r="D257" s="7"/>
      <c r="E257" s="7"/>
      <c r="F257" s="7"/>
      <c r="G257" s="7"/>
      <c r="H257" s="7"/>
      <c r="I257" s="7"/>
      <c r="J257" s="7"/>
      <c r="K257" s="7"/>
      <c r="L257" s="7"/>
      <c r="M257" s="7"/>
      <c r="N257" s="7"/>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c r="A258" s="112"/>
      <c r="B258" s="7" t="str">
        <f>IFERROR(__xludf.DUMMYFUNCTION("IF(A258="""","""",SUM(FILTER(#REF!,YEAR(FinishedData!$A:$A)=YEAR($A258),MONTH(FinishedData!$A:$A)=MONTH($A258),FinishedData!$B:$B=""Game"")))"),"")</f>
        <v/>
      </c>
      <c r="C258" s="7"/>
      <c r="D258" s="7"/>
      <c r="E258" s="7"/>
      <c r="F258" s="7"/>
      <c r="G258" s="7"/>
      <c r="H258" s="7"/>
      <c r="I258" s="7"/>
      <c r="J258" s="7"/>
      <c r="K258" s="7"/>
      <c r="L258" s="7"/>
      <c r="M258" s="7"/>
      <c r="N258" s="7"/>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c r="A259" s="112"/>
      <c r="B259" s="7" t="str">
        <f>IFERROR(__xludf.DUMMYFUNCTION("IF(A259="""","""",SUM(FILTER(#REF!,YEAR(FinishedData!$A:$A)=YEAR($A259),MONTH(FinishedData!$A:$A)=MONTH($A259),FinishedData!$B:$B=""Game"")))"),"")</f>
        <v/>
      </c>
      <c r="C259" s="7"/>
      <c r="D259" s="7"/>
      <c r="E259" s="7"/>
      <c r="F259" s="7"/>
      <c r="G259" s="7"/>
      <c r="H259" s="7"/>
      <c r="I259" s="7"/>
      <c r="J259" s="7"/>
      <c r="K259" s="7"/>
      <c r="L259" s="7"/>
      <c r="M259" s="7"/>
      <c r="N259" s="7"/>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c r="A260" s="112"/>
      <c r="B260" s="7" t="str">
        <f>IFERROR(__xludf.DUMMYFUNCTION("IF(A260="""","""",SUM(FILTER(#REF!,YEAR(FinishedData!$A:$A)=YEAR($A260),MONTH(FinishedData!$A:$A)=MONTH($A260),FinishedData!$B:$B=""Game"")))"),"")</f>
        <v/>
      </c>
      <c r="C260" s="7"/>
      <c r="D260" s="7"/>
      <c r="E260" s="7"/>
      <c r="F260" s="7"/>
      <c r="G260" s="7"/>
      <c r="H260" s="7"/>
      <c r="I260" s="7"/>
      <c r="J260" s="7"/>
      <c r="K260" s="7"/>
      <c r="L260" s="7"/>
      <c r="M260" s="7"/>
      <c r="N260" s="7"/>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c r="A261" s="112"/>
      <c r="B261" s="7" t="str">
        <f>IFERROR(__xludf.DUMMYFUNCTION("IF(A261="""","""",SUM(FILTER(#REF!,YEAR(FinishedData!$A:$A)=YEAR($A261),MONTH(FinishedData!$A:$A)=MONTH($A261),FinishedData!$B:$B=""Game"")))"),"")</f>
        <v/>
      </c>
      <c r="C261" s="7"/>
      <c r="D261" s="7"/>
      <c r="E261" s="7"/>
      <c r="F261" s="7"/>
      <c r="G261" s="7"/>
      <c r="H261" s="7"/>
      <c r="I261" s="7"/>
      <c r="J261" s="7"/>
      <c r="K261" s="7"/>
      <c r="L261" s="7"/>
      <c r="M261" s="7"/>
      <c r="N261" s="7"/>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c r="A262" s="112"/>
      <c r="B262" s="7" t="str">
        <f>IFERROR(__xludf.DUMMYFUNCTION("IF(A262="""","""",SUM(FILTER(#REF!,YEAR(FinishedData!$A:$A)=YEAR($A262),MONTH(FinishedData!$A:$A)=MONTH($A262),FinishedData!$B:$B=""Game"")))"),"")</f>
        <v/>
      </c>
      <c r="C262" s="7"/>
      <c r="D262" s="7"/>
      <c r="E262" s="7"/>
      <c r="F262" s="7"/>
      <c r="G262" s="7"/>
      <c r="H262" s="7"/>
      <c r="I262" s="7"/>
      <c r="J262" s="7"/>
      <c r="K262" s="7"/>
      <c r="L262" s="7"/>
      <c r="M262" s="7"/>
      <c r="N262" s="7"/>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c r="A263" s="112"/>
      <c r="B263" s="7" t="str">
        <f>IFERROR(__xludf.DUMMYFUNCTION("IF(A263="""","""",SUM(FILTER(#REF!,YEAR(FinishedData!$A:$A)=YEAR($A263),MONTH(FinishedData!$A:$A)=MONTH($A263),FinishedData!$B:$B=""Game"")))"),"")</f>
        <v/>
      </c>
      <c r="C263" s="7"/>
      <c r="D263" s="7"/>
      <c r="E263" s="7"/>
      <c r="F263" s="7"/>
      <c r="G263" s="7"/>
      <c r="H263" s="7"/>
      <c r="I263" s="7"/>
      <c r="J263" s="7"/>
      <c r="K263" s="7"/>
      <c r="L263" s="7"/>
      <c r="M263" s="7"/>
      <c r="N263" s="7"/>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c r="A264" s="112"/>
      <c r="B264" s="7" t="str">
        <f>IFERROR(__xludf.DUMMYFUNCTION("IF(A264="""","""",SUM(FILTER(#REF!,YEAR(FinishedData!$A:$A)=YEAR($A264),MONTH(FinishedData!$A:$A)=MONTH($A264),FinishedData!$B:$B=""Game"")))"),"")</f>
        <v/>
      </c>
      <c r="C264" s="7"/>
      <c r="D264" s="7"/>
      <c r="E264" s="7"/>
      <c r="F264" s="7"/>
      <c r="G264" s="7"/>
      <c r="H264" s="7"/>
      <c r="I264" s="7"/>
      <c r="J264" s="7"/>
      <c r="K264" s="7"/>
      <c r="L264" s="7"/>
      <c r="M264" s="7"/>
      <c r="N264" s="7"/>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c r="A265" s="112"/>
      <c r="B265" s="7" t="str">
        <f>IFERROR(__xludf.DUMMYFUNCTION("IF(A265="""","""",SUM(FILTER(#REF!,YEAR(FinishedData!$A:$A)=YEAR($A265),MONTH(FinishedData!$A:$A)=MONTH($A265),FinishedData!$B:$B=""Game"")))"),"")</f>
        <v/>
      </c>
      <c r="C265" s="7"/>
      <c r="D265" s="7"/>
      <c r="E265" s="7"/>
      <c r="F265" s="7"/>
      <c r="G265" s="7"/>
      <c r="H265" s="7"/>
      <c r="I265" s="7"/>
      <c r="J265" s="7"/>
      <c r="K265" s="7"/>
      <c r="L265" s="7"/>
      <c r="M265" s="7"/>
      <c r="N265" s="7"/>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c r="A266" s="112"/>
      <c r="B266" s="7" t="str">
        <f>IFERROR(__xludf.DUMMYFUNCTION("IF(A266="""","""",SUM(FILTER(#REF!,YEAR(FinishedData!$A:$A)=YEAR($A266),MONTH(FinishedData!$A:$A)=MONTH($A266),FinishedData!$B:$B=""Game"")))"),"")</f>
        <v/>
      </c>
      <c r="C266" s="7"/>
      <c r="D266" s="7"/>
      <c r="E266" s="7"/>
      <c r="F266" s="7"/>
      <c r="G266" s="7"/>
      <c r="H266" s="7"/>
      <c r="I266" s="7"/>
      <c r="J266" s="7"/>
      <c r="K266" s="7"/>
      <c r="L266" s="7"/>
      <c r="M266" s="7"/>
      <c r="N266" s="7"/>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c r="A267" s="112"/>
      <c r="B267" s="7" t="str">
        <f>IFERROR(__xludf.DUMMYFUNCTION("IF(A267="""","""",SUM(FILTER(#REF!,YEAR(FinishedData!$A:$A)=YEAR($A267),MONTH(FinishedData!$A:$A)=MONTH($A267),FinishedData!$B:$B=""Game"")))"),"")</f>
        <v/>
      </c>
      <c r="C267" s="7"/>
      <c r="D267" s="7"/>
      <c r="E267" s="7"/>
      <c r="F267" s="7"/>
      <c r="G267" s="7"/>
      <c r="H267" s="7"/>
      <c r="I267" s="7"/>
      <c r="J267" s="7"/>
      <c r="K267" s="7"/>
      <c r="L267" s="7"/>
      <c r="M267" s="7"/>
      <c r="N267" s="7"/>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c r="A268" s="112"/>
      <c r="B268" s="7" t="str">
        <f>IFERROR(__xludf.DUMMYFUNCTION("IF(A268="""","""",SUM(FILTER(#REF!,YEAR(FinishedData!$A:$A)=YEAR($A268),MONTH(FinishedData!$A:$A)=MONTH($A268),FinishedData!$B:$B=""Game"")))"),"")</f>
        <v/>
      </c>
      <c r="C268" s="7"/>
      <c r="D268" s="7"/>
      <c r="E268" s="7"/>
      <c r="F268" s="7"/>
      <c r="G268" s="7"/>
      <c r="H268" s="7"/>
      <c r="I268" s="7"/>
      <c r="J268" s="7"/>
      <c r="K268" s="7"/>
      <c r="L268" s="7"/>
      <c r="M268" s="7"/>
      <c r="N268" s="7"/>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c r="A269" s="112"/>
      <c r="B269" s="7" t="str">
        <f>IFERROR(__xludf.DUMMYFUNCTION("IF(A269="""","""",SUM(FILTER(#REF!,YEAR(FinishedData!$A:$A)=YEAR($A269),MONTH(FinishedData!$A:$A)=MONTH($A269),FinishedData!$B:$B=""Game"")))"),"")</f>
        <v/>
      </c>
      <c r="C269" s="7"/>
      <c r="D269" s="7"/>
      <c r="E269" s="7"/>
      <c r="F269" s="7"/>
      <c r="G269" s="7"/>
      <c r="H269" s="7"/>
      <c r="I269" s="7"/>
      <c r="J269" s="7"/>
      <c r="K269" s="7"/>
      <c r="L269" s="7"/>
      <c r="M269" s="7"/>
      <c r="N269" s="7"/>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c r="A270" s="112"/>
      <c r="B270" s="7" t="str">
        <f>IFERROR(__xludf.DUMMYFUNCTION("IF(A270="""","""",SUM(FILTER(#REF!,YEAR(FinishedData!$A:$A)=YEAR($A270),MONTH(FinishedData!$A:$A)=MONTH($A270),FinishedData!$B:$B=""Game"")))"),"")</f>
        <v/>
      </c>
      <c r="C270" s="7"/>
      <c r="D270" s="7"/>
      <c r="E270" s="7"/>
      <c r="F270" s="7"/>
      <c r="G270" s="7"/>
      <c r="H270" s="7"/>
      <c r="I270" s="7"/>
      <c r="J270" s="7"/>
      <c r="K270" s="7"/>
      <c r="L270" s="7"/>
      <c r="M270" s="7"/>
      <c r="N270" s="7"/>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c r="A271" s="112"/>
      <c r="B271" s="7" t="str">
        <f>IFERROR(__xludf.DUMMYFUNCTION("IF(A271="""","""",SUM(FILTER(#REF!,YEAR(FinishedData!$A:$A)=YEAR($A271),MONTH(FinishedData!$A:$A)=MONTH($A271),FinishedData!$B:$B=""Game"")))"),"")</f>
        <v/>
      </c>
      <c r="C271" s="7"/>
      <c r="D271" s="7"/>
      <c r="E271" s="7"/>
      <c r="F271" s="7"/>
      <c r="G271" s="7"/>
      <c r="H271" s="7"/>
      <c r="I271" s="7"/>
      <c r="J271" s="7"/>
      <c r="K271" s="7"/>
      <c r="L271" s="7"/>
      <c r="M271" s="7"/>
      <c r="N271" s="7"/>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c r="A272" s="112"/>
      <c r="B272" s="7" t="str">
        <f>IFERROR(__xludf.DUMMYFUNCTION("IF(A272="""","""",SUM(FILTER(#REF!,YEAR(FinishedData!$A:$A)=YEAR($A272),MONTH(FinishedData!$A:$A)=MONTH($A272),FinishedData!$B:$B=""Game"")))"),"")</f>
        <v/>
      </c>
      <c r="C272" s="7"/>
      <c r="D272" s="7"/>
      <c r="E272" s="7"/>
      <c r="F272" s="7"/>
      <c r="G272" s="7"/>
      <c r="H272" s="7"/>
      <c r="I272" s="7"/>
      <c r="J272" s="7"/>
      <c r="K272" s="7"/>
      <c r="L272" s="7"/>
      <c r="M272" s="7"/>
      <c r="N272" s="7"/>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c r="A273" s="112"/>
      <c r="B273" s="7" t="str">
        <f>IFERROR(__xludf.DUMMYFUNCTION("IF(A273="""","""",SUM(FILTER(#REF!,YEAR(FinishedData!$A:$A)=YEAR($A273),MONTH(FinishedData!$A:$A)=MONTH($A273),FinishedData!$B:$B=""Game"")))"),"")</f>
        <v/>
      </c>
      <c r="C273" s="7"/>
      <c r="D273" s="7"/>
      <c r="E273" s="7"/>
      <c r="F273" s="7"/>
      <c r="G273" s="7"/>
      <c r="H273" s="7"/>
      <c r="I273" s="7"/>
      <c r="J273" s="7"/>
      <c r="K273" s="7"/>
      <c r="L273" s="7"/>
      <c r="M273" s="7"/>
      <c r="N273" s="7"/>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c r="A274" s="112"/>
      <c r="B274" s="7" t="str">
        <f>IFERROR(__xludf.DUMMYFUNCTION("IF(A274="""","""",SUM(FILTER(#REF!,YEAR(FinishedData!$A:$A)=YEAR($A274),MONTH(FinishedData!$A:$A)=MONTH($A274),FinishedData!$B:$B=""Game"")))"),"")</f>
        <v/>
      </c>
      <c r="C274" s="7"/>
      <c r="D274" s="7"/>
      <c r="E274" s="7"/>
      <c r="F274" s="7"/>
      <c r="G274" s="7"/>
      <c r="H274" s="7"/>
      <c r="I274" s="7"/>
      <c r="J274" s="7"/>
      <c r="K274" s="7"/>
      <c r="L274" s="7"/>
      <c r="M274" s="7"/>
      <c r="N274" s="7"/>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c r="A275" s="112"/>
      <c r="B275" s="7" t="str">
        <f>IFERROR(__xludf.DUMMYFUNCTION("IF(A275="""","""",SUM(FILTER(#REF!,YEAR(FinishedData!$A:$A)=YEAR($A275),MONTH(FinishedData!$A:$A)=MONTH($A275),FinishedData!$B:$B=""Game"")))"),"")</f>
        <v/>
      </c>
      <c r="C275" s="7"/>
      <c r="D275" s="7"/>
      <c r="E275" s="7"/>
      <c r="F275" s="7"/>
      <c r="G275" s="7"/>
      <c r="H275" s="7"/>
      <c r="I275" s="7"/>
      <c r="J275" s="7"/>
      <c r="K275" s="7"/>
      <c r="L275" s="7"/>
      <c r="M275" s="7"/>
      <c r="N275" s="7"/>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c r="A276" s="112"/>
      <c r="B276" s="7" t="str">
        <f>IFERROR(__xludf.DUMMYFUNCTION("IF(A276="""","""",SUM(FILTER(#REF!,YEAR(FinishedData!$A:$A)=YEAR($A276),MONTH(FinishedData!$A:$A)=MONTH($A276),FinishedData!$B:$B=""Game"")))"),"")</f>
        <v/>
      </c>
      <c r="C276" s="7"/>
      <c r="D276" s="7"/>
      <c r="E276" s="7"/>
      <c r="F276" s="7"/>
      <c r="G276" s="7"/>
      <c r="H276" s="7"/>
      <c r="I276" s="7"/>
      <c r="J276" s="7"/>
      <c r="K276" s="7"/>
      <c r="L276" s="7"/>
      <c r="M276" s="7"/>
      <c r="N276" s="7"/>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c r="A277" s="112"/>
      <c r="B277" s="7" t="str">
        <f>IFERROR(__xludf.DUMMYFUNCTION("IF(A277="""","""",SUM(FILTER(#REF!,YEAR(FinishedData!$A:$A)=YEAR($A277),MONTH(FinishedData!$A:$A)=MONTH($A277),FinishedData!$B:$B=""Game"")))"),"")</f>
        <v/>
      </c>
      <c r="C277" s="7"/>
      <c r="D277" s="7"/>
      <c r="E277" s="7"/>
      <c r="F277" s="7"/>
      <c r="G277" s="7"/>
      <c r="H277" s="7"/>
      <c r="I277" s="7"/>
      <c r="J277" s="7"/>
      <c r="K277" s="7"/>
      <c r="L277" s="7"/>
      <c r="M277" s="7"/>
      <c r="N277" s="7"/>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c r="A278" s="112"/>
      <c r="B278" s="7" t="str">
        <f>IFERROR(__xludf.DUMMYFUNCTION("IF(A278="""","""",SUM(FILTER(#REF!,YEAR(FinishedData!$A:$A)=YEAR($A278),MONTH(FinishedData!$A:$A)=MONTH($A278),FinishedData!$B:$B=""Game"")))"),"")</f>
        <v/>
      </c>
      <c r="C278" s="7"/>
      <c r="D278" s="7"/>
      <c r="E278" s="7"/>
      <c r="F278" s="7"/>
      <c r="G278" s="7"/>
      <c r="H278" s="7"/>
      <c r="I278" s="7"/>
      <c r="J278" s="7"/>
      <c r="K278" s="7"/>
      <c r="L278" s="7"/>
      <c r="M278" s="7"/>
      <c r="N278" s="7"/>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c r="A279" s="112"/>
      <c r="B279" s="7" t="str">
        <f>IFERROR(__xludf.DUMMYFUNCTION("IF(A279="""","""",SUM(FILTER(#REF!,YEAR(FinishedData!$A:$A)=YEAR($A279),MONTH(FinishedData!$A:$A)=MONTH($A279),FinishedData!$B:$B=""Game"")))"),"")</f>
        <v/>
      </c>
      <c r="C279" s="7"/>
      <c r="D279" s="7"/>
      <c r="E279" s="7"/>
      <c r="F279" s="7"/>
      <c r="G279" s="7"/>
      <c r="H279" s="7"/>
      <c r="I279" s="7"/>
      <c r="J279" s="7"/>
      <c r="K279" s="7"/>
      <c r="L279" s="7"/>
      <c r="M279" s="7"/>
      <c r="N279" s="7"/>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c r="A280" s="112"/>
      <c r="B280" s="7" t="str">
        <f>IFERROR(__xludf.DUMMYFUNCTION("IF(A280="""","""",SUM(FILTER(#REF!,YEAR(FinishedData!$A:$A)=YEAR($A280),MONTH(FinishedData!$A:$A)=MONTH($A280),FinishedData!$B:$B=""Game"")))"),"")</f>
        <v/>
      </c>
      <c r="C280" s="7"/>
      <c r="D280" s="7"/>
      <c r="E280" s="7"/>
      <c r="F280" s="7"/>
      <c r="G280" s="7"/>
      <c r="H280" s="7"/>
      <c r="I280" s="7"/>
      <c r="J280" s="7"/>
      <c r="K280" s="7"/>
      <c r="L280" s="7"/>
      <c r="M280" s="7"/>
      <c r="N280" s="7"/>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c r="A281" s="112"/>
      <c r="B281" s="7" t="str">
        <f>IFERROR(__xludf.DUMMYFUNCTION("IF(A281="""","""",SUM(FILTER(#REF!,YEAR(FinishedData!$A:$A)=YEAR($A281),MONTH(FinishedData!$A:$A)=MONTH($A281),FinishedData!$B:$B=""Game"")))"),"")</f>
        <v/>
      </c>
      <c r="C281" s="7"/>
      <c r="D281" s="7"/>
      <c r="E281" s="7"/>
      <c r="F281" s="7"/>
      <c r="G281" s="7"/>
      <c r="H281" s="7"/>
      <c r="I281" s="7"/>
      <c r="J281" s="7"/>
      <c r="K281" s="7"/>
      <c r="L281" s="7"/>
      <c r="M281" s="7"/>
      <c r="N281" s="7"/>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c r="A282" s="112"/>
      <c r="B282" s="7" t="str">
        <f>IFERROR(__xludf.DUMMYFUNCTION("IF(A282="""","""",SUM(FILTER(#REF!,YEAR(FinishedData!$A:$A)=YEAR($A282),MONTH(FinishedData!$A:$A)=MONTH($A282),FinishedData!$B:$B=""Game"")))"),"")</f>
        <v/>
      </c>
      <c r="C282" s="7"/>
      <c r="D282" s="7"/>
      <c r="E282" s="7"/>
      <c r="F282" s="7"/>
      <c r="G282" s="7"/>
      <c r="H282" s="7"/>
      <c r="I282" s="7"/>
      <c r="J282" s="7"/>
      <c r="K282" s="7"/>
      <c r="L282" s="7"/>
      <c r="M282" s="7"/>
      <c r="N282" s="7"/>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c r="A283" s="112"/>
      <c r="B283" s="7" t="str">
        <f>IFERROR(__xludf.DUMMYFUNCTION("IF(A283="""","""",SUM(FILTER(#REF!,YEAR(FinishedData!$A:$A)=YEAR($A283),MONTH(FinishedData!$A:$A)=MONTH($A283),FinishedData!$B:$B=""Game"")))"),"")</f>
        <v/>
      </c>
      <c r="C283" s="7"/>
      <c r="D283" s="7"/>
      <c r="E283" s="7"/>
      <c r="F283" s="7"/>
      <c r="G283" s="7"/>
      <c r="H283" s="7"/>
      <c r="I283" s="7"/>
      <c r="J283" s="7"/>
      <c r="K283" s="7"/>
      <c r="L283" s="7"/>
      <c r="M283" s="7"/>
      <c r="N283" s="7"/>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c r="A284" s="112"/>
      <c r="B284" s="7" t="str">
        <f>IFERROR(__xludf.DUMMYFUNCTION("IF(A284="""","""",SUM(FILTER(#REF!,YEAR(FinishedData!$A:$A)=YEAR($A284),MONTH(FinishedData!$A:$A)=MONTH($A284),FinishedData!$B:$B=""Game"")))"),"")</f>
        <v/>
      </c>
      <c r="C284" s="7"/>
      <c r="D284" s="7"/>
      <c r="E284" s="7"/>
      <c r="F284" s="7"/>
      <c r="G284" s="7"/>
      <c r="H284" s="7"/>
      <c r="I284" s="7"/>
      <c r="J284" s="7"/>
      <c r="K284" s="7"/>
      <c r="L284" s="7"/>
      <c r="M284" s="7"/>
      <c r="N284" s="7"/>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c r="A285" s="112"/>
      <c r="B285" s="7" t="str">
        <f>IFERROR(__xludf.DUMMYFUNCTION("IF(A285="""","""",SUM(FILTER(#REF!,YEAR(FinishedData!$A:$A)=YEAR($A285),MONTH(FinishedData!$A:$A)=MONTH($A285),FinishedData!$B:$B=""Game"")))"),"")</f>
        <v/>
      </c>
      <c r="C285" s="7"/>
      <c r="D285" s="7"/>
      <c r="E285" s="7"/>
      <c r="F285" s="7"/>
      <c r="G285" s="7"/>
      <c r="H285" s="7"/>
      <c r="I285" s="7"/>
      <c r="J285" s="7"/>
      <c r="K285" s="7"/>
      <c r="L285" s="7"/>
      <c r="M285" s="7"/>
      <c r="N285" s="7"/>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c r="A286" s="112"/>
      <c r="B286" s="7" t="str">
        <f>IFERROR(__xludf.DUMMYFUNCTION("IF(A286="""","""",SUM(FILTER(#REF!,YEAR(FinishedData!$A:$A)=YEAR($A286),MONTH(FinishedData!$A:$A)=MONTH($A286),FinishedData!$B:$B=""Game"")))"),"")</f>
        <v/>
      </c>
      <c r="C286" s="7"/>
      <c r="D286" s="7"/>
      <c r="E286" s="7"/>
      <c r="F286" s="7"/>
      <c r="G286" s="7"/>
      <c r="H286" s="7"/>
      <c r="I286" s="7"/>
      <c r="J286" s="7"/>
      <c r="K286" s="7"/>
      <c r="L286" s="7"/>
      <c r="M286" s="7"/>
      <c r="N286" s="7"/>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c r="A287" s="112"/>
      <c r="B287" s="7" t="str">
        <f>IFERROR(__xludf.DUMMYFUNCTION("IF(A287="""","""",SUM(FILTER(#REF!,YEAR(FinishedData!$A:$A)=YEAR($A287),MONTH(FinishedData!$A:$A)=MONTH($A287),FinishedData!$B:$B=""Game"")))"),"")</f>
        <v/>
      </c>
      <c r="C287" s="7"/>
      <c r="D287" s="7"/>
      <c r="E287" s="7"/>
      <c r="F287" s="7"/>
      <c r="G287" s="7"/>
      <c r="H287" s="7"/>
      <c r="I287" s="7"/>
      <c r="J287" s="7"/>
      <c r="K287" s="7"/>
      <c r="L287" s="7"/>
      <c r="M287" s="7"/>
      <c r="N287" s="7"/>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c r="A288" s="112"/>
      <c r="B288" s="7" t="str">
        <f>IFERROR(__xludf.DUMMYFUNCTION("IF(A288="""","""",SUM(FILTER(#REF!,YEAR(FinishedData!$A:$A)=YEAR($A288),MONTH(FinishedData!$A:$A)=MONTH($A288),FinishedData!$B:$B=""Game"")))"),"")</f>
        <v/>
      </c>
      <c r="C288" s="7"/>
      <c r="D288" s="7"/>
      <c r="E288" s="7"/>
      <c r="F288" s="7"/>
      <c r="G288" s="7"/>
      <c r="H288" s="7"/>
      <c r="I288" s="7"/>
      <c r="J288" s="7"/>
      <c r="K288" s="7"/>
      <c r="L288" s="7"/>
      <c r="M288" s="7"/>
      <c r="N288" s="7"/>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c r="A289" s="112"/>
      <c r="B289" s="7" t="str">
        <f>IFERROR(__xludf.DUMMYFUNCTION("IF(A289="""","""",SUM(FILTER(#REF!,YEAR(FinishedData!$A:$A)=YEAR($A289),MONTH(FinishedData!$A:$A)=MONTH($A289),FinishedData!$B:$B=""Game"")))"),"")</f>
        <v/>
      </c>
      <c r="C289" s="7"/>
      <c r="D289" s="7"/>
      <c r="E289" s="7"/>
      <c r="F289" s="7"/>
      <c r="G289" s="7"/>
      <c r="H289" s="7"/>
      <c r="I289" s="7"/>
      <c r="J289" s="7"/>
      <c r="K289" s="7"/>
      <c r="L289" s="7"/>
      <c r="M289" s="7"/>
      <c r="N289" s="7"/>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c r="A290" s="112"/>
      <c r="B290" s="7" t="str">
        <f>IFERROR(__xludf.DUMMYFUNCTION("IF(A290="""","""",SUM(FILTER(#REF!,YEAR(FinishedData!$A:$A)=YEAR($A290),MONTH(FinishedData!$A:$A)=MONTH($A290),FinishedData!$B:$B=""Game"")))"),"")</f>
        <v/>
      </c>
      <c r="C290" s="7"/>
      <c r="D290" s="7"/>
      <c r="E290" s="7"/>
      <c r="F290" s="7"/>
      <c r="G290" s="7"/>
      <c r="H290" s="7"/>
      <c r="I290" s="7"/>
      <c r="J290" s="7"/>
      <c r="K290" s="7"/>
      <c r="L290" s="7"/>
      <c r="M290" s="7"/>
      <c r="N290" s="7"/>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c r="A291" s="112"/>
      <c r="B291" s="7" t="str">
        <f>IFERROR(__xludf.DUMMYFUNCTION("IF(A291="""","""",SUM(FILTER(#REF!,YEAR(FinishedData!$A:$A)=YEAR($A291),MONTH(FinishedData!$A:$A)=MONTH($A291),FinishedData!$B:$B=""Game"")))"),"")</f>
        <v/>
      </c>
      <c r="C291" s="7"/>
      <c r="D291" s="7"/>
      <c r="E291" s="7"/>
      <c r="F291" s="7"/>
      <c r="G291" s="7"/>
      <c r="H291" s="7"/>
      <c r="I291" s="7"/>
      <c r="J291" s="7"/>
      <c r="K291" s="7"/>
      <c r="L291" s="7"/>
      <c r="M291" s="7"/>
      <c r="N291" s="7"/>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c r="A292" s="112"/>
      <c r="B292" s="7" t="str">
        <f>IFERROR(__xludf.DUMMYFUNCTION("IF(A292="""","""",SUM(FILTER(#REF!,YEAR(FinishedData!$A:$A)=YEAR($A292),MONTH(FinishedData!$A:$A)=MONTH($A292),FinishedData!$B:$B=""Game"")))"),"")</f>
        <v/>
      </c>
      <c r="C292" s="7"/>
      <c r="D292" s="7"/>
      <c r="E292" s="7"/>
      <c r="F292" s="7"/>
      <c r="G292" s="7"/>
      <c r="H292" s="7"/>
      <c r="I292" s="7"/>
      <c r="J292" s="7"/>
      <c r="K292" s="7"/>
      <c r="L292" s="7"/>
      <c r="M292" s="7"/>
      <c r="N292" s="7"/>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c r="A293" s="112"/>
      <c r="B293" s="7" t="str">
        <f>IFERROR(__xludf.DUMMYFUNCTION("IF(A293="""","""",SUM(FILTER(#REF!,YEAR(FinishedData!$A:$A)=YEAR($A293),MONTH(FinishedData!$A:$A)=MONTH($A293),FinishedData!$B:$B=""Game"")))"),"")</f>
        <v/>
      </c>
      <c r="C293" s="7"/>
      <c r="D293" s="7"/>
      <c r="E293" s="7"/>
      <c r="F293" s="7"/>
      <c r="G293" s="7"/>
      <c r="H293" s="7"/>
      <c r="I293" s="7"/>
      <c r="J293" s="7"/>
      <c r="K293" s="7"/>
      <c r="L293" s="7"/>
      <c r="M293" s="7"/>
      <c r="N293" s="7"/>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c r="A294" s="112"/>
      <c r="B294" s="7" t="str">
        <f>IFERROR(__xludf.DUMMYFUNCTION("IF(A294="""","""",SUM(FILTER(#REF!,YEAR(FinishedData!$A:$A)=YEAR($A294),MONTH(FinishedData!$A:$A)=MONTH($A294),FinishedData!$B:$B=""Game"")))"),"")</f>
        <v/>
      </c>
      <c r="C294" s="7"/>
      <c r="D294" s="7"/>
      <c r="E294" s="7"/>
      <c r="F294" s="7"/>
      <c r="G294" s="7"/>
      <c r="H294" s="7"/>
      <c r="I294" s="7"/>
      <c r="J294" s="7"/>
      <c r="K294" s="7"/>
      <c r="L294" s="7"/>
      <c r="M294" s="7"/>
      <c r="N294" s="7"/>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c r="A295" s="112"/>
      <c r="B295" s="7" t="str">
        <f>IFERROR(__xludf.DUMMYFUNCTION("IF(A295="""","""",SUM(FILTER(#REF!,YEAR(FinishedData!$A:$A)=YEAR($A295),MONTH(FinishedData!$A:$A)=MONTH($A295),FinishedData!$B:$B=""Game"")))"),"")</f>
        <v/>
      </c>
      <c r="C295" s="7"/>
      <c r="D295" s="7"/>
      <c r="E295" s="7"/>
      <c r="F295" s="7"/>
      <c r="G295" s="7"/>
      <c r="H295" s="7"/>
      <c r="I295" s="7"/>
      <c r="J295" s="7"/>
      <c r="K295" s="7"/>
      <c r="L295" s="7"/>
      <c r="M295" s="7"/>
      <c r="N295" s="7"/>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c r="A296" s="112"/>
      <c r="B296" s="7" t="str">
        <f>IFERROR(__xludf.DUMMYFUNCTION("IF(A296="""","""",SUM(FILTER(#REF!,YEAR(FinishedData!$A:$A)=YEAR($A296),MONTH(FinishedData!$A:$A)=MONTH($A296),FinishedData!$B:$B=""Game"")))"),"")</f>
        <v/>
      </c>
      <c r="C296" s="7"/>
      <c r="D296" s="7"/>
      <c r="E296" s="7"/>
      <c r="F296" s="7"/>
      <c r="G296" s="7"/>
      <c r="H296" s="7"/>
      <c r="I296" s="7"/>
      <c r="J296" s="7"/>
      <c r="K296" s="7"/>
      <c r="L296" s="7"/>
      <c r="M296" s="7"/>
      <c r="N296" s="7"/>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c r="A297" s="112"/>
      <c r="B297" s="7" t="str">
        <f>IFERROR(__xludf.DUMMYFUNCTION("IF(A297="""","""",SUM(FILTER(#REF!,YEAR(FinishedData!$A:$A)=YEAR($A297),MONTH(FinishedData!$A:$A)=MONTH($A297),FinishedData!$B:$B=""Game"")))"),"")</f>
        <v/>
      </c>
      <c r="C297" s="7"/>
      <c r="D297" s="7"/>
      <c r="E297" s="7"/>
      <c r="F297" s="7"/>
      <c r="G297" s="7"/>
      <c r="H297" s="7"/>
      <c r="I297" s="7"/>
      <c r="J297" s="7"/>
      <c r="K297" s="7"/>
      <c r="L297" s="7"/>
      <c r="M297" s="7"/>
      <c r="N297" s="7"/>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c r="A298" s="112"/>
      <c r="B298" s="7" t="str">
        <f>IFERROR(__xludf.DUMMYFUNCTION("IF(A298="""","""",SUM(FILTER(#REF!,YEAR(FinishedData!$A:$A)=YEAR($A298),MONTH(FinishedData!$A:$A)=MONTH($A298),FinishedData!$B:$B=""Game"")))"),"")</f>
        <v/>
      </c>
      <c r="C298" s="7"/>
      <c r="D298" s="7"/>
      <c r="E298" s="7"/>
      <c r="F298" s="7"/>
      <c r="G298" s="7"/>
      <c r="H298" s="7"/>
      <c r="I298" s="7"/>
      <c r="J298" s="7"/>
      <c r="K298" s="7"/>
      <c r="L298" s="7"/>
      <c r="M298" s="7"/>
      <c r="N298" s="7"/>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c r="A299" s="112"/>
      <c r="B299" s="7" t="str">
        <f>IFERROR(__xludf.DUMMYFUNCTION("IF(A299="""","""",SUM(FILTER(#REF!,YEAR(FinishedData!$A:$A)=YEAR($A299),MONTH(FinishedData!$A:$A)=MONTH($A299),FinishedData!$B:$B=""Game"")))"),"")</f>
        <v/>
      </c>
      <c r="C299" s="7"/>
      <c r="D299" s="7"/>
      <c r="E299" s="7"/>
      <c r="F299" s="7"/>
      <c r="G299" s="7"/>
      <c r="H299" s="7"/>
      <c r="I299" s="7"/>
      <c r="J299" s="7"/>
      <c r="K299" s="7"/>
      <c r="L299" s="7"/>
      <c r="M299" s="7"/>
      <c r="N299" s="7"/>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c r="A300" s="112"/>
      <c r="B300" s="7" t="str">
        <f>IFERROR(__xludf.DUMMYFUNCTION("IF(A300="""","""",SUM(FILTER(#REF!,YEAR(FinishedData!$A:$A)=YEAR($A300),MONTH(FinishedData!$A:$A)=MONTH($A300),FinishedData!$B:$B=""Game"")))"),"")</f>
        <v/>
      </c>
      <c r="C300" s="7"/>
      <c r="D300" s="7"/>
      <c r="E300" s="7"/>
      <c r="F300" s="7"/>
      <c r="G300" s="7"/>
      <c r="H300" s="7"/>
      <c r="I300" s="7"/>
      <c r="J300" s="7"/>
      <c r="K300" s="7"/>
      <c r="L300" s="7"/>
      <c r="M300" s="7"/>
      <c r="N300" s="7"/>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c r="A301" s="112"/>
      <c r="B301" s="7" t="str">
        <f>IFERROR(__xludf.DUMMYFUNCTION("IF(A301="""","""",SUM(FILTER(#REF!,YEAR(FinishedData!$A:$A)=YEAR($A301),MONTH(FinishedData!$A:$A)=MONTH($A301),FinishedData!$B:$B=""Game"")))"),"")</f>
        <v/>
      </c>
      <c r="C301" s="7"/>
      <c r="D301" s="7"/>
      <c r="E301" s="7"/>
      <c r="F301" s="7"/>
      <c r="G301" s="7"/>
      <c r="H301" s="7"/>
      <c r="I301" s="7"/>
      <c r="J301" s="7"/>
      <c r="K301" s="7"/>
      <c r="L301" s="7"/>
      <c r="M301" s="7"/>
      <c r="N301" s="7"/>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c r="A302" s="112"/>
      <c r="B302" s="7" t="str">
        <f>IFERROR(__xludf.DUMMYFUNCTION("IF(A302="""","""",SUM(FILTER(#REF!,YEAR(FinishedData!$A:$A)=YEAR($A302),MONTH(FinishedData!$A:$A)=MONTH($A302),FinishedData!$B:$B=""Game"")))"),"")</f>
        <v/>
      </c>
      <c r="C302" s="7"/>
      <c r="D302" s="7"/>
      <c r="E302" s="7"/>
      <c r="F302" s="7"/>
      <c r="G302" s="7"/>
      <c r="H302" s="7"/>
      <c r="I302" s="7"/>
      <c r="J302" s="7"/>
      <c r="K302" s="7"/>
      <c r="L302" s="7"/>
      <c r="M302" s="7"/>
      <c r="N302" s="7"/>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c r="A303" s="112"/>
      <c r="B303" s="7" t="str">
        <f>IFERROR(__xludf.DUMMYFUNCTION("IF(A303="""","""",SUM(FILTER(#REF!,YEAR(FinishedData!$A:$A)=YEAR($A303),MONTH(FinishedData!$A:$A)=MONTH($A303),FinishedData!$B:$B=""Game"")))"),"")</f>
        <v/>
      </c>
      <c r="C303" s="7"/>
      <c r="D303" s="7"/>
      <c r="E303" s="7"/>
      <c r="F303" s="7"/>
      <c r="G303" s="7"/>
      <c r="H303" s="7"/>
      <c r="I303" s="7"/>
      <c r="J303" s="7"/>
      <c r="K303" s="7"/>
      <c r="L303" s="7"/>
      <c r="M303" s="7"/>
      <c r="N303" s="7"/>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c r="A304" s="112"/>
      <c r="B304" s="7" t="str">
        <f>IFERROR(__xludf.DUMMYFUNCTION("IF(A304="""","""",SUM(FILTER(#REF!,YEAR(FinishedData!$A:$A)=YEAR($A304),MONTH(FinishedData!$A:$A)=MONTH($A304),FinishedData!$B:$B=""Game"")))"),"")</f>
        <v/>
      </c>
      <c r="C304" s="7"/>
      <c r="D304" s="7"/>
      <c r="E304" s="7"/>
      <c r="F304" s="7"/>
      <c r="G304" s="7"/>
      <c r="H304" s="7"/>
      <c r="I304" s="7"/>
      <c r="J304" s="7"/>
      <c r="K304" s="7"/>
      <c r="L304" s="7"/>
      <c r="M304" s="7"/>
      <c r="N304" s="7"/>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c r="A305" s="112"/>
      <c r="B305" s="7" t="str">
        <f>IFERROR(__xludf.DUMMYFUNCTION("IF(A305="""","""",SUM(FILTER(#REF!,YEAR(FinishedData!$A:$A)=YEAR($A305),MONTH(FinishedData!$A:$A)=MONTH($A305),FinishedData!$B:$B=""Game"")))"),"")</f>
        <v/>
      </c>
      <c r="C305" s="7"/>
      <c r="D305" s="7"/>
      <c r="E305" s="7"/>
      <c r="F305" s="7"/>
      <c r="G305" s="7"/>
      <c r="H305" s="7"/>
      <c r="I305" s="7"/>
      <c r="J305" s="7"/>
      <c r="K305" s="7"/>
      <c r="L305" s="7"/>
      <c r="M305" s="7"/>
      <c r="N305" s="7"/>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c r="A306" s="112"/>
      <c r="B306" s="7" t="str">
        <f>IFERROR(__xludf.DUMMYFUNCTION("IF(A306="""","""",SUM(FILTER(#REF!,YEAR(FinishedData!$A:$A)=YEAR($A306),MONTH(FinishedData!$A:$A)=MONTH($A306),FinishedData!$B:$B=""Game"")))"),"")</f>
        <v/>
      </c>
      <c r="C306" s="7"/>
      <c r="D306" s="7"/>
      <c r="E306" s="7"/>
      <c r="F306" s="7"/>
      <c r="G306" s="7"/>
      <c r="H306" s="7"/>
      <c r="I306" s="7"/>
      <c r="J306" s="7"/>
      <c r="K306" s="7"/>
      <c r="L306" s="7"/>
      <c r="M306" s="7"/>
      <c r="N306" s="7"/>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c r="A307" s="112"/>
      <c r="B307" s="7" t="str">
        <f>IFERROR(__xludf.DUMMYFUNCTION("IF(A307="""","""",SUM(FILTER(#REF!,YEAR(FinishedData!$A:$A)=YEAR($A307),MONTH(FinishedData!$A:$A)=MONTH($A307),FinishedData!$B:$B=""Game"")))"),"")</f>
        <v/>
      </c>
      <c r="C307" s="7"/>
      <c r="D307" s="7"/>
      <c r="E307" s="7"/>
      <c r="F307" s="7"/>
      <c r="G307" s="7"/>
      <c r="H307" s="7"/>
      <c r="I307" s="7"/>
      <c r="J307" s="7"/>
      <c r="K307" s="7"/>
      <c r="L307" s="7"/>
      <c r="M307" s="7"/>
      <c r="N307" s="7"/>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c r="A308" s="112"/>
      <c r="B308" s="7" t="str">
        <f>IFERROR(__xludf.DUMMYFUNCTION("IF(A308="""","""",SUM(FILTER(#REF!,YEAR(FinishedData!$A:$A)=YEAR($A308),MONTH(FinishedData!$A:$A)=MONTH($A308),FinishedData!$B:$B=""Game"")))"),"")</f>
        <v/>
      </c>
      <c r="C308" s="7"/>
      <c r="D308" s="7"/>
      <c r="E308" s="7"/>
      <c r="F308" s="7"/>
      <c r="G308" s="7"/>
      <c r="H308" s="7"/>
      <c r="I308" s="7"/>
      <c r="J308" s="7"/>
      <c r="K308" s="7"/>
      <c r="L308" s="7"/>
      <c r="M308" s="7"/>
      <c r="N308" s="7"/>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c r="A309" s="112"/>
      <c r="B309" s="7" t="str">
        <f>IFERROR(__xludf.DUMMYFUNCTION("IF(A309="""","""",SUM(FILTER(#REF!,YEAR(FinishedData!$A:$A)=YEAR($A309),MONTH(FinishedData!$A:$A)=MONTH($A309),FinishedData!$B:$B=""Game"")))"),"")</f>
        <v/>
      </c>
      <c r="C309" s="7"/>
      <c r="D309" s="7"/>
      <c r="E309" s="7"/>
      <c r="F309" s="7"/>
      <c r="G309" s="7"/>
      <c r="H309" s="7"/>
      <c r="I309" s="7"/>
      <c r="J309" s="7"/>
      <c r="K309" s="7"/>
      <c r="L309" s="7"/>
      <c r="M309" s="7"/>
      <c r="N309" s="7"/>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c r="A310" s="112"/>
      <c r="B310" s="7" t="str">
        <f>IFERROR(__xludf.DUMMYFUNCTION("IF(A310="""","""",SUM(FILTER(#REF!,YEAR(FinishedData!$A:$A)=YEAR($A310),MONTH(FinishedData!$A:$A)=MONTH($A310),FinishedData!$B:$B=""Game"")))"),"")</f>
        <v/>
      </c>
      <c r="C310" s="7"/>
      <c r="D310" s="7"/>
      <c r="E310" s="7"/>
      <c r="F310" s="7"/>
      <c r="G310" s="7"/>
      <c r="H310" s="7"/>
      <c r="I310" s="7"/>
      <c r="J310" s="7"/>
      <c r="K310" s="7"/>
      <c r="L310" s="7"/>
      <c r="M310" s="7"/>
      <c r="N310" s="7"/>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c r="A311" s="112"/>
      <c r="B311" s="7" t="str">
        <f>IFERROR(__xludf.DUMMYFUNCTION("IF(A311="""","""",SUM(FILTER(#REF!,YEAR(FinishedData!$A:$A)=YEAR($A311),MONTH(FinishedData!$A:$A)=MONTH($A311),FinishedData!$B:$B=""Game"")))"),"")</f>
        <v/>
      </c>
      <c r="C311" s="7"/>
      <c r="D311" s="7"/>
      <c r="E311" s="7"/>
      <c r="F311" s="7"/>
      <c r="G311" s="7"/>
      <c r="H311" s="7"/>
      <c r="I311" s="7"/>
      <c r="J311" s="7"/>
      <c r="K311" s="7"/>
      <c r="L311" s="7"/>
      <c r="M311" s="7"/>
      <c r="N311" s="7"/>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c r="A312" s="112"/>
      <c r="B312" s="7" t="str">
        <f>IFERROR(__xludf.DUMMYFUNCTION("IF(A312="""","""",SUM(FILTER(#REF!,YEAR(FinishedData!$A:$A)=YEAR($A312),MONTH(FinishedData!$A:$A)=MONTH($A312),FinishedData!$B:$B=""Game"")))"),"")</f>
        <v/>
      </c>
      <c r="C312" s="7"/>
      <c r="D312" s="7"/>
      <c r="E312" s="7"/>
      <c r="F312" s="7"/>
      <c r="G312" s="7"/>
      <c r="H312" s="7"/>
      <c r="I312" s="7"/>
      <c r="J312" s="7"/>
      <c r="K312" s="7"/>
      <c r="L312" s="7"/>
      <c r="M312" s="7"/>
      <c r="N312" s="7"/>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c r="A313" s="112"/>
      <c r="B313" s="7" t="str">
        <f>IFERROR(__xludf.DUMMYFUNCTION("IF(A313="""","""",SUM(FILTER(#REF!,YEAR(FinishedData!$A:$A)=YEAR($A313),MONTH(FinishedData!$A:$A)=MONTH($A313),FinishedData!$B:$B=""Game"")))"),"")</f>
        <v/>
      </c>
      <c r="C313" s="7"/>
      <c r="D313" s="7"/>
      <c r="E313" s="7"/>
      <c r="F313" s="7"/>
      <c r="G313" s="7"/>
      <c r="H313" s="7"/>
      <c r="I313" s="7"/>
      <c r="J313" s="7"/>
      <c r="K313" s="7"/>
      <c r="L313" s="7"/>
      <c r="M313" s="7"/>
      <c r="N313" s="7"/>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c r="A314" s="112"/>
      <c r="B314" s="7" t="str">
        <f>IFERROR(__xludf.DUMMYFUNCTION("IF(A314="""","""",SUM(FILTER(#REF!,YEAR(FinishedData!$A:$A)=YEAR($A314),MONTH(FinishedData!$A:$A)=MONTH($A314),FinishedData!$B:$B=""Game"")))"),"")</f>
        <v/>
      </c>
      <c r="C314" s="7"/>
      <c r="D314" s="7"/>
      <c r="E314" s="7"/>
      <c r="F314" s="7"/>
      <c r="G314" s="7"/>
      <c r="H314" s="7"/>
      <c r="I314" s="7"/>
      <c r="J314" s="7"/>
      <c r="K314" s="7"/>
      <c r="L314" s="7"/>
      <c r="M314" s="7"/>
      <c r="N314" s="7"/>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c r="A315" s="112"/>
      <c r="B315" s="7" t="str">
        <f>IFERROR(__xludf.DUMMYFUNCTION("IF(A315="""","""",SUM(FILTER(#REF!,YEAR(FinishedData!$A:$A)=YEAR($A315),MONTH(FinishedData!$A:$A)=MONTH($A315),FinishedData!$B:$B=""Game"")))"),"")</f>
        <v/>
      </c>
      <c r="C315" s="7"/>
      <c r="D315" s="7"/>
      <c r="E315" s="7"/>
      <c r="F315" s="7"/>
      <c r="G315" s="7"/>
      <c r="H315" s="7"/>
      <c r="I315" s="7"/>
      <c r="J315" s="7"/>
      <c r="K315" s="7"/>
      <c r="L315" s="7"/>
      <c r="M315" s="7"/>
      <c r="N315" s="7"/>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c r="A316" s="112"/>
      <c r="B316" s="7" t="str">
        <f>IFERROR(__xludf.DUMMYFUNCTION("IF(A316="""","""",SUM(FILTER(#REF!,YEAR(FinishedData!$A:$A)=YEAR($A316),MONTH(FinishedData!$A:$A)=MONTH($A316),FinishedData!$B:$B=""Game"")))"),"")</f>
        <v/>
      </c>
      <c r="C316" s="7"/>
      <c r="D316" s="7"/>
      <c r="E316" s="7"/>
      <c r="F316" s="7"/>
      <c r="G316" s="7"/>
      <c r="H316" s="7"/>
      <c r="I316" s="7"/>
      <c r="J316" s="7"/>
      <c r="K316" s="7"/>
      <c r="L316" s="7"/>
      <c r="M316" s="7"/>
      <c r="N316" s="7"/>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c r="A317" s="112"/>
      <c r="B317" s="7" t="str">
        <f>IFERROR(__xludf.DUMMYFUNCTION("IF(A317="""","""",SUM(FILTER(#REF!,YEAR(FinishedData!$A:$A)=YEAR($A317),MONTH(FinishedData!$A:$A)=MONTH($A317),FinishedData!$B:$B=""Game"")))"),"")</f>
        <v/>
      </c>
      <c r="C317" s="7"/>
      <c r="D317" s="7"/>
      <c r="E317" s="7"/>
      <c r="F317" s="7"/>
      <c r="G317" s="7"/>
      <c r="H317" s="7"/>
      <c r="I317" s="7"/>
      <c r="J317" s="7"/>
      <c r="K317" s="7"/>
      <c r="L317" s="7"/>
      <c r="M317" s="7"/>
      <c r="N317" s="7"/>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c r="A318" s="112"/>
      <c r="B318" s="7" t="str">
        <f>IFERROR(__xludf.DUMMYFUNCTION("IF(A318="""","""",SUM(FILTER(#REF!,YEAR(FinishedData!$A:$A)=YEAR($A318),MONTH(FinishedData!$A:$A)=MONTH($A318),FinishedData!$B:$B=""Game"")))"),"")</f>
        <v/>
      </c>
      <c r="C318" s="7"/>
      <c r="D318" s="7"/>
      <c r="E318" s="7"/>
      <c r="F318" s="7"/>
      <c r="G318" s="7"/>
      <c r="H318" s="7"/>
      <c r="I318" s="7"/>
      <c r="J318" s="7"/>
      <c r="K318" s="7"/>
      <c r="L318" s="7"/>
      <c r="M318" s="7"/>
      <c r="N318" s="7"/>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c r="A319" s="112"/>
      <c r="B319" s="7" t="str">
        <f>IFERROR(__xludf.DUMMYFUNCTION("IF(A319="""","""",SUM(FILTER(#REF!,YEAR(FinishedData!$A:$A)=YEAR($A319),MONTH(FinishedData!$A:$A)=MONTH($A319),FinishedData!$B:$B=""Game"")))"),"")</f>
        <v/>
      </c>
      <c r="C319" s="7"/>
      <c r="D319" s="7"/>
      <c r="E319" s="7"/>
      <c r="F319" s="7"/>
      <c r="G319" s="7"/>
      <c r="H319" s="7"/>
      <c r="I319" s="7"/>
      <c r="J319" s="7"/>
      <c r="K319" s="7"/>
      <c r="L319" s="7"/>
      <c r="M319" s="7"/>
      <c r="N319" s="7"/>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c r="A320" s="112"/>
      <c r="B320" s="7" t="str">
        <f>IFERROR(__xludf.DUMMYFUNCTION("IF(A320="""","""",SUM(FILTER(#REF!,YEAR(FinishedData!$A:$A)=YEAR($A320),MONTH(FinishedData!$A:$A)=MONTH($A320),FinishedData!$B:$B=""Game"")))"),"")</f>
        <v/>
      </c>
      <c r="C320" s="7"/>
      <c r="D320" s="7"/>
      <c r="E320" s="7"/>
      <c r="F320" s="7"/>
      <c r="G320" s="7"/>
      <c r="H320" s="7"/>
      <c r="I320" s="7"/>
      <c r="J320" s="7"/>
      <c r="K320" s="7"/>
      <c r="L320" s="7"/>
      <c r="M320" s="7"/>
      <c r="N320" s="7"/>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c r="A321" s="112"/>
      <c r="B321" s="7" t="str">
        <f>IFERROR(__xludf.DUMMYFUNCTION("IF(A321="""","""",SUM(FILTER(#REF!,YEAR(FinishedData!$A:$A)=YEAR($A321),MONTH(FinishedData!$A:$A)=MONTH($A321),FinishedData!$B:$B=""Game"")))"),"")</f>
        <v/>
      </c>
      <c r="C321" s="7"/>
      <c r="D321" s="7"/>
      <c r="E321" s="7"/>
      <c r="F321" s="7"/>
      <c r="G321" s="7"/>
      <c r="H321" s="7"/>
      <c r="I321" s="7"/>
      <c r="J321" s="7"/>
      <c r="K321" s="7"/>
      <c r="L321" s="7"/>
      <c r="M321" s="7"/>
      <c r="N321" s="7"/>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c r="A322" s="112"/>
      <c r="B322" s="7" t="str">
        <f>IFERROR(__xludf.DUMMYFUNCTION("IF(A322="""","""",SUM(FILTER(#REF!,YEAR(FinishedData!$A:$A)=YEAR($A322),MONTH(FinishedData!$A:$A)=MONTH($A322),FinishedData!$B:$B=""Game"")))"),"")</f>
        <v/>
      </c>
      <c r="C322" s="7"/>
      <c r="D322" s="7"/>
      <c r="E322" s="7"/>
      <c r="F322" s="7"/>
      <c r="G322" s="7"/>
      <c r="H322" s="7"/>
      <c r="I322" s="7"/>
      <c r="J322" s="7"/>
      <c r="K322" s="7"/>
      <c r="L322" s="7"/>
      <c r="M322" s="7"/>
      <c r="N322" s="7"/>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c r="A323" s="112"/>
      <c r="B323" s="7" t="str">
        <f>IFERROR(__xludf.DUMMYFUNCTION("IF(A323="""","""",SUM(FILTER(#REF!,YEAR(FinishedData!$A:$A)=YEAR($A323),MONTH(FinishedData!$A:$A)=MONTH($A323),FinishedData!$B:$B=""Game"")))"),"")</f>
        <v/>
      </c>
      <c r="C323" s="7"/>
      <c r="D323" s="7"/>
      <c r="E323" s="7"/>
      <c r="F323" s="7"/>
      <c r="G323" s="7"/>
      <c r="H323" s="7"/>
      <c r="I323" s="7"/>
      <c r="J323" s="7"/>
      <c r="K323" s="7"/>
      <c r="L323" s="7"/>
      <c r="M323" s="7"/>
      <c r="N323" s="7"/>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c r="A324" s="112"/>
      <c r="B324" s="7" t="str">
        <f>IFERROR(__xludf.DUMMYFUNCTION("IF(A324="""","""",SUM(FILTER(#REF!,YEAR(FinishedData!$A:$A)=YEAR($A324),MONTH(FinishedData!$A:$A)=MONTH($A324),FinishedData!$B:$B=""Game"")))"),"")</f>
        <v/>
      </c>
      <c r="C324" s="7"/>
      <c r="D324" s="7"/>
      <c r="E324" s="7"/>
      <c r="F324" s="7"/>
      <c r="G324" s="7"/>
      <c r="H324" s="7"/>
      <c r="I324" s="7"/>
      <c r="J324" s="7"/>
      <c r="K324" s="7"/>
      <c r="L324" s="7"/>
      <c r="M324" s="7"/>
      <c r="N324" s="7"/>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c r="A325" s="112"/>
      <c r="B325" s="7" t="str">
        <f>IFERROR(__xludf.DUMMYFUNCTION("IF(A325="""","""",SUM(FILTER(#REF!,YEAR(FinishedData!$A:$A)=YEAR($A325),MONTH(FinishedData!$A:$A)=MONTH($A325),FinishedData!$B:$B=""Game"")))"),"")</f>
        <v/>
      </c>
      <c r="C325" s="7"/>
      <c r="D325" s="7"/>
      <c r="E325" s="7"/>
      <c r="F325" s="7"/>
      <c r="G325" s="7"/>
      <c r="H325" s="7"/>
      <c r="I325" s="7"/>
      <c r="J325" s="7"/>
      <c r="K325" s="7"/>
      <c r="L325" s="7"/>
      <c r="M325" s="7"/>
      <c r="N325" s="7"/>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c r="A326" s="112"/>
      <c r="B326" s="7" t="str">
        <f>IFERROR(__xludf.DUMMYFUNCTION("IF(A326="""","""",SUM(FILTER(#REF!,YEAR(FinishedData!$A:$A)=YEAR($A326),MONTH(FinishedData!$A:$A)=MONTH($A326),FinishedData!$B:$B=""Game"")))"),"")</f>
        <v/>
      </c>
      <c r="C326" s="7"/>
      <c r="D326" s="7"/>
      <c r="E326" s="7"/>
      <c r="F326" s="7"/>
      <c r="G326" s="7"/>
      <c r="H326" s="7"/>
      <c r="I326" s="7"/>
      <c r="J326" s="7"/>
      <c r="K326" s="7"/>
      <c r="L326" s="7"/>
      <c r="M326" s="7"/>
      <c r="N326" s="7"/>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c r="A327" s="112"/>
      <c r="B327" s="7" t="str">
        <f>IFERROR(__xludf.DUMMYFUNCTION("IF(A327="""","""",SUM(FILTER(#REF!,YEAR(FinishedData!$A:$A)=YEAR($A327),MONTH(FinishedData!$A:$A)=MONTH($A327),FinishedData!$B:$B=""Game"")))"),"")</f>
        <v/>
      </c>
      <c r="C327" s="7"/>
      <c r="D327" s="7"/>
      <c r="E327" s="7"/>
      <c r="F327" s="7"/>
      <c r="G327" s="7"/>
      <c r="H327" s="7"/>
      <c r="I327" s="7"/>
      <c r="J327" s="7"/>
      <c r="K327" s="7"/>
      <c r="L327" s="7"/>
      <c r="M327" s="7"/>
      <c r="N327" s="7"/>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c r="A328" s="112"/>
      <c r="B328" s="7" t="str">
        <f>IFERROR(__xludf.DUMMYFUNCTION("IF(A328="""","""",SUM(FILTER(#REF!,YEAR(FinishedData!$A:$A)=YEAR($A328),MONTH(FinishedData!$A:$A)=MONTH($A328),FinishedData!$B:$B=""Game"")))"),"")</f>
        <v/>
      </c>
      <c r="C328" s="7"/>
      <c r="D328" s="7"/>
      <c r="E328" s="7"/>
      <c r="F328" s="7"/>
      <c r="G328" s="7"/>
      <c r="H328" s="7"/>
      <c r="I328" s="7"/>
      <c r="J328" s="7"/>
      <c r="K328" s="7"/>
      <c r="L328" s="7"/>
      <c r="M328" s="7"/>
      <c r="N328" s="7"/>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c r="A329" s="112"/>
      <c r="B329" s="7" t="str">
        <f>IFERROR(__xludf.DUMMYFUNCTION("IF(A329="""","""",SUM(FILTER(#REF!,YEAR(FinishedData!$A:$A)=YEAR($A329),MONTH(FinishedData!$A:$A)=MONTH($A329),FinishedData!$B:$B=""Game"")))"),"")</f>
        <v/>
      </c>
      <c r="C329" s="7"/>
      <c r="D329" s="7"/>
      <c r="E329" s="7"/>
      <c r="F329" s="7"/>
      <c r="G329" s="7"/>
      <c r="H329" s="7"/>
      <c r="I329" s="7"/>
      <c r="J329" s="7"/>
      <c r="K329" s="7"/>
      <c r="L329" s="7"/>
      <c r="M329" s="7"/>
      <c r="N329" s="7"/>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c r="A330" s="112"/>
      <c r="B330" s="7" t="str">
        <f>IFERROR(__xludf.DUMMYFUNCTION("IF(A330="""","""",SUM(FILTER(#REF!,YEAR(FinishedData!$A:$A)=YEAR($A330),MONTH(FinishedData!$A:$A)=MONTH($A330),FinishedData!$B:$B=""Game"")))"),"")</f>
        <v/>
      </c>
      <c r="C330" s="7"/>
      <c r="D330" s="7"/>
      <c r="E330" s="7"/>
      <c r="F330" s="7"/>
      <c r="G330" s="7"/>
      <c r="H330" s="7"/>
      <c r="I330" s="7"/>
      <c r="J330" s="7"/>
      <c r="K330" s="7"/>
      <c r="L330" s="7"/>
      <c r="M330" s="7"/>
      <c r="N330" s="7"/>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c r="A331" s="112"/>
      <c r="B331" s="7" t="str">
        <f>IFERROR(__xludf.DUMMYFUNCTION("IF(A331="""","""",SUM(FILTER(#REF!,YEAR(FinishedData!$A:$A)=YEAR($A331),MONTH(FinishedData!$A:$A)=MONTH($A331),FinishedData!$B:$B=""Game"")))"),"")</f>
        <v/>
      </c>
      <c r="C331" s="7"/>
      <c r="D331" s="7"/>
      <c r="E331" s="7"/>
      <c r="F331" s="7"/>
      <c r="G331" s="7"/>
      <c r="H331" s="7"/>
      <c r="I331" s="7"/>
      <c r="J331" s="7"/>
      <c r="K331" s="7"/>
      <c r="L331" s="7"/>
      <c r="M331" s="7"/>
      <c r="N331" s="7"/>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c r="A332" s="112"/>
      <c r="B332" s="7" t="str">
        <f>IFERROR(__xludf.DUMMYFUNCTION("IF(A332="""","""",SUM(FILTER(#REF!,YEAR(FinishedData!$A:$A)=YEAR($A332),MONTH(FinishedData!$A:$A)=MONTH($A332),FinishedData!$B:$B=""Game"")))"),"")</f>
        <v/>
      </c>
      <c r="C332" s="7"/>
      <c r="D332" s="7"/>
      <c r="E332" s="7"/>
      <c r="F332" s="7"/>
      <c r="G332" s="7"/>
      <c r="H332" s="7"/>
      <c r="I332" s="7"/>
      <c r="J332" s="7"/>
      <c r="K332" s="7"/>
      <c r="L332" s="7"/>
      <c r="M332" s="7"/>
      <c r="N332" s="7"/>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c r="A333" s="112"/>
      <c r="B333" s="7" t="str">
        <f>IFERROR(__xludf.DUMMYFUNCTION("IF(A333="""","""",SUM(FILTER(#REF!,YEAR(FinishedData!$A:$A)=YEAR($A333),MONTH(FinishedData!$A:$A)=MONTH($A333),FinishedData!$B:$B=""Game"")))"),"")</f>
        <v/>
      </c>
      <c r="C333" s="7"/>
      <c r="D333" s="7"/>
      <c r="E333" s="7"/>
      <c r="F333" s="7"/>
      <c r="G333" s="7"/>
      <c r="H333" s="7"/>
      <c r="I333" s="7"/>
      <c r="J333" s="7"/>
      <c r="K333" s="7"/>
      <c r="L333" s="7"/>
      <c r="M333" s="7"/>
      <c r="N333" s="7"/>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c r="A334" s="112"/>
      <c r="B334" s="7" t="str">
        <f>IFERROR(__xludf.DUMMYFUNCTION("IF(A334="""","""",SUM(FILTER(#REF!,YEAR(FinishedData!$A:$A)=YEAR($A334),MONTH(FinishedData!$A:$A)=MONTH($A334),FinishedData!$B:$B=""Game"")))"),"")</f>
        <v/>
      </c>
      <c r="C334" s="7"/>
      <c r="D334" s="7"/>
      <c r="E334" s="7"/>
      <c r="F334" s="7"/>
      <c r="G334" s="7"/>
      <c r="H334" s="7"/>
      <c r="I334" s="7"/>
      <c r="J334" s="7"/>
      <c r="K334" s="7"/>
      <c r="L334" s="7"/>
      <c r="M334" s="7"/>
      <c r="N334" s="7"/>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c r="A335" s="112"/>
      <c r="B335" s="7" t="str">
        <f>IFERROR(__xludf.DUMMYFUNCTION("IF(A335="""","""",SUM(FILTER(#REF!,YEAR(FinishedData!$A:$A)=YEAR($A335),MONTH(FinishedData!$A:$A)=MONTH($A335),FinishedData!$B:$B=""Game"")))"),"")</f>
        <v/>
      </c>
      <c r="C335" s="7"/>
      <c r="D335" s="7"/>
      <c r="E335" s="7"/>
      <c r="F335" s="7"/>
      <c r="G335" s="7"/>
      <c r="H335" s="7"/>
      <c r="I335" s="7"/>
      <c r="J335" s="7"/>
      <c r="K335" s="7"/>
      <c r="L335" s="7"/>
      <c r="M335" s="7"/>
      <c r="N335" s="7"/>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c r="A336" s="112"/>
      <c r="B336" s="7" t="str">
        <f>IFERROR(__xludf.DUMMYFUNCTION("IF(A336="""","""",SUM(FILTER(#REF!,YEAR(FinishedData!$A:$A)=YEAR($A336),MONTH(FinishedData!$A:$A)=MONTH($A336),FinishedData!$B:$B=""Game"")))"),"")</f>
        <v/>
      </c>
      <c r="C336" s="7"/>
      <c r="D336" s="7"/>
      <c r="E336" s="7"/>
      <c r="F336" s="7"/>
      <c r="G336" s="7"/>
      <c r="H336" s="7"/>
      <c r="I336" s="7"/>
      <c r="J336" s="7"/>
      <c r="K336" s="7"/>
      <c r="L336" s="7"/>
      <c r="M336" s="7"/>
      <c r="N336" s="7"/>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c r="A337" s="112"/>
      <c r="B337" s="7" t="str">
        <f>IFERROR(__xludf.DUMMYFUNCTION("IF(A337="""","""",SUM(FILTER(#REF!,YEAR(FinishedData!$A:$A)=YEAR($A337),MONTH(FinishedData!$A:$A)=MONTH($A337),FinishedData!$B:$B=""Game"")))"),"")</f>
        <v/>
      </c>
      <c r="C337" s="7"/>
      <c r="D337" s="7"/>
      <c r="E337" s="7"/>
      <c r="F337" s="7"/>
      <c r="G337" s="7"/>
      <c r="H337" s="7"/>
      <c r="I337" s="7"/>
      <c r="J337" s="7"/>
      <c r="K337" s="7"/>
      <c r="L337" s="7"/>
      <c r="M337" s="7"/>
      <c r="N337" s="7"/>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c r="A338" s="112"/>
      <c r="B338" s="7" t="str">
        <f>IFERROR(__xludf.DUMMYFUNCTION("IF(A338="""","""",SUM(FILTER(#REF!,YEAR(FinishedData!$A:$A)=YEAR($A338),MONTH(FinishedData!$A:$A)=MONTH($A338),FinishedData!$B:$B=""Game"")))"),"")</f>
        <v/>
      </c>
      <c r="C338" s="7"/>
      <c r="D338" s="7"/>
      <c r="E338" s="7"/>
      <c r="F338" s="7"/>
      <c r="G338" s="7"/>
      <c r="H338" s="7"/>
      <c r="I338" s="7"/>
      <c r="J338" s="7"/>
      <c r="K338" s="7"/>
      <c r="L338" s="7"/>
      <c r="M338" s="7"/>
      <c r="N338" s="7"/>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c r="A339" s="112"/>
      <c r="B339" s="7" t="str">
        <f>IFERROR(__xludf.DUMMYFUNCTION("IF(A339="""","""",SUM(FILTER(#REF!,YEAR(FinishedData!$A:$A)=YEAR($A339),MONTH(FinishedData!$A:$A)=MONTH($A339),FinishedData!$B:$B=""Game"")))"),"")</f>
        <v/>
      </c>
      <c r="C339" s="7"/>
      <c r="D339" s="7"/>
      <c r="E339" s="7"/>
      <c r="F339" s="7"/>
      <c r="G339" s="7"/>
      <c r="H339" s="7"/>
      <c r="I339" s="7"/>
      <c r="J339" s="7"/>
      <c r="K339" s="7"/>
      <c r="L339" s="7"/>
      <c r="M339" s="7"/>
      <c r="N339" s="7"/>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c r="A340" s="112"/>
      <c r="B340" s="7" t="str">
        <f>IFERROR(__xludf.DUMMYFUNCTION("IF(A340="""","""",SUM(FILTER(#REF!,YEAR(FinishedData!$A:$A)=YEAR($A340),MONTH(FinishedData!$A:$A)=MONTH($A340),FinishedData!$B:$B=""Game"")))"),"")</f>
        <v/>
      </c>
      <c r="C340" s="7"/>
      <c r="D340" s="7"/>
      <c r="E340" s="7"/>
      <c r="F340" s="7"/>
      <c r="G340" s="7"/>
      <c r="H340" s="7"/>
      <c r="I340" s="7"/>
      <c r="J340" s="7"/>
      <c r="K340" s="7"/>
      <c r="L340" s="7"/>
      <c r="M340" s="7"/>
      <c r="N340" s="7"/>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c r="A341" s="112"/>
      <c r="B341" s="7" t="str">
        <f>IFERROR(__xludf.DUMMYFUNCTION("IF(A341="""","""",SUM(FILTER(#REF!,YEAR(FinishedData!$A:$A)=YEAR($A341),MONTH(FinishedData!$A:$A)=MONTH($A341),FinishedData!$B:$B=""Game"")))"),"")</f>
        <v/>
      </c>
      <c r="C341" s="7"/>
      <c r="D341" s="7"/>
      <c r="E341" s="7"/>
      <c r="F341" s="7"/>
      <c r="G341" s="7"/>
      <c r="H341" s="7"/>
      <c r="I341" s="7"/>
      <c r="J341" s="7"/>
      <c r="K341" s="7"/>
      <c r="L341" s="7"/>
      <c r="M341" s="7"/>
      <c r="N341" s="7"/>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c r="A342" s="112"/>
      <c r="B342" s="7" t="str">
        <f>IFERROR(__xludf.DUMMYFUNCTION("IF(A342="""","""",SUM(FILTER(#REF!,YEAR(FinishedData!$A:$A)=YEAR($A342),MONTH(FinishedData!$A:$A)=MONTH($A342),FinishedData!$B:$B=""Game"")))"),"")</f>
        <v/>
      </c>
      <c r="C342" s="7"/>
      <c r="D342" s="7"/>
      <c r="E342" s="7"/>
      <c r="F342" s="7"/>
      <c r="G342" s="7"/>
      <c r="H342" s="7"/>
      <c r="I342" s="7"/>
      <c r="J342" s="7"/>
      <c r="K342" s="7"/>
      <c r="L342" s="7"/>
      <c r="M342" s="7"/>
      <c r="N342" s="7"/>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c r="A343" s="112"/>
      <c r="B343" s="7" t="str">
        <f>IFERROR(__xludf.DUMMYFUNCTION("IF(A343="""","""",SUM(FILTER(#REF!,YEAR(FinishedData!$A:$A)=YEAR($A343),MONTH(FinishedData!$A:$A)=MONTH($A343),FinishedData!$B:$B=""Game"")))"),"")</f>
        <v/>
      </c>
      <c r="C343" s="7"/>
      <c r="D343" s="7"/>
      <c r="E343" s="7"/>
      <c r="F343" s="7"/>
      <c r="G343" s="7"/>
      <c r="H343" s="7"/>
      <c r="I343" s="7"/>
      <c r="J343" s="7"/>
      <c r="K343" s="7"/>
      <c r="L343" s="7"/>
      <c r="M343" s="7"/>
      <c r="N343" s="7"/>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c r="A344" s="112"/>
      <c r="B344" s="7" t="str">
        <f>IFERROR(__xludf.DUMMYFUNCTION("IF(A344="""","""",SUM(FILTER(#REF!,YEAR(FinishedData!$A:$A)=YEAR($A344),MONTH(FinishedData!$A:$A)=MONTH($A344),FinishedData!$B:$B=""Game"")))"),"")</f>
        <v/>
      </c>
      <c r="C344" s="7"/>
      <c r="D344" s="7"/>
      <c r="E344" s="7"/>
      <c r="F344" s="7"/>
      <c r="G344" s="7"/>
      <c r="H344" s="7"/>
      <c r="I344" s="7"/>
      <c r="J344" s="7"/>
      <c r="K344" s="7"/>
      <c r="L344" s="7"/>
      <c r="M344" s="7"/>
      <c r="N344" s="7"/>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c r="A345" s="112"/>
      <c r="B345" s="7" t="str">
        <f>IFERROR(__xludf.DUMMYFUNCTION("IF(A345="""","""",SUM(FILTER(#REF!,YEAR(FinishedData!$A:$A)=YEAR($A345),MONTH(FinishedData!$A:$A)=MONTH($A345),FinishedData!$B:$B=""Game"")))"),"")</f>
        <v/>
      </c>
      <c r="C345" s="7"/>
      <c r="D345" s="7"/>
      <c r="E345" s="7"/>
      <c r="F345" s="7"/>
      <c r="G345" s="7"/>
      <c r="H345" s="7"/>
      <c r="I345" s="7"/>
      <c r="J345" s="7"/>
      <c r="K345" s="7"/>
      <c r="L345" s="7"/>
      <c r="M345" s="7"/>
      <c r="N345" s="7"/>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c r="A346" s="112"/>
      <c r="B346" s="7" t="str">
        <f>IFERROR(__xludf.DUMMYFUNCTION("IF(A346="""","""",SUM(FILTER(#REF!,YEAR(FinishedData!$A:$A)=YEAR($A346),MONTH(FinishedData!$A:$A)=MONTH($A346),FinishedData!$B:$B=""Game"")))"),"")</f>
        <v/>
      </c>
      <c r="C346" s="7"/>
      <c r="D346" s="7"/>
      <c r="E346" s="7"/>
      <c r="F346" s="7"/>
      <c r="G346" s="7"/>
      <c r="H346" s="7"/>
      <c r="I346" s="7"/>
      <c r="J346" s="7"/>
      <c r="K346" s="7"/>
      <c r="L346" s="7"/>
      <c r="M346" s="7"/>
      <c r="N346" s="7"/>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c r="A347" s="112"/>
      <c r="B347" s="7" t="str">
        <f>IFERROR(__xludf.DUMMYFUNCTION("IF(A347="""","""",SUM(FILTER(#REF!,YEAR(FinishedData!$A:$A)=YEAR($A347),MONTH(FinishedData!$A:$A)=MONTH($A347),FinishedData!$B:$B=""Game"")))"),"")</f>
        <v/>
      </c>
      <c r="C347" s="7"/>
      <c r="D347" s="7"/>
      <c r="E347" s="7"/>
      <c r="F347" s="7"/>
      <c r="G347" s="7"/>
      <c r="H347" s="7"/>
      <c r="I347" s="7"/>
      <c r="J347" s="7"/>
      <c r="K347" s="7"/>
      <c r="L347" s="7"/>
      <c r="M347" s="7"/>
      <c r="N347" s="7"/>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c r="A348" s="112"/>
      <c r="B348" s="7" t="str">
        <f>IFERROR(__xludf.DUMMYFUNCTION("IF(A348="""","""",SUM(FILTER(#REF!,YEAR(FinishedData!$A:$A)=YEAR($A348),MONTH(FinishedData!$A:$A)=MONTH($A348),FinishedData!$B:$B=""Game"")))"),"")</f>
        <v/>
      </c>
      <c r="C348" s="7"/>
      <c r="D348" s="7"/>
      <c r="E348" s="7"/>
      <c r="F348" s="7"/>
      <c r="G348" s="7"/>
      <c r="H348" s="7"/>
      <c r="I348" s="7"/>
      <c r="J348" s="7"/>
      <c r="K348" s="7"/>
      <c r="L348" s="7"/>
      <c r="M348" s="7"/>
      <c r="N348" s="7"/>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c r="A349" s="112"/>
      <c r="B349" s="7" t="str">
        <f>IFERROR(__xludf.DUMMYFUNCTION("IF(A349="""","""",SUM(FILTER(#REF!,YEAR(FinishedData!$A:$A)=YEAR($A349),MONTH(FinishedData!$A:$A)=MONTH($A349),FinishedData!$B:$B=""Game"")))"),"")</f>
        <v/>
      </c>
      <c r="C349" s="7"/>
      <c r="D349" s="7"/>
      <c r="E349" s="7"/>
      <c r="F349" s="7"/>
      <c r="G349" s="7"/>
      <c r="H349" s="7"/>
      <c r="I349" s="7"/>
      <c r="J349" s="7"/>
      <c r="K349" s="7"/>
      <c r="L349" s="7"/>
      <c r="M349" s="7"/>
      <c r="N349" s="7"/>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c r="A350" s="112"/>
      <c r="B350" s="7" t="str">
        <f>IFERROR(__xludf.DUMMYFUNCTION("IF(A350="""","""",SUM(FILTER(#REF!,YEAR(FinishedData!$A:$A)=YEAR($A350),MONTH(FinishedData!$A:$A)=MONTH($A350),FinishedData!$B:$B=""Game"")))"),"")</f>
        <v/>
      </c>
      <c r="C350" s="7"/>
      <c r="D350" s="7"/>
      <c r="E350" s="7"/>
      <c r="F350" s="7"/>
      <c r="G350" s="7"/>
      <c r="H350" s="7"/>
      <c r="I350" s="7"/>
      <c r="J350" s="7"/>
      <c r="K350" s="7"/>
      <c r="L350" s="7"/>
      <c r="M350" s="7"/>
      <c r="N350" s="7"/>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c r="A351" s="112"/>
      <c r="B351" s="7" t="str">
        <f>IFERROR(__xludf.DUMMYFUNCTION("IF(A351="""","""",SUM(FILTER(#REF!,YEAR(FinishedData!$A:$A)=YEAR($A351),MONTH(FinishedData!$A:$A)=MONTH($A351),FinishedData!$B:$B=""Game"")))"),"")</f>
        <v/>
      </c>
      <c r="C351" s="7"/>
      <c r="D351" s="7"/>
      <c r="E351" s="7"/>
      <c r="F351" s="7"/>
      <c r="G351" s="7"/>
      <c r="H351" s="7"/>
      <c r="I351" s="7"/>
      <c r="J351" s="7"/>
      <c r="K351" s="7"/>
      <c r="L351" s="7"/>
      <c r="M351" s="7"/>
      <c r="N351" s="7"/>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c r="A352" s="112"/>
      <c r="B352" s="7" t="str">
        <f>IFERROR(__xludf.DUMMYFUNCTION("IF(A352="""","""",SUM(FILTER(#REF!,YEAR(FinishedData!$A:$A)=YEAR($A352),MONTH(FinishedData!$A:$A)=MONTH($A352),FinishedData!$B:$B=""Game"")))"),"")</f>
        <v/>
      </c>
      <c r="C352" s="7"/>
      <c r="D352" s="7"/>
      <c r="E352" s="7"/>
      <c r="F352" s="7"/>
      <c r="G352" s="7"/>
      <c r="H352" s="7"/>
      <c r="I352" s="7"/>
      <c r="J352" s="7"/>
      <c r="K352" s="7"/>
      <c r="L352" s="7"/>
      <c r="M352" s="7"/>
      <c r="N352" s="7"/>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c r="A353" s="112"/>
      <c r="B353" s="7" t="str">
        <f>IFERROR(__xludf.DUMMYFUNCTION("IF(A353="""","""",SUM(FILTER(#REF!,YEAR(FinishedData!$A:$A)=YEAR($A353),MONTH(FinishedData!$A:$A)=MONTH($A353),FinishedData!$B:$B=""Game"")))"),"")</f>
        <v/>
      </c>
      <c r="C353" s="7"/>
      <c r="D353" s="7"/>
      <c r="E353" s="7"/>
      <c r="F353" s="7"/>
      <c r="G353" s="7"/>
      <c r="H353" s="7"/>
      <c r="I353" s="7"/>
      <c r="J353" s="7"/>
      <c r="K353" s="7"/>
      <c r="L353" s="7"/>
      <c r="M353" s="7"/>
      <c r="N353" s="7"/>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c r="A354" s="112"/>
      <c r="B354" s="7" t="str">
        <f>IFERROR(__xludf.DUMMYFUNCTION("IF(A354="""","""",SUM(FILTER(#REF!,YEAR(FinishedData!$A:$A)=YEAR($A354),MONTH(FinishedData!$A:$A)=MONTH($A354),FinishedData!$B:$B=""Game"")))"),"")</f>
        <v/>
      </c>
      <c r="C354" s="7"/>
      <c r="D354" s="7"/>
      <c r="E354" s="7"/>
      <c r="F354" s="7"/>
      <c r="G354" s="7"/>
      <c r="H354" s="7"/>
      <c r="I354" s="7"/>
      <c r="J354" s="7"/>
      <c r="K354" s="7"/>
      <c r="L354" s="7"/>
      <c r="M354" s="7"/>
      <c r="N354" s="7"/>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c r="A355" s="112"/>
      <c r="B355" s="7" t="str">
        <f>IFERROR(__xludf.DUMMYFUNCTION("IF(A355="""","""",SUM(FILTER(#REF!,YEAR(FinishedData!$A:$A)=YEAR($A355),MONTH(FinishedData!$A:$A)=MONTH($A355),FinishedData!$B:$B=""Game"")))"),"")</f>
        <v/>
      </c>
      <c r="C355" s="7"/>
      <c r="D355" s="7"/>
      <c r="E355" s="7"/>
      <c r="F355" s="7"/>
      <c r="G355" s="7"/>
      <c r="H355" s="7"/>
      <c r="I355" s="7"/>
      <c r="J355" s="7"/>
      <c r="K355" s="7"/>
      <c r="L355" s="7"/>
      <c r="M355" s="7"/>
      <c r="N355" s="7"/>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c r="A356" s="112"/>
      <c r="B356" s="7" t="str">
        <f>IFERROR(__xludf.DUMMYFUNCTION("IF(A356="""","""",SUM(FILTER(#REF!,YEAR(FinishedData!$A:$A)=YEAR($A356),MONTH(FinishedData!$A:$A)=MONTH($A356),FinishedData!$B:$B=""Game"")))"),"")</f>
        <v/>
      </c>
      <c r="C356" s="7"/>
      <c r="D356" s="7"/>
      <c r="E356" s="7"/>
      <c r="F356" s="7"/>
      <c r="G356" s="7"/>
      <c r="H356" s="7"/>
      <c r="I356" s="7"/>
      <c r="J356" s="7"/>
      <c r="K356" s="7"/>
      <c r="L356" s="7"/>
      <c r="M356" s="7"/>
      <c r="N356" s="7"/>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c r="A357" s="112"/>
      <c r="B357" s="7" t="str">
        <f>IFERROR(__xludf.DUMMYFUNCTION("IF(A357="""","""",SUM(FILTER(#REF!,YEAR(FinishedData!$A:$A)=YEAR($A357),MONTH(FinishedData!$A:$A)=MONTH($A357),FinishedData!$B:$B=""Game"")))"),"")</f>
        <v/>
      </c>
      <c r="C357" s="7"/>
      <c r="D357" s="7"/>
      <c r="E357" s="7"/>
      <c r="F357" s="7"/>
      <c r="G357" s="7"/>
      <c r="H357" s="7"/>
      <c r="I357" s="7"/>
      <c r="J357" s="7"/>
      <c r="K357" s="7"/>
      <c r="L357" s="7"/>
      <c r="M357" s="7"/>
      <c r="N357" s="7"/>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c r="A358" s="112"/>
      <c r="B358" s="7" t="str">
        <f>IFERROR(__xludf.DUMMYFUNCTION("IF(A358="""","""",SUM(FILTER(#REF!,YEAR(FinishedData!$A:$A)=YEAR($A358),MONTH(FinishedData!$A:$A)=MONTH($A358),FinishedData!$B:$B=""Game"")))"),"")</f>
        <v/>
      </c>
      <c r="C358" s="7"/>
      <c r="D358" s="7"/>
      <c r="E358" s="7"/>
      <c r="F358" s="7"/>
      <c r="G358" s="7"/>
      <c r="H358" s="7"/>
      <c r="I358" s="7"/>
      <c r="J358" s="7"/>
      <c r="K358" s="7"/>
      <c r="L358" s="7"/>
      <c r="M358" s="7"/>
      <c r="N358" s="7"/>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c r="A359" s="112"/>
      <c r="B359" s="7" t="str">
        <f>IFERROR(__xludf.DUMMYFUNCTION("IF(A359="""","""",SUM(FILTER(#REF!,YEAR(FinishedData!$A:$A)=YEAR($A359),MONTH(FinishedData!$A:$A)=MONTH($A359),FinishedData!$B:$B=""Game"")))"),"")</f>
        <v/>
      </c>
      <c r="C359" s="7"/>
      <c r="D359" s="7"/>
      <c r="E359" s="7"/>
      <c r="F359" s="7"/>
      <c r="G359" s="7"/>
      <c r="H359" s="7"/>
      <c r="I359" s="7"/>
      <c r="J359" s="7"/>
      <c r="K359" s="7"/>
      <c r="L359" s="7"/>
      <c r="M359" s="7"/>
      <c r="N359" s="7"/>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c r="A360" s="112"/>
      <c r="B360" s="7" t="str">
        <f>IFERROR(__xludf.DUMMYFUNCTION("IF(A360="""","""",SUM(FILTER(#REF!,YEAR(FinishedData!$A:$A)=YEAR($A360),MONTH(FinishedData!$A:$A)=MONTH($A360),FinishedData!$B:$B=""Game"")))"),"")</f>
        <v/>
      </c>
      <c r="C360" s="7"/>
      <c r="D360" s="7"/>
      <c r="E360" s="7"/>
      <c r="F360" s="7"/>
      <c r="G360" s="7"/>
      <c r="H360" s="7"/>
      <c r="I360" s="7"/>
      <c r="J360" s="7"/>
      <c r="K360" s="7"/>
      <c r="L360" s="7"/>
      <c r="M360" s="7"/>
      <c r="N360" s="7"/>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c r="A361" s="112"/>
      <c r="B361" s="7" t="str">
        <f>IFERROR(__xludf.DUMMYFUNCTION("IF(A361="""","""",SUM(FILTER(#REF!,YEAR(FinishedData!$A:$A)=YEAR($A361),MONTH(FinishedData!$A:$A)=MONTH($A361),FinishedData!$B:$B=""Game"")))"),"")</f>
        <v/>
      </c>
      <c r="C361" s="7"/>
      <c r="D361" s="7"/>
      <c r="E361" s="7"/>
      <c r="F361" s="7"/>
      <c r="G361" s="7"/>
      <c r="H361" s="7"/>
      <c r="I361" s="7"/>
      <c r="J361" s="7"/>
      <c r="K361" s="7"/>
      <c r="L361" s="7"/>
      <c r="M361" s="7"/>
      <c r="N361" s="7"/>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c r="A362" s="112"/>
      <c r="B362" s="7" t="str">
        <f>IFERROR(__xludf.DUMMYFUNCTION("IF(A362="""","""",SUM(FILTER(#REF!,YEAR(FinishedData!$A:$A)=YEAR($A362),MONTH(FinishedData!$A:$A)=MONTH($A362),FinishedData!$B:$B=""Game"")))"),"")</f>
        <v/>
      </c>
      <c r="C362" s="7"/>
      <c r="D362" s="7"/>
      <c r="E362" s="7"/>
      <c r="F362" s="7"/>
      <c r="G362" s="7"/>
      <c r="H362" s="7"/>
      <c r="I362" s="7"/>
      <c r="J362" s="7"/>
      <c r="K362" s="7"/>
      <c r="L362" s="7"/>
      <c r="M362" s="7"/>
      <c r="N362" s="7"/>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c r="A363" s="112"/>
      <c r="B363" s="7" t="str">
        <f>IFERROR(__xludf.DUMMYFUNCTION("IF(A363="""","""",SUM(FILTER(#REF!,YEAR(FinishedData!$A:$A)=YEAR($A363),MONTH(FinishedData!$A:$A)=MONTH($A363),FinishedData!$B:$B=""Game"")))"),"")</f>
        <v/>
      </c>
      <c r="C363" s="7"/>
      <c r="D363" s="7"/>
      <c r="E363" s="7"/>
      <c r="F363" s="7"/>
      <c r="G363" s="7"/>
      <c r="H363" s="7"/>
      <c r="I363" s="7"/>
      <c r="J363" s="7"/>
      <c r="K363" s="7"/>
      <c r="L363" s="7"/>
      <c r="M363" s="7"/>
      <c r="N363" s="7"/>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c r="A364" s="112"/>
      <c r="B364" s="7" t="str">
        <f>IFERROR(__xludf.DUMMYFUNCTION("IF(A364="""","""",SUM(FILTER(#REF!,YEAR(FinishedData!$A:$A)=YEAR($A364),MONTH(FinishedData!$A:$A)=MONTH($A364),FinishedData!$B:$B=""Game"")))"),"")</f>
        <v/>
      </c>
      <c r="C364" s="7"/>
      <c r="D364" s="7"/>
      <c r="E364" s="7"/>
      <c r="F364" s="7"/>
      <c r="G364" s="7"/>
      <c r="H364" s="7"/>
      <c r="I364" s="7"/>
      <c r="J364" s="7"/>
      <c r="K364" s="7"/>
      <c r="L364" s="7"/>
      <c r="M364" s="7"/>
      <c r="N364" s="7"/>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c r="A365" s="112"/>
      <c r="B365" s="7" t="str">
        <f>IFERROR(__xludf.DUMMYFUNCTION("IF(A365="""","""",SUM(FILTER(#REF!,YEAR(FinishedData!$A:$A)=YEAR($A365),MONTH(FinishedData!$A:$A)=MONTH($A365),FinishedData!$B:$B=""Game"")))"),"")</f>
        <v/>
      </c>
      <c r="C365" s="7"/>
      <c r="D365" s="7"/>
      <c r="E365" s="7"/>
      <c r="F365" s="7"/>
      <c r="G365" s="7"/>
      <c r="H365" s="7"/>
      <c r="I365" s="7"/>
      <c r="J365" s="7"/>
      <c r="K365" s="7"/>
      <c r="L365" s="7"/>
      <c r="M365" s="7"/>
      <c r="N365" s="7"/>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c r="A366" s="112"/>
      <c r="B366" s="7" t="str">
        <f>IFERROR(__xludf.DUMMYFUNCTION("IF(A366="""","""",SUM(FILTER(#REF!,YEAR(FinishedData!$A:$A)=YEAR($A366),MONTH(FinishedData!$A:$A)=MONTH($A366),FinishedData!$B:$B=""Game"")))"),"")</f>
        <v/>
      </c>
      <c r="C366" s="7"/>
      <c r="D366" s="7"/>
      <c r="E366" s="7"/>
      <c r="F366" s="7"/>
      <c r="G366" s="7"/>
      <c r="H366" s="7"/>
      <c r="I366" s="7"/>
      <c r="J366" s="7"/>
      <c r="K366" s="7"/>
      <c r="L366" s="7"/>
      <c r="M366" s="7"/>
      <c r="N366" s="7"/>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c r="A367" s="112"/>
      <c r="B367" s="7" t="str">
        <f>IFERROR(__xludf.DUMMYFUNCTION("IF(A367="""","""",SUM(FILTER(#REF!,YEAR(FinishedData!$A:$A)=YEAR($A367),MONTH(FinishedData!$A:$A)=MONTH($A367),FinishedData!$B:$B=""Game"")))"),"")</f>
        <v/>
      </c>
      <c r="C367" s="7"/>
      <c r="D367" s="7"/>
      <c r="E367" s="7"/>
      <c r="F367" s="7"/>
      <c r="G367" s="7"/>
      <c r="H367" s="7"/>
      <c r="I367" s="7"/>
      <c r="J367" s="7"/>
      <c r="K367" s="7"/>
      <c r="L367" s="7"/>
      <c r="M367" s="7"/>
      <c r="N367" s="7"/>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c r="A368" s="112"/>
      <c r="B368" s="7" t="str">
        <f>IFERROR(__xludf.DUMMYFUNCTION("IF(A368="""","""",SUM(FILTER(#REF!,YEAR(FinishedData!$A:$A)=YEAR($A368),MONTH(FinishedData!$A:$A)=MONTH($A368),FinishedData!$B:$B=""Game"")))"),"")</f>
        <v/>
      </c>
      <c r="C368" s="7"/>
      <c r="D368" s="7"/>
      <c r="E368" s="7"/>
      <c r="F368" s="7"/>
      <c r="G368" s="7"/>
      <c r="H368" s="7"/>
      <c r="I368" s="7"/>
      <c r="J368" s="7"/>
      <c r="K368" s="7"/>
      <c r="L368" s="7"/>
      <c r="M368" s="7"/>
      <c r="N368" s="7"/>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c r="A369" s="112"/>
      <c r="B369" s="7" t="str">
        <f>IFERROR(__xludf.DUMMYFUNCTION("IF(A369="""","""",SUM(FILTER(#REF!,YEAR(FinishedData!$A:$A)=YEAR($A369),MONTH(FinishedData!$A:$A)=MONTH($A369),FinishedData!$B:$B=""Game"")))"),"")</f>
        <v/>
      </c>
      <c r="C369" s="7"/>
      <c r="D369" s="7"/>
      <c r="E369" s="7"/>
      <c r="F369" s="7"/>
      <c r="G369" s="7"/>
      <c r="H369" s="7"/>
      <c r="I369" s="7"/>
      <c r="J369" s="7"/>
      <c r="K369" s="7"/>
      <c r="L369" s="7"/>
      <c r="M369" s="7"/>
      <c r="N369" s="7"/>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c r="A370" s="112"/>
      <c r="B370" s="7" t="str">
        <f>IFERROR(__xludf.DUMMYFUNCTION("IF(A370="""","""",SUM(FILTER(#REF!,YEAR(FinishedData!$A:$A)=YEAR($A370),MONTH(FinishedData!$A:$A)=MONTH($A370),FinishedData!$B:$B=""Game"")))"),"")</f>
        <v/>
      </c>
      <c r="C370" s="7"/>
      <c r="D370" s="7"/>
      <c r="E370" s="7"/>
      <c r="F370" s="7"/>
      <c r="G370" s="7"/>
      <c r="H370" s="7"/>
      <c r="I370" s="7"/>
      <c r="J370" s="7"/>
      <c r="K370" s="7"/>
      <c r="L370" s="7"/>
      <c r="M370" s="7"/>
      <c r="N370" s="7"/>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c r="A371" s="112"/>
      <c r="B371" s="7" t="str">
        <f>IFERROR(__xludf.DUMMYFUNCTION("IF(A371="""","""",SUM(FILTER(#REF!,YEAR(FinishedData!$A:$A)=YEAR($A371),MONTH(FinishedData!$A:$A)=MONTH($A371),FinishedData!$B:$B=""Game"")))"),"")</f>
        <v/>
      </c>
      <c r="C371" s="7"/>
      <c r="D371" s="7"/>
      <c r="E371" s="7"/>
      <c r="F371" s="7"/>
      <c r="G371" s="7"/>
      <c r="H371" s="7"/>
      <c r="I371" s="7"/>
      <c r="J371" s="7"/>
      <c r="K371" s="7"/>
      <c r="L371" s="7"/>
      <c r="M371" s="7"/>
      <c r="N371" s="7"/>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c r="A372" s="112"/>
      <c r="B372" s="7" t="str">
        <f>IFERROR(__xludf.DUMMYFUNCTION("IF(A372="""","""",SUM(FILTER(#REF!,YEAR(FinishedData!$A:$A)=YEAR($A372),MONTH(FinishedData!$A:$A)=MONTH($A372),FinishedData!$B:$B=""Game"")))"),"")</f>
        <v/>
      </c>
      <c r="C372" s="7"/>
      <c r="D372" s="7"/>
      <c r="E372" s="7"/>
      <c r="F372" s="7"/>
      <c r="G372" s="7"/>
      <c r="H372" s="7"/>
      <c r="I372" s="7"/>
      <c r="J372" s="7"/>
      <c r="K372" s="7"/>
      <c r="L372" s="7"/>
      <c r="M372" s="7"/>
      <c r="N372" s="7"/>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c r="A373" s="112"/>
      <c r="B373" s="7" t="str">
        <f>IFERROR(__xludf.DUMMYFUNCTION("IF(A373="""","""",SUM(FILTER(#REF!,YEAR(FinishedData!$A:$A)=YEAR($A373),MONTH(FinishedData!$A:$A)=MONTH($A373),FinishedData!$B:$B=""Game"")))"),"")</f>
        <v/>
      </c>
      <c r="C373" s="7"/>
      <c r="D373" s="7"/>
      <c r="E373" s="7"/>
      <c r="F373" s="7"/>
      <c r="G373" s="7"/>
      <c r="H373" s="7"/>
      <c r="I373" s="7"/>
      <c r="J373" s="7"/>
      <c r="K373" s="7"/>
      <c r="L373" s="7"/>
      <c r="M373" s="7"/>
      <c r="N373" s="7"/>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c r="A374" s="112"/>
      <c r="B374" s="7" t="str">
        <f>IFERROR(__xludf.DUMMYFUNCTION("IF(A374="""","""",SUM(FILTER(#REF!,YEAR(FinishedData!$A:$A)=YEAR($A374),MONTH(FinishedData!$A:$A)=MONTH($A374),FinishedData!$B:$B=""Game"")))"),"")</f>
        <v/>
      </c>
      <c r="C374" s="7"/>
      <c r="D374" s="7"/>
      <c r="E374" s="7"/>
      <c r="F374" s="7"/>
      <c r="G374" s="7"/>
      <c r="H374" s="7"/>
      <c r="I374" s="7"/>
      <c r="J374" s="7"/>
      <c r="K374" s="7"/>
      <c r="L374" s="7"/>
      <c r="M374" s="7"/>
      <c r="N374" s="7"/>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c r="A375" s="112"/>
      <c r="B375" s="7" t="str">
        <f>IFERROR(__xludf.DUMMYFUNCTION("IF(A375="""","""",SUM(FILTER(#REF!,YEAR(FinishedData!$A:$A)=YEAR($A375),MONTH(FinishedData!$A:$A)=MONTH($A375),FinishedData!$B:$B=""Game"")))"),"")</f>
        <v/>
      </c>
      <c r="C375" s="7"/>
      <c r="D375" s="7"/>
      <c r="E375" s="7"/>
      <c r="F375" s="7"/>
      <c r="G375" s="7"/>
      <c r="H375" s="7"/>
      <c r="I375" s="7"/>
      <c r="J375" s="7"/>
      <c r="K375" s="7"/>
      <c r="L375" s="7"/>
      <c r="M375" s="7"/>
      <c r="N375" s="7"/>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c r="A376" s="112"/>
      <c r="B376" s="7" t="str">
        <f>IFERROR(__xludf.DUMMYFUNCTION("IF(A376="""","""",SUM(FILTER(#REF!,YEAR(FinishedData!$A:$A)=YEAR($A376),MONTH(FinishedData!$A:$A)=MONTH($A376),FinishedData!$B:$B=""Game"")))"),"")</f>
        <v/>
      </c>
      <c r="C376" s="7"/>
      <c r="D376" s="7"/>
      <c r="E376" s="7"/>
      <c r="F376" s="7"/>
      <c r="G376" s="7"/>
      <c r="H376" s="7"/>
      <c r="I376" s="7"/>
      <c r="J376" s="7"/>
      <c r="K376" s="7"/>
      <c r="L376" s="7"/>
      <c r="M376" s="7"/>
      <c r="N376" s="7"/>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c r="A377" s="112"/>
      <c r="B377" s="7" t="str">
        <f>IFERROR(__xludf.DUMMYFUNCTION("IF(A377="""","""",SUM(FILTER(#REF!,YEAR(FinishedData!$A:$A)=YEAR($A377),MONTH(FinishedData!$A:$A)=MONTH($A377),FinishedData!$B:$B=""Game"")))"),"")</f>
        <v/>
      </c>
      <c r="C377" s="7"/>
      <c r="D377" s="7"/>
      <c r="E377" s="7"/>
      <c r="F377" s="7"/>
      <c r="G377" s="7"/>
      <c r="H377" s="7"/>
      <c r="I377" s="7"/>
      <c r="J377" s="7"/>
      <c r="K377" s="7"/>
      <c r="L377" s="7"/>
      <c r="M377" s="7"/>
      <c r="N377" s="7"/>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c r="A378" s="112"/>
      <c r="B378" s="7" t="str">
        <f>IFERROR(__xludf.DUMMYFUNCTION("IF(A378="""","""",SUM(FILTER(#REF!,YEAR(FinishedData!$A:$A)=YEAR($A378),MONTH(FinishedData!$A:$A)=MONTH($A378),FinishedData!$B:$B=""Game"")))"),"")</f>
        <v/>
      </c>
      <c r="C378" s="7"/>
      <c r="D378" s="7"/>
      <c r="E378" s="7"/>
      <c r="F378" s="7"/>
      <c r="G378" s="7"/>
      <c r="H378" s="7"/>
      <c r="I378" s="7"/>
      <c r="J378" s="7"/>
      <c r="K378" s="7"/>
      <c r="L378" s="7"/>
      <c r="M378" s="7"/>
      <c r="N378" s="7"/>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c r="A379" s="112"/>
      <c r="B379" s="7" t="str">
        <f>IFERROR(__xludf.DUMMYFUNCTION("IF(A379="""","""",SUM(FILTER(#REF!,YEAR(FinishedData!$A:$A)=YEAR($A379),MONTH(FinishedData!$A:$A)=MONTH($A379),FinishedData!$B:$B=""Game"")))"),"")</f>
        <v/>
      </c>
      <c r="C379" s="7"/>
      <c r="D379" s="7"/>
      <c r="E379" s="7"/>
      <c r="F379" s="7"/>
      <c r="G379" s="7"/>
      <c r="H379" s="7"/>
      <c r="I379" s="7"/>
      <c r="J379" s="7"/>
      <c r="K379" s="7"/>
      <c r="L379" s="7"/>
      <c r="M379" s="7"/>
      <c r="N379" s="7"/>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c r="A380" s="112"/>
      <c r="B380" s="7" t="str">
        <f>IFERROR(__xludf.DUMMYFUNCTION("IF(A380="""","""",SUM(FILTER(#REF!,YEAR(FinishedData!$A:$A)=YEAR($A380),MONTH(FinishedData!$A:$A)=MONTH($A380),FinishedData!$B:$B=""Game"")))"),"")</f>
        <v/>
      </c>
      <c r="C380" s="7"/>
      <c r="D380" s="7"/>
      <c r="E380" s="7"/>
      <c r="F380" s="7"/>
      <c r="G380" s="7"/>
      <c r="H380" s="7"/>
      <c r="I380" s="7"/>
      <c r="J380" s="7"/>
      <c r="K380" s="7"/>
      <c r="L380" s="7"/>
      <c r="M380" s="7"/>
      <c r="N380" s="7"/>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c r="A381" s="112"/>
      <c r="B381" s="7" t="str">
        <f>IFERROR(__xludf.DUMMYFUNCTION("IF(A381="""","""",SUM(FILTER(#REF!,YEAR(FinishedData!$A:$A)=YEAR($A381),MONTH(FinishedData!$A:$A)=MONTH($A381),FinishedData!$B:$B=""Game"")))"),"")</f>
        <v/>
      </c>
      <c r="C381" s="7"/>
      <c r="D381" s="7"/>
      <c r="E381" s="7"/>
      <c r="F381" s="7"/>
      <c r="G381" s="7"/>
      <c r="H381" s="7"/>
      <c r="I381" s="7"/>
      <c r="J381" s="7"/>
      <c r="K381" s="7"/>
      <c r="L381" s="7"/>
      <c r="M381" s="7"/>
      <c r="N381" s="7"/>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c r="A382" s="112"/>
      <c r="B382" s="7" t="str">
        <f>IFERROR(__xludf.DUMMYFUNCTION("IF(A382="""","""",SUM(FILTER(#REF!,YEAR(FinishedData!$A:$A)=YEAR($A382),MONTH(FinishedData!$A:$A)=MONTH($A382),FinishedData!$B:$B=""Game"")))"),"")</f>
        <v/>
      </c>
      <c r="C382" s="7"/>
      <c r="D382" s="7"/>
      <c r="E382" s="7"/>
      <c r="F382" s="7"/>
      <c r="G382" s="7"/>
      <c r="H382" s="7"/>
      <c r="I382" s="7"/>
      <c r="J382" s="7"/>
      <c r="K382" s="7"/>
      <c r="L382" s="7"/>
      <c r="M382" s="7"/>
      <c r="N382" s="7"/>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c r="A383" s="112"/>
      <c r="B383" s="7" t="str">
        <f>IFERROR(__xludf.DUMMYFUNCTION("IF(A383="""","""",SUM(FILTER(#REF!,YEAR(FinishedData!$A:$A)=YEAR($A383),MONTH(FinishedData!$A:$A)=MONTH($A383),FinishedData!$B:$B=""Game"")))"),"")</f>
        <v/>
      </c>
      <c r="C383" s="7"/>
      <c r="D383" s="7"/>
      <c r="E383" s="7"/>
      <c r="F383" s="7"/>
      <c r="G383" s="7"/>
      <c r="H383" s="7"/>
      <c r="I383" s="7"/>
      <c r="J383" s="7"/>
      <c r="K383" s="7"/>
      <c r="L383" s="7"/>
      <c r="M383" s="7"/>
      <c r="N383" s="7"/>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c r="A384" s="112"/>
      <c r="B384" s="7" t="str">
        <f>IFERROR(__xludf.DUMMYFUNCTION("IF(A384="""","""",SUM(FILTER(#REF!,YEAR(FinishedData!$A:$A)=YEAR($A384),MONTH(FinishedData!$A:$A)=MONTH($A384),FinishedData!$B:$B=""Game"")))"),"")</f>
        <v/>
      </c>
      <c r="C384" s="7"/>
      <c r="D384" s="7"/>
      <c r="E384" s="7"/>
      <c r="F384" s="7"/>
      <c r="G384" s="7"/>
      <c r="H384" s="7"/>
      <c r="I384" s="7"/>
      <c r="J384" s="7"/>
      <c r="K384" s="7"/>
      <c r="L384" s="7"/>
      <c r="M384" s="7"/>
      <c r="N384" s="7"/>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c r="A385" s="112"/>
      <c r="B385" s="7" t="str">
        <f>IFERROR(__xludf.DUMMYFUNCTION("IF(A385="""","""",SUM(FILTER(#REF!,YEAR(FinishedData!$A:$A)=YEAR($A385),MONTH(FinishedData!$A:$A)=MONTH($A385),FinishedData!$B:$B=""Game"")))"),"")</f>
        <v/>
      </c>
      <c r="C385" s="7"/>
      <c r="D385" s="7"/>
      <c r="E385" s="7"/>
      <c r="F385" s="7"/>
      <c r="G385" s="7"/>
      <c r="H385" s="7"/>
      <c r="I385" s="7"/>
      <c r="J385" s="7"/>
      <c r="K385" s="7"/>
      <c r="L385" s="7"/>
      <c r="M385" s="7"/>
      <c r="N385" s="7"/>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c r="A386" s="112"/>
      <c r="B386" s="7" t="str">
        <f>IFERROR(__xludf.DUMMYFUNCTION("IF(A386="""","""",SUM(FILTER(#REF!,YEAR(FinishedData!$A:$A)=YEAR($A386),MONTH(FinishedData!$A:$A)=MONTH($A386),FinishedData!$B:$B=""Game"")))"),"")</f>
        <v/>
      </c>
      <c r="C386" s="7"/>
      <c r="D386" s="7"/>
      <c r="E386" s="7"/>
      <c r="F386" s="7"/>
      <c r="G386" s="7"/>
      <c r="H386" s="7"/>
      <c r="I386" s="7"/>
      <c r="J386" s="7"/>
      <c r="K386" s="7"/>
      <c r="L386" s="7"/>
      <c r="M386" s="7"/>
      <c r="N386" s="7"/>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c r="A387" s="112"/>
      <c r="B387" s="7" t="str">
        <f>IFERROR(__xludf.DUMMYFUNCTION("IF(A387="""","""",SUM(FILTER(#REF!,YEAR(FinishedData!$A:$A)=YEAR($A387),MONTH(FinishedData!$A:$A)=MONTH($A387),FinishedData!$B:$B=""Game"")))"),"")</f>
        <v/>
      </c>
      <c r="C387" s="7"/>
      <c r="D387" s="7"/>
      <c r="E387" s="7"/>
      <c r="F387" s="7"/>
      <c r="G387" s="7"/>
      <c r="H387" s="7"/>
      <c r="I387" s="7"/>
      <c r="J387" s="7"/>
      <c r="K387" s="7"/>
      <c r="L387" s="7"/>
      <c r="M387" s="7"/>
      <c r="N387" s="7"/>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c r="A388" s="112"/>
      <c r="B388" s="7" t="str">
        <f>IFERROR(__xludf.DUMMYFUNCTION("IF(A388="""","""",SUM(FILTER(#REF!,YEAR(FinishedData!$A:$A)=YEAR($A388),MONTH(FinishedData!$A:$A)=MONTH($A388),FinishedData!$B:$B=""Game"")))"),"")</f>
        <v/>
      </c>
      <c r="C388" s="7"/>
      <c r="D388" s="7"/>
      <c r="E388" s="7"/>
      <c r="F388" s="7"/>
      <c r="G388" s="7"/>
      <c r="H388" s="7"/>
      <c r="I388" s="7"/>
      <c r="J388" s="7"/>
      <c r="K388" s="7"/>
      <c r="L388" s="7"/>
      <c r="M388" s="7"/>
      <c r="N388" s="7"/>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c r="A389" s="112"/>
      <c r="B389" s="7" t="str">
        <f>IFERROR(__xludf.DUMMYFUNCTION("IF(A389="""","""",SUM(FILTER(#REF!,YEAR(FinishedData!$A:$A)=YEAR($A389),MONTH(FinishedData!$A:$A)=MONTH($A389),FinishedData!$B:$B=""Game"")))"),"")</f>
        <v/>
      </c>
      <c r="C389" s="7"/>
      <c r="D389" s="7"/>
      <c r="E389" s="7"/>
      <c r="F389" s="7"/>
      <c r="G389" s="7"/>
      <c r="H389" s="7"/>
      <c r="I389" s="7"/>
      <c r="J389" s="7"/>
      <c r="K389" s="7"/>
      <c r="L389" s="7"/>
      <c r="M389" s="7"/>
      <c r="N389" s="7"/>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c r="A390" s="112"/>
      <c r="B390" s="7" t="str">
        <f>IFERROR(__xludf.DUMMYFUNCTION("IF(A390="""","""",SUM(FILTER(#REF!,YEAR(FinishedData!$A:$A)=YEAR($A390),MONTH(FinishedData!$A:$A)=MONTH($A390),FinishedData!$B:$B=""Game"")))"),"")</f>
        <v/>
      </c>
      <c r="C390" s="7"/>
      <c r="D390" s="7"/>
      <c r="E390" s="7"/>
      <c r="F390" s="7"/>
      <c r="G390" s="7"/>
      <c r="H390" s="7"/>
      <c r="I390" s="7"/>
      <c r="J390" s="7"/>
      <c r="K390" s="7"/>
      <c r="L390" s="7"/>
      <c r="M390" s="7"/>
      <c r="N390" s="7"/>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c r="A391" s="112"/>
      <c r="B391" s="7" t="str">
        <f>IFERROR(__xludf.DUMMYFUNCTION("IF(A391="""","""",SUM(FILTER(#REF!,YEAR(FinishedData!$A:$A)=YEAR($A391),MONTH(FinishedData!$A:$A)=MONTH($A391),FinishedData!$B:$B=""Game"")))"),"")</f>
        <v/>
      </c>
      <c r="C391" s="7"/>
      <c r="D391" s="7"/>
      <c r="E391" s="7"/>
      <c r="F391" s="7"/>
      <c r="G391" s="7"/>
      <c r="H391" s="7"/>
      <c r="I391" s="7"/>
      <c r="J391" s="7"/>
      <c r="K391" s="7"/>
      <c r="L391" s="7"/>
      <c r="M391" s="7"/>
      <c r="N391" s="7"/>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c r="A392" s="112"/>
      <c r="B392" s="7" t="str">
        <f>IFERROR(__xludf.DUMMYFUNCTION("IF(A392="""","""",SUM(FILTER(#REF!,YEAR(FinishedData!$A:$A)=YEAR($A392),MONTH(FinishedData!$A:$A)=MONTH($A392),FinishedData!$B:$B=""Game"")))"),"")</f>
        <v/>
      </c>
      <c r="C392" s="7"/>
      <c r="D392" s="7"/>
      <c r="E392" s="7"/>
      <c r="F392" s="7"/>
      <c r="G392" s="7"/>
      <c r="H392" s="7"/>
      <c r="I392" s="7"/>
      <c r="J392" s="7"/>
      <c r="K392" s="7"/>
      <c r="L392" s="7"/>
      <c r="M392" s="7"/>
      <c r="N392" s="7"/>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c r="A393" s="112"/>
      <c r="B393" s="7" t="str">
        <f>IFERROR(__xludf.DUMMYFUNCTION("IF(A393="""","""",SUM(FILTER(#REF!,YEAR(FinishedData!$A:$A)=YEAR($A393),MONTH(FinishedData!$A:$A)=MONTH($A393),FinishedData!$B:$B=""Game"")))"),"")</f>
        <v/>
      </c>
      <c r="C393" s="7"/>
      <c r="D393" s="7"/>
      <c r="E393" s="7"/>
      <c r="F393" s="7"/>
      <c r="G393" s="7"/>
      <c r="H393" s="7"/>
      <c r="I393" s="7"/>
      <c r="J393" s="7"/>
      <c r="K393" s="7"/>
      <c r="L393" s="7"/>
      <c r="M393" s="7"/>
      <c r="N393" s="7"/>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c r="A394" s="112"/>
      <c r="B394" s="7" t="str">
        <f>IFERROR(__xludf.DUMMYFUNCTION("IF(A394="""","""",SUM(FILTER(#REF!,YEAR(FinishedData!$A:$A)=YEAR($A394),MONTH(FinishedData!$A:$A)=MONTH($A394),FinishedData!$B:$B=""Game"")))"),"")</f>
        <v/>
      </c>
      <c r="C394" s="7"/>
      <c r="D394" s="7"/>
      <c r="E394" s="7"/>
      <c r="F394" s="7"/>
      <c r="G394" s="7"/>
      <c r="H394" s="7"/>
      <c r="I394" s="7"/>
      <c r="J394" s="7"/>
      <c r="K394" s="7"/>
      <c r="L394" s="7"/>
      <c r="M394" s="7"/>
      <c r="N394" s="7"/>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c r="A395" s="112"/>
      <c r="B395" s="7" t="str">
        <f>IFERROR(__xludf.DUMMYFUNCTION("IF(A395="""","""",SUM(FILTER(#REF!,YEAR(FinishedData!$A:$A)=YEAR($A395),MONTH(FinishedData!$A:$A)=MONTH($A395),FinishedData!$B:$B=""Game"")))"),"")</f>
        <v/>
      </c>
      <c r="C395" s="7"/>
      <c r="D395" s="7"/>
      <c r="E395" s="7"/>
      <c r="F395" s="7"/>
      <c r="G395" s="7"/>
      <c r="H395" s="7"/>
      <c r="I395" s="7"/>
      <c r="J395" s="7"/>
      <c r="K395" s="7"/>
      <c r="L395" s="7"/>
      <c r="M395" s="7"/>
      <c r="N395" s="7"/>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c r="A396" s="112"/>
      <c r="B396" s="7" t="str">
        <f>IFERROR(__xludf.DUMMYFUNCTION("IF(A396="""","""",SUM(FILTER(#REF!,YEAR(FinishedData!$A:$A)=YEAR($A396),MONTH(FinishedData!$A:$A)=MONTH($A396),FinishedData!$B:$B=""Game"")))"),"")</f>
        <v/>
      </c>
      <c r="C396" s="7"/>
      <c r="D396" s="7"/>
      <c r="E396" s="7"/>
      <c r="F396" s="7"/>
      <c r="G396" s="7"/>
      <c r="H396" s="7"/>
      <c r="I396" s="7"/>
      <c r="J396" s="7"/>
      <c r="K396" s="7"/>
      <c r="L396" s="7"/>
      <c r="M396" s="7"/>
      <c r="N396" s="7"/>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c r="A397" s="112"/>
      <c r="B397" s="7" t="str">
        <f>IFERROR(__xludf.DUMMYFUNCTION("IF(A397="""","""",SUM(FILTER(#REF!,YEAR(FinishedData!$A:$A)=YEAR($A397),MONTH(FinishedData!$A:$A)=MONTH($A397),FinishedData!$B:$B=""Game"")))"),"")</f>
        <v/>
      </c>
      <c r="C397" s="7"/>
      <c r="D397" s="7"/>
      <c r="E397" s="7"/>
      <c r="F397" s="7"/>
      <c r="G397" s="7"/>
      <c r="H397" s="7"/>
      <c r="I397" s="7"/>
      <c r="J397" s="7"/>
      <c r="K397" s="7"/>
      <c r="L397" s="7"/>
      <c r="M397" s="7"/>
      <c r="N397" s="7"/>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c r="A398" s="112"/>
      <c r="B398" s="7" t="str">
        <f>IFERROR(__xludf.DUMMYFUNCTION("IF(A398="""","""",SUM(FILTER(#REF!,YEAR(FinishedData!$A:$A)=YEAR($A398),MONTH(FinishedData!$A:$A)=MONTH($A398),FinishedData!$B:$B=""Game"")))"),"")</f>
        <v/>
      </c>
      <c r="C398" s="7"/>
      <c r="D398" s="7"/>
      <c r="E398" s="7"/>
      <c r="F398" s="7"/>
      <c r="G398" s="7"/>
      <c r="H398" s="7"/>
      <c r="I398" s="7"/>
      <c r="J398" s="7"/>
      <c r="K398" s="7"/>
      <c r="L398" s="7"/>
      <c r="M398" s="7"/>
      <c r="N398" s="7"/>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c r="A399" s="112"/>
      <c r="B399" s="7" t="str">
        <f>IFERROR(__xludf.DUMMYFUNCTION("IF(A399="""","""",SUM(FILTER(#REF!,YEAR(FinishedData!$A:$A)=YEAR($A399),MONTH(FinishedData!$A:$A)=MONTH($A399),FinishedData!$B:$B=""Game"")))"),"")</f>
        <v/>
      </c>
      <c r="C399" s="7"/>
      <c r="D399" s="7"/>
      <c r="E399" s="7"/>
      <c r="F399" s="7"/>
      <c r="G399" s="7"/>
      <c r="H399" s="7"/>
      <c r="I399" s="7"/>
      <c r="J399" s="7"/>
      <c r="K399" s="7"/>
      <c r="L399" s="7"/>
      <c r="M399" s="7"/>
      <c r="N399" s="7"/>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c r="A400" s="112"/>
      <c r="B400" s="7" t="str">
        <f>IFERROR(__xludf.DUMMYFUNCTION("IF(A400="""","""",SUM(FILTER(#REF!,YEAR(FinishedData!$A:$A)=YEAR($A400),MONTH(FinishedData!$A:$A)=MONTH($A400),FinishedData!$B:$B=""Game"")))"),"")</f>
        <v/>
      </c>
      <c r="C400" s="7"/>
      <c r="D400" s="7"/>
      <c r="E400" s="7"/>
      <c r="F400" s="7"/>
      <c r="G400" s="7"/>
      <c r="H400" s="7"/>
      <c r="I400" s="7"/>
      <c r="J400" s="7"/>
      <c r="K400" s="7"/>
      <c r="L400" s="7"/>
      <c r="M400" s="7"/>
      <c r="N400" s="7"/>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c r="A401" s="112"/>
      <c r="B401" s="7" t="str">
        <f>IFERROR(__xludf.DUMMYFUNCTION("IF(A401="""","""",SUM(FILTER(#REF!,YEAR(FinishedData!$A:$A)=YEAR($A401),MONTH(FinishedData!$A:$A)=MONTH($A401),FinishedData!$B:$B=""Game"")))"),"")</f>
        <v/>
      </c>
      <c r="C401" s="7"/>
      <c r="D401" s="7"/>
      <c r="E401" s="7"/>
      <c r="F401" s="7"/>
      <c r="G401" s="7"/>
      <c r="H401" s="7"/>
      <c r="I401" s="7"/>
      <c r="J401" s="7"/>
      <c r="K401" s="7"/>
      <c r="L401" s="7"/>
      <c r="M401" s="7"/>
      <c r="N401" s="7"/>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c r="A402" s="112"/>
      <c r="B402" s="7" t="str">
        <f>IFERROR(__xludf.DUMMYFUNCTION("IF(A402="""","""",SUM(FILTER(#REF!,YEAR(FinishedData!$A:$A)=YEAR($A402),MONTH(FinishedData!$A:$A)=MONTH($A402),FinishedData!$B:$B=""Game"")))"),"")</f>
        <v/>
      </c>
      <c r="C402" s="7"/>
      <c r="D402" s="7"/>
      <c r="E402" s="7"/>
      <c r="F402" s="7"/>
      <c r="G402" s="7"/>
      <c r="H402" s="7"/>
      <c r="I402" s="7"/>
      <c r="J402" s="7"/>
      <c r="K402" s="7"/>
      <c r="L402" s="7"/>
      <c r="M402" s="7"/>
      <c r="N402" s="7"/>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c r="A403" s="112"/>
      <c r="B403" s="7" t="str">
        <f>IFERROR(__xludf.DUMMYFUNCTION("IF(A403="""","""",SUM(FILTER(#REF!,YEAR(FinishedData!$A:$A)=YEAR($A403),MONTH(FinishedData!$A:$A)=MONTH($A403),FinishedData!$B:$B=""Game"")))"),"")</f>
        <v/>
      </c>
      <c r="C403" s="7"/>
      <c r="D403" s="7"/>
      <c r="E403" s="7"/>
      <c r="F403" s="7"/>
      <c r="G403" s="7"/>
      <c r="H403" s="7"/>
      <c r="I403" s="7"/>
      <c r="J403" s="7"/>
      <c r="K403" s="7"/>
      <c r="L403" s="7"/>
      <c r="M403" s="7"/>
      <c r="N403" s="7"/>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c r="A404" s="112"/>
      <c r="B404" s="7" t="str">
        <f>IFERROR(__xludf.DUMMYFUNCTION("IF(A404="""","""",SUM(FILTER(#REF!,YEAR(FinishedData!$A:$A)=YEAR($A404),MONTH(FinishedData!$A:$A)=MONTH($A404),FinishedData!$B:$B=""Game"")))"),"")</f>
        <v/>
      </c>
      <c r="C404" s="7"/>
      <c r="D404" s="7"/>
      <c r="E404" s="7"/>
      <c r="F404" s="7"/>
      <c r="G404" s="7"/>
      <c r="H404" s="7"/>
      <c r="I404" s="7"/>
      <c r="J404" s="7"/>
      <c r="K404" s="7"/>
      <c r="L404" s="7"/>
      <c r="M404" s="7"/>
      <c r="N404" s="7"/>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c r="A405" s="112"/>
      <c r="B405" s="7" t="str">
        <f>IFERROR(__xludf.DUMMYFUNCTION("IF(A405="""","""",SUM(FILTER(#REF!,YEAR(FinishedData!$A:$A)=YEAR($A405),MONTH(FinishedData!$A:$A)=MONTH($A405),FinishedData!$B:$B=""Game"")))"),"")</f>
        <v/>
      </c>
      <c r="C405" s="7"/>
      <c r="D405" s="7"/>
      <c r="E405" s="7"/>
      <c r="F405" s="7"/>
      <c r="G405" s="7"/>
      <c r="H405" s="7"/>
      <c r="I405" s="7"/>
      <c r="J405" s="7"/>
      <c r="K405" s="7"/>
      <c r="L405" s="7"/>
      <c r="M405" s="7"/>
      <c r="N405" s="7"/>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c r="A406" s="112"/>
      <c r="B406" s="7" t="str">
        <f>IFERROR(__xludf.DUMMYFUNCTION("IF(A406="""","""",SUM(FILTER(#REF!,YEAR(FinishedData!$A:$A)=YEAR($A406),MONTH(FinishedData!$A:$A)=MONTH($A406),FinishedData!$B:$B=""Game"")))"),"")</f>
        <v/>
      </c>
      <c r="C406" s="7"/>
      <c r="D406" s="7"/>
      <c r="E406" s="7"/>
      <c r="F406" s="7"/>
      <c r="G406" s="7"/>
      <c r="H406" s="7"/>
      <c r="I406" s="7"/>
      <c r="J406" s="7"/>
      <c r="K406" s="7"/>
      <c r="L406" s="7"/>
      <c r="M406" s="7"/>
      <c r="N406" s="7"/>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c r="A407" s="112"/>
      <c r="B407" s="7" t="str">
        <f>IFERROR(__xludf.DUMMYFUNCTION("IF(A407="""","""",SUM(FILTER(#REF!,YEAR(FinishedData!$A:$A)=YEAR($A407),MONTH(FinishedData!$A:$A)=MONTH($A407),FinishedData!$B:$B=""Game"")))"),"")</f>
        <v/>
      </c>
      <c r="C407" s="7"/>
      <c r="D407" s="7"/>
      <c r="E407" s="7"/>
      <c r="F407" s="7"/>
      <c r="G407" s="7"/>
      <c r="H407" s="7"/>
      <c r="I407" s="7"/>
      <c r="J407" s="7"/>
      <c r="K407" s="7"/>
      <c r="L407" s="7"/>
      <c r="M407" s="7"/>
      <c r="N407" s="7"/>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c r="A408" s="112"/>
      <c r="B408" s="7" t="str">
        <f>IFERROR(__xludf.DUMMYFUNCTION("IF(A408="""","""",SUM(FILTER(#REF!,YEAR(FinishedData!$A:$A)=YEAR($A408),MONTH(FinishedData!$A:$A)=MONTH($A408),FinishedData!$B:$B=""Game"")))"),"")</f>
        <v/>
      </c>
      <c r="C408" s="7"/>
      <c r="D408" s="7"/>
      <c r="E408" s="7"/>
      <c r="F408" s="7"/>
      <c r="G408" s="7"/>
      <c r="H408" s="7"/>
      <c r="I408" s="7"/>
      <c r="J408" s="7"/>
      <c r="K408" s="7"/>
      <c r="L408" s="7"/>
      <c r="M408" s="7"/>
      <c r="N408" s="7"/>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c r="A409" s="112"/>
      <c r="B409" s="7" t="str">
        <f>IFERROR(__xludf.DUMMYFUNCTION("IF(A409="""","""",SUM(FILTER(#REF!,YEAR(FinishedData!$A:$A)=YEAR($A409),MONTH(FinishedData!$A:$A)=MONTH($A409),FinishedData!$B:$B=""Game"")))"),"")</f>
        <v/>
      </c>
      <c r="C409" s="7"/>
      <c r="D409" s="7"/>
      <c r="E409" s="7"/>
      <c r="F409" s="7"/>
      <c r="G409" s="7"/>
      <c r="H409" s="7"/>
      <c r="I409" s="7"/>
      <c r="J409" s="7"/>
      <c r="K409" s="7"/>
      <c r="L409" s="7"/>
      <c r="M409" s="7"/>
      <c r="N409" s="7"/>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c r="A410" s="112"/>
      <c r="B410" s="7" t="str">
        <f>IFERROR(__xludf.DUMMYFUNCTION("IF(A410="""","""",SUM(FILTER(#REF!,YEAR(FinishedData!$A:$A)=YEAR($A410),MONTH(FinishedData!$A:$A)=MONTH($A410),FinishedData!$B:$B=""Game"")))"),"")</f>
        <v/>
      </c>
      <c r="C410" s="7"/>
      <c r="D410" s="7"/>
      <c r="E410" s="7"/>
      <c r="F410" s="7"/>
      <c r="G410" s="7"/>
      <c r="H410" s="7"/>
      <c r="I410" s="7"/>
      <c r="J410" s="7"/>
      <c r="K410" s="7"/>
      <c r="L410" s="7"/>
      <c r="M410" s="7"/>
      <c r="N410" s="7"/>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c r="A411" s="112"/>
      <c r="B411" s="7" t="str">
        <f>IFERROR(__xludf.DUMMYFUNCTION("IF(A411="""","""",SUM(FILTER(#REF!,YEAR(FinishedData!$A:$A)=YEAR($A411),MONTH(FinishedData!$A:$A)=MONTH($A411),FinishedData!$B:$B=""Game"")))"),"")</f>
        <v/>
      </c>
      <c r="C411" s="7"/>
      <c r="D411" s="7"/>
      <c r="E411" s="7"/>
      <c r="F411" s="7"/>
      <c r="G411" s="7"/>
      <c r="H411" s="7"/>
      <c r="I411" s="7"/>
      <c r="J411" s="7"/>
      <c r="K411" s="7"/>
      <c r="L411" s="7"/>
      <c r="M411" s="7"/>
      <c r="N411" s="7"/>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c r="A412" s="112"/>
      <c r="B412" s="7" t="str">
        <f>IFERROR(__xludf.DUMMYFUNCTION("IF(A412="""","""",SUM(FILTER(#REF!,YEAR(FinishedData!$A:$A)=YEAR($A412),MONTH(FinishedData!$A:$A)=MONTH($A412),FinishedData!$B:$B=""Game"")))"),"")</f>
        <v/>
      </c>
      <c r="C412" s="7"/>
      <c r="D412" s="7"/>
      <c r="E412" s="7"/>
      <c r="F412" s="7"/>
      <c r="G412" s="7"/>
      <c r="H412" s="7"/>
      <c r="I412" s="7"/>
      <c r="J412" s="7"/>
      <c r="K412" s="7"/>
      <c r="L412" s="7"/>
      <c r="M412" s="7"/>
      <c r="N412" s="7"/>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c r="A413" s="112"/>
      <c r="B413" s="7" t="str">
        <f>IFERROR(__xludf.DUMMYFUNCTION("IF(A413="""","""",SUM(FILTER(#REF!,YEAR(FinishedData!$A:$A)=YEAR($A413),MONTH(FinishedData!$A:$A)=MONTH($A413),FinishedData!$B:$B=""Game"")))"),"")</f>
        <v/>
      </c>
      <c r="C413" s="7"/>
      <c r="D413" s="7"/>
      <c r="E413" s="7"/>
      <c r="F413" s="7"/>
      <c r="G413" s="7"/>
      <c r="H413" s="7"/>
      <c r="I413" s="7"/>
      <c r="J413" s="7"/>
      <c r="K413" s="7"/>
      <c r="L413" s="7"/>
      <c r="M413" s="7"/>
      <c r="N413" s="7"/>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c r="A414" s="112"/>
      <c r="B414" s="7" t="str">
        <f>IFERROR(__xludf.DUMMYFUNCTION("IF(A414="""","""",SUM(FILTER(#REF!,YEAR(FinishedData!$A:$A)=YEAR($A414),MONTH(FinishedData!$A:$A)=MONTH($A414),FinishedData!$B:$B=""Game"")))"),"")</f>
        <v/>
      </c>
      <c r="C414" s="7"/>
      <c r="D414" s="7"/>
      <c r="E414" s="7"/>
      <c r="F414" s="7"/>
      <c r="G414" s="7"/>
      <c r="H414" s="7"/>
      <c r="I414" s="7"/>
      <c r="J414" s="7"/>
      <c r="K414" s="7"/>
      <c r="L414" s="7"/>
      <c r="M414" s="7"/>
      <c r="N414" s="7"/>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c r="A415" s="112"/>
      <c r="B415" s="7" t="str">
        <f>IFERROR(__xludf.DUMMYFUNCTION("IF(A415="""","""",SUM(FILTER(#REF!,YEAR(FinishedData!$A:$A)=YEAR($A415),MONTH(FinishedData!$A:$A)=MONTH($A415),FinishedData!$B:$B=""Game"")))"),"")</f>
        <v/>
      </c>
      <c r="C415" s="7"/>
      <c r="D415" s="7"/>
      <c r="E415" s="7"/>
      <c r="F415" s="7"/>
      <c r="G415" s="7"/>
      <c r="H415" s="7"/>
      <c r="I415" s="7"/>
      <c r="J415" s="7"/>
      <c r="K415" s="7"/>
      <c r="L415" s="7"/>
      <c r="M415" s="7"/>
      <c r="N415" s="7"/>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c r="A416" s="112"/>
      <c r="B416" s="7" t="str">
        <f>IFERROR(__xludf.DUMMYFUNCTION("IF(A416="""","""",SUM(FILTER(#REF!,YEAR(FinishedData!$A:$A)=YEAR($A416),MONTH(FinishedData!$A:$A)=MONTH($A416),FinishedData!$B:$B=""Game"")))"),"")</f>
        <v/>
      </c>
      <c r="C416" s="7"/>
      <c r="D416" s="7"/>
      <c r="E416" s="7"/>
      <c r="F416" s="7"/>
      <c r="G416" s="7"/>
      <c r="H416" s="7"/>
      <c r="I416" s="7"/>
      <c r="J416" s="7"/>
      <c r="K416" s="7"/>
      <c r="L416" s="7"/>
      <c r="M416" s="7"/>
      <c r="N416" s="7"/>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c r="A417" s="112"/>
      <c r="B417" s="7" t="str">
        <f>IFERROR(__xludf.DUMMYFUNCTION("IF(A417="""","""",SUM(FILTER(#REF!,YEAR(FinishedData!$A:$A)=YEAR($A417),MONTH(FinishedData!$A:$A)=MONTH($A417),FinishedData!$B:$B=""Game"")))"),"")</f>
        <v/>
      </c>
      <c r="C417" s="7"/>
      <c r="D417" s="7"/>
      <c r="E417" s="7"/>
      <c r="F417" s="7"/>
      <c r="G417" s="7"/>
      <c r="H417" s="7"/>
      <c r="I417" s="7"/>
      <c r="J417" s="7"/>
      <c r="K417" s="7"/>
      <c r="L417" s="7"/>
      <c r="M417" s="7"/>
      <c r="N417" s="7"/>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c r="A418" s="112"/>
      <c r="B418" s="7" t="str">
        <f>IFERROR(__xludf.DUMMYFUNCTION("IF(A418="""","""",SUM(FILTER(#REF!,YEAR(FinishedData!$A:$A)=YEAR($A418),MONTH(FinishedData!$A:$A)=MONTH($A418),FinishedData!$B:$B=""Game"")))"),"")</f>
        <v/>
      </c>
      <c r="C418" s="7"/>
      <c r="D418" s="7"/>
      <c r="E418" s="7"/>
      <c r="F418" s="7"/>
      <c r="G418" s="7"/>
      <c r="H418" s="7"/>
      <c r="I418" s="7"/>
      <c r="J418" s="7"/>
      <c r="K418" s="7"/>
      <c r="L418" s="7"/>
      <c r="M418" s="7"/>
      <c r="N418" s="7"/>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c r="A419" s="112"/>
      <c r="B419" s="7" t="str">
        <f>IFERROR(__xludf.DUMMYFUNCTION("IF(A419="""","""",SUM(FILTER(#REF!,YEAR(FinishedData!$A:$A)=YEAR($A419),MONTH(FinishedData!$A:$A)=MONTH($A419),FinishedData!$B:$B=""Game"")))"),"")</f>
        <v/>
      </c>
      <c r="C419" s="7"/>
      <c r="D419" s="7"/>
      <c r="E419" s="7"/>
      <c r="F419" s="7"/>
      <c r="G419" s="7"/>
      <c r="H419" s="7"/>
      <c r="I419" s="7"/>
      <c r="J419" s="7"/>
      <c r="K419" s="7"/>
      <c r="L419" s="7"/>
      <c r="M419" s="7"/>
      <c r="N419" s="7"/>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c r="A420" s="112"/>
      <c r="B420" s="7" t="str">
        <f>IFERROR(__xludf.DUMMYFUNCTION("IF(A420="""","""",SUM(FILTER(#REF!,YEAR(FinishedData!$A:$A)=YEAR($A420),MONTH(FinishedData!$A:$A)=MONTH($A420),FinishedData!$B:$B=""Game"")))"),"")</f>
        <v/>
      </c>
      <c r="C420" s="7"/>
      <c r="D420" s="7"/>
      <c r="E420" s="7"/>
      <c r="F420" s="7"/>
      <c r="G420" s="7"/>
      <c r="H420" s="7"/>
      <c r="I420" s="7"/>
      <c r="J420" s="7"/>
      <c r="K420" s="7"/>
      <c r="L420" s="7"/>
      <c r="M420" s="7"/>
      <c r="N420" s="7"/>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c r="A421" s="112"/>
      <c r="B421" s="7" t="str">
        <f>IFERROR(__xludf.DUMMYFUNCTION("IF(A421="""","""",SUM(FILTER(#REF!,YEAR(FinishedData!$A:$A)=YEAR($A421),MONTH(FinishedData!$A:$A)=MONTH($A421),FinishedData!$B:$B=""Game"")))"),"")</f>
        <v/>
      </c>
      <c r="C421" s="7"/>
      <c r="D421" s="7"/>
      <c r="E421" s="7"/>
      <c r="F421" s="7"/>
      <c r="G421" s="7"/>
      <c r="H421" s="7"/>
      <c r="I421" s="7"/>
      <c r="J421" s="7"/>
      <c r="K421" s="7"/>
      <c r="L421" s="7"/>
      <c r="M421" s="7"/>
      <c r="N421" s="7"/>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c r="A422" s="112"/>
      <c r="B422" s="7" t="str">
        <f>IFERROR(__xludf.DUMMYFUNCTION("IF(A422="""","""",SUM(FILTER(#REF!,YEAR(FinishedData!$A:$A)=YEAR($A422),MONTH(FinishedData!$A:$A)=MONTH($A422),FinishedData!$B:$B=""Game"")))"),"")</f>
        <v/>
      </c>
      <c r="C422" s="7"/>
      <c r="D422" s="7"/>
      <c r="E422" s="7"/>
      <c r="F422" s="7"/>
      <c r="G422" s="7"/>
      <c r="H422" s="7"/>
      <c r="I422" s="7"/>
      <c r="J422" s="7"/>
      <c r="K422" s="7"/>
      <c r="L422" s="7"/>
      <c r="M422" s="7"/>
      <c r="N422" s="7"/>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c r="A423" s="112"/>
      <c r="B423" s="7" t="str">
        <f>IFERROR(__xludf.DUMMYFUNCTION("IF(A423="""","""",SUM(FILTER(#REF!,YEAR(FinishedData!$A:$A)=YEAR($A423),MONTH(FinishedData!$A:$A)=MONTH($A423),FinishedData!$B:$B=""Game"")))"),"")</f>
        <v/>
      </c>
      <c r="C423" s="7"/>
      <c r="D423" s="7"/>
      <c r="E423" s="7"/>
      <c r="F423" s="7"/>
      <c r="G423" s="7"/>
      <c r="H423" s="7"/>
      <c r="I423" s="7"/>
      <c r="J423" s="7"/>
      <c r="K423" s="7"/>
      <c r="L423" s="7"/>
      <c r="M423" s="7"/>
      <c r="N423" s="7"/>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c r="A424" s="112"/>
      <c r="B424" s="7" t="str">
        <f>IFERROR(__xludf.DUMMYFUNCTION("IF(A424="""","""",SUM(FILTER(#REF!,YEAR(FinishedData!$A:$A)=YEAR($A424),MONTH(FinishedData!$A:$A)=MONTH($A424),FinishedData!$B:$B=""Game"")))"),"")</f>
        <v/>
      </c>
      <c r="C424" s="7"/>
      <c r="D424" s="7"/>
      <c r="E424" s="7"/>
      <c r="F424" s="7"/>
      <c r="G424" s="7"/>
      <c r="H424" s="7"/>
      <c r="I424" s="7"/>
      <c r="J424" s="7"/>
      <c r="K424" s="7"/>
      <c r="L424" s="7"/>
      <c r="M424" s="7"/>
      <c r="N424" s="7"/>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c r="A425" s="112"/>
      <c r="B425" s="7" t="str">
        <f>IFERROR(__xludf.DUMMYFUNCTION("IF(A425="""","""",SUM(FILTER(#REF!,YEAR(FinishedData!$A:$A)=YEAR($A425),MONTH(FinishedData!$A:$A)=MONTH($A425),FinishedData!$B:$B=""Game"")))"),"")</f>
        <v/>
      </c>
      <c r="C425" s="7"/>
      <c r="D425" s="7"/>
      <c r="E425" s="7"/>
      <c r="F425" s="7"/>
      <c r="G425" s="7"/>
      <c r="H425" s="7"/>
      <c r="I425" s="7"/>
      <c r="J425" s="7"/>
      <c r="K425" s="7"/>
      <c r="L425" s="7"/>
      <c r="M425" s="7"/>
      <c r="N425" s="7"/>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c r="A426" s="112"/>
      <c r="B426" s="7" t="str">
        <f>IFERROR(__xludf.DUMMYFUNCTION("IF(A426="""","""",SUM(FILTER(#REF!,YEAR(FinishedData!$A:$A)=YEAR($A426),MONTH(FinishedData!$A:$A)=MONTH($A426),FinishedData!$B:$B=""Game"")))"),"")</f>
        <v/>
      </c>
      <c r="C426" s="7"/>
      <c r="D426" s="7"/>
      <c r="E426" s="7"/>
      <c r="F426" s="7"/>
      <c r="G426" s="7"/>
      <c r="H426" s="7"/>
      <c r="I426" s="7"/>
      <c r="J426" s="7"/>
      <c r="K426" s="7"/>
      <c r="L426" s="7"/>
      <c r="M426" s="7"/>
      <c r="N426" s="7"/>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c r="A427" s="112"/>
      <c r="B427" s="7" t="str">
        <f>IFERROR(__xludf.DUMMYFUNCTION("IF(A427="""","""",SUM(FILTER(#REF!,YEAR(FinishedData!$A:$A)=YEAR($A427),MONTH(FinishedData!$A:$A)=MONTH($A427),FinishedData!$B:$B=""Game"")))"),"")</f>
        <v/>
      </c>
      <c r="C427" s="7"/>
      <c r="D427" s="7"/>
      <c r="E427" s="7"/>
      <c r="F427" s="7"/>
      <c r="G427" s="7"/>
      <c r="H427" s="7"/>
      <c r="I427" s="7"/>
      <c r="J427" s="7"/>
      <c r="K427" s="7"/>
      <c r="L427" s="7"/>
      <c r="M427" s="7"/>
      <c r="N427" s="7"/>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c r="A428" s="112"/>
      <c r="B428" s="7" t="str">
        <f>IFERROR(__xludf.DUMMYFUNCTION("IF(A428="""","""",SUM(FILTER(#REF!,YEAR(FinishedData!$A:$A)=YEAR($A428),MONTH(FinishedData!$A:$A)=MONTH($A428),FinishedData!$B:$B=""Game"")))"),"")</f>
        <v/>
      </c>
      <c r="C428" s="7"/>
      <c r="D428" s="7"/>
      <c r="E428" s="7"/>
      <c r="F428" s="7"/>
      <c r="G428" s="7"/>
      <c r="H428" s="7"/>
      <c r="I428" s="7"/>
      <c r="J428" s="7"/>
      <c r="K428" s="7"/>
      <c r="L428" s="7"/>
      <c r="M428" s="7"/>
      <c r="N428" s="7"/>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c r="A429" s="112"/>
      <c r="B429" s="7" t="str">
        <f>IFERROR(__xludf.DUMMYFUNCTION("IF(A429="""","""",SUM(FILTER(#REF!,YEAR(FinishedData!$A:$A)=YEAR($A429),MONTH(FinishedData!$A:$A)=MONTH($A429),FinishedData!$B:$B=""Game"")))"),"")</f>
        <v/>
      </c>
      <c r="C429" s="7"/>
      <c r="D429" s="7"/>
      <c r="E429" s="7"/>
      <c r="F429" s="7"/>
      <c r="G429" s="7"/>
      <c r="H429" s="7"/>
      <c r="I429" s="7"/>
      <c r="J429" s="7"/>
      <c r="K429" s="7"/>
      <c r="L429" s="7"/>
      <c r="M429" s="7"/>
      <c r="N429" s="7"/>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c r="A430" s="112"/>
      <c r="B430" s="7" t="str">
        <f>IFERROR(__xludf.DUMMYFUNCTION("IF(A430="""","""",SUM(FILTER(#REF!,YEAR(FinishedData!$A:$A)=YEAR($A430),MONTH(FinishedData!$A:$A)=MONTH($A430),FinishedData!$B:$B=""Game"")))"),"")</f>
        <v/>
      </c>
      <c r="C430" s="7"/>
      <c r="D430" s="7"/>
      <c r="E430" s="7"/>
      <c r="F430" s="7"/>
      <c r="G430" s="7"/>
      <c r="H430" s="7"/>
      <c r="I430" s="7"/>
      <c r="J430" s="7"/>
      <c r="K430" s="7"/>
      <c r="L430" s="7"/>
      <c r="M430" s="7"/>
      <c r="N430" s="7"/>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c r="A431" s="112"/>
      <c r="B431" s="7" t="str">
        <f>IFERROR(__xludf.DUMMYFUNCTION("IF(A431="""","""",SUM(FILTER(#REF!,YEAR(FinishedData!$A:$A)=YEAR($A431),MONTH(FinishedData!$A:$A)=MONTH($A431),FinishedData!$B:$B=""Game"")))"),"")</f>
        <v/>
      </c>
      <c r="C431" s="7"/>
      <c r="D431" s="7"/>
      <c r="E431" s="7"/>
      <c r="F431" s="7"/>
      <c r="G431" s="7"/>
      <c r="H431" s="7"/>
      <c r="I431" s="7"/>
      <c r="J431" s="7"/>
      <c r="K431" s="7"/>
      <c r="L431" s="7"/>
      <c r="M431" s="7"/>
      <c r="N431" s="7"/>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c r="A432" s="112"/>
      <c r="B432" s="7" t="str">
        <f>IFERROR(__xludf.DUMMYFUNCTION("IF(A432="""","""",SUM(FILTER(#REF!,YEAR(FinishedData!$A:$A)=YEAR($A432),MONTH(FinishedData!$A:$A)=MONTH($A432),FinishedData!$B:$B=""Game"")))"),"")</f>
        <v/>
      </c>
      <c r="C432" s="7"/>
      <c r="D432" s="7"/>
      <c r="E432" s="7"/>
      <c r="F432" s="7"/>
      <c r="G432" s="7"/>
      <c r="H432" s="7"/>
      <c r="I432" s="7"/>
      <c r="J432" s="7"/>
      <c r="K432" s="7"/>
      <c r="L432" s="7"/>
      <c r="M432" s="7"/>
      <c r="N432" s="7"/>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c r="A433" s="112"/>
      <c r="B433" s="7" t="str">
        <f>IFERROR(__xludf.DUMMYFUNCTION("IF(A433="""","""",SUM(FILTER(#REF!,YEAR(FinishedData!$A:$A)=YEAR($A433),MONTH(FinishedData!$A:$A)=MONTH($A433),FinishedData!$B:$B=""Game"")))"),"")</f>
        <v/>
      </c>
      <c r="C433" s="7"/>
      <c r="D433" s="7"/>
      <c r="E433" s="7"/>
      <c r="F433" s="7"/>
      <c r="G433" s="7"/>
      <c r="H433" s="7"/>
      <c r="I433" s="7"/>
      <c r="J433" s="7"/>
      <c r="K433" s="7"/>
      <c r="L433" s="7"/>
      <c r="M433" s="7"/>
      <c r="N433" s="7"/>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c r="A434" s="112"/>
      <c r="B434" s="7" t="str">
        <f>IFERROR(__xludf.DUMMYFUNCTION("IF(A434="""","""",SUM(FILTER(#REF!,YEAR(FinishedData!$A:$A)=YEAR($A434),MONTH(FinishedData!$A:$A)=MONTH($A434),FinishedData!$B:$B=""Game"")))"),"")</f>
        <v/>
      </c>
      <c r="C434" s="7"/>
      <c r="D434" s="7"/>
      <c r="E434" s="7"/>
      <c r="F434" s="7"/>
      <c r="G434" s="7"/>
      <c r="H434" s="7"/>
      <c r="I434" s="7"/>
      <c r="J434" s="7"/>
      <c r="K434" s="7"/>
      <c r="L434" s="7"/>
      <c r="M434" s="7"/>
      <c r="N434" s="7"/>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c r="A435" s="112"/>
      <c r="B435" s="7" t="str">
        <f>IFERROR(__xludf.DUMMYFUNCTION("IF(A435="""","""",SUM(FILTER(#REF!,YEAR(FinishedData!$A:$A)=YEAR($A435),MONTH(FinishedData!$A:$A)=MONTH($A435),FinishedData!$B:$B=""Game"")))"),"")</f>
        <v/>
      </c>
      <c r="C435" s="7"/>
      <c r="D435" s="7"/>
      <c r="E435" s="7"/>
      <c r="F435" s="7"/>
      <c r="G435" s="7"/>
      <c r="H435" s="7"/>
      <c r="I435" s="7"/>
      <c r="J435" s="7"/>
      <c r="K435" s="7"/>
      <c r="L435" s="7"/>
      <c r="M435" s="7"/>
      <c r="N435" s="7"/>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c r="A436" s="112"/>
      <c r="B436" s="7" t="str">
        <f>IFERROR(__xludf.DUMMYFUNCTION("IF(A436="""","""",SUM(FILTER(#REF!,YEAR(FinishedData!$A:$A)=YEAR($A436),MONTH(FinishedData!$A:$A)=MONTH($A436),FinishedData!$B:$B=""Game"")))"),"")</f>
        <v/>
      </c>
      <c r="C436" s="7"/>
      <c r="D436" s="7"/>
      <c r="E436" s="7"/>
      <c r="F436" s="7"/>
      <c r="G436" s="7"/>
      <c r="H436" s="7"/>
      <c r="I436" s="7"/>
      <c r="J436" s="7"/>
      <c r="K436" s="7"/>
      <c r="L436" s="7"/>
      <c r="M436" s="7"/>
      <c r="N436" s="7"/>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c r="A437" s="112"/>
      <c r="B437" s="7" t="str">
        <f>IFERROR(__xludf.DUMMYFUNCTION("IF(A437="""","""",SUM(FILTER(#REF!,YEAR(FinishedData!$A:$A)=YEAR($A437),MONTH(FinishedData!$A:$A)=MONTH($A437),FinishedData!$B:$B=""Game"")))"),"")</f>
        <v/>
      </c>
      <c r="C437" s="7"/>
      <c r="D437" s="7"/>
      <c r="E437" s="7"/>
      <c r="F437" s="7"/>
      <c r="G437" s="7"/>
      <c r="H437" s="7"/>
      <c r="I437" s="7"/>
      <c r="J437" s="7"/>
      <c r="K437" s="7"/>
      <c r="L437" s="7"/>
      <c r="M437" s="7"/>
      <c r="N437" s="7"/>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c r="A438" s="112"/>
      <c r="B438" s="7" t="str">
        <f>IFERROR(__xludf.DUMMYFUNCTION("IF(A438="""","""",SUM(FILTER(#REF!,YEAR(FinishedData!$A:$A)=YEAR($A438),MONTH(FinishedData!$A:$A)=MONTH($A438),FinishedData!$B:$B=""Game"")))"),"")</f>
        <v/>
      </c>
      <c r="C438" s="7"/>
      <c r="D438" s="7"/>
      <c r="E438" s="7"/>
      <c r="F438" s="7"/>
      <c r="G438" s="7"/>
      <c r="H438" s="7"/>
      <c r="I438" s="7"/>
      <c r="J438" s="7"/>
      <c r="K438" s="7"/>
      <c r="L438" s="7"/>
      <c r="M438" s="7"/>
      <c r="N438" s="7"/>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c r="A439" s="112"/>
      <c r="B439" s="7" t="str">
        <f>IFERROR(__xludf.DUMMYFUNCTION("IF(A439="""","""",SUM(FILTER(#REF!,YEAR(FinishedData!$A:$A)=YEAR($A439),MONTH(FinishedData!$A:$A)=MONTH($A439),FinishedData!$B:$B=""Game"")))"),"")</f>
        <v/>
      </c>
      <c r="C439" s="7"/>
      <c r="D439" s="7"/>
      <c r="E439" s="7"/>
      <c r="F439" s="7"/>
      <c r="G439" s="7"/>
      <c r="H439" s="7"/>
      <c r="I439" s="7"/>
      <c r="J439" s="7"/>
      <c r="K439" s="7"/>
      <c r="L439" s="7"/>
      <c r="M439" s="7"/>
      <c r="N439" s="7"/>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c r="A440" s="112"/>
      <c r="B440" s="7" t="str">
        <f>IFERROR(__xludf.DUMMYFUNCTION("IF(A440="""","""",SUM(FILTER(#REF!,YEAR(FinishedData!$A:$A)=YEAR($A440),MONTH(FinishedData!$A:$A)=MONTH($A440),FinishedData!$B:$B=""Game"")))"),"")</f>
        <v/>
      </c>
      <c r="C440" s="7"/>
      <c r="D440" s="7"/>
      <c r="E440" s="7"/>
      <c r="F440" s="7"/>
      <c r="G440" s="7"/>
      <c r="H440" s="7"/>
      <c r="I440" s="7"/>
      <c r="J440" s="7"/>
      <c r="K440" s="7"/>
      <c r="L440" s="7"/>
      <c r="M440" s="7"/>
      <c r="N440" s="7"/>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c r="A441" s="112"/>
      <c r="B441" s="7" t="str">
        <f>IFERROR(__xludf.DUMMYFUNCTION("IF(A441="""","""",SUM(FILTER(#REF!,YEAR(FinishedData!$A:$A)=YEAR($A441),MONTH(FinishedData!$A:$A)=MONTH($A441),FinishedData!$B:$B=""Game"")))"),"")</f>
        <v/>
      </c>
      <c r="C441" s="7"/>
      <c r="D441" s="7"/>
      <c r="E441" s="7"/>
      <c r="F441" s="7"/>
      <c r="G441" s="7"/>
      <c r="H441" s="7"/>
      <c r="I441" s="7"/>
      <c r="J441" s="7"/>
      <c r="K441" s="7"/>
      <c r="L441" s="7"/>
      <c r="M441" s="7"/>
      <c r="N441" s="7"/>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c r="A442" s="112"/>
      <c r="B442" s="7" t="str">
        <f>IFERROR(__xludf.DUMMYFUNCTION("IF(A442="""","""",SUM(FILTER(#REF!,YEAR(FinishedData!$A:$A)=YEAR($A442),MONTH(FinishedData!$A:$A)=MONTH($A442),FinishedData!$B:$B=""Game"")))"),"")</f>
        <v/>
      </c>
      <c r="C442" s="7"/>
      <c r="D442" s="7"/>
      <c r="E442" s="7"/>
      <c r="F442" s="7"/>
      <c r="G442" s="7"/>
      <c r="H442" s="7"/>
      <c r="I442" s="7"/>
      <c r="J442" s="7"/>
      <c r="K442" s="7"/>
      <c r="L442" s="7"/>
      <c r="M442" s="7"/>
      <c r="N442" s="7"/>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c r="A443" s="112"/>
      <c r="B443" s="7" t="str">
        <f>IFERROR(__xludf.DUMMYFUNCTION("IF(A443="""","""",SUM(FILTER(#REF!,YEAR(FinishedData!$A:$A)=YEAR($A443),MONTH(FinishedData!$A:$A)=MONTH($A443),FinishedData!$B:$B=""Game"")))"),"")</f>
        <v/>
      </c>
      <c r="C443" s="7"/>
      <c r="D443" s="7"/>
      <c r="E443" s="7"/>
      <c r="F443" s="7"/>
      <c r="G443" s="7"/>
      <c r="H443" s="7"/>
      <c r="I443" s="7"/>
      <c r="J443" s="7"/>
      <c r="K443" s="7"/>
      <c r="L443" s="7"/>
      <c r="M443" s="7"/>
      <c r="N443" s="7"/>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c r="A444" s="112"/>
      <c r="B444" s="7" t="str">
        <f>IFERROR(__xludf.DUMMYFUNCTION("IF(A444="""","""",SUM(FILTER(#REF!,YEAR(FinishedData!$A:$A)=YEAR($A444),MONTH(FinishedData!$A:$A)=MONTH($A444),FinishedData!$B:$B=""Game"")))"),"")</f>
        <v/>
      </c>
      <c r="C444" s="7"/>
      <c r="D444" s="7"/>
      <c r="E444" s="7"/>
      <c r="F444" s="7"/>
      <c r="G444" s="7"/>
      <c r="H444" s="7"/>
      <c r="I444" s="7"/>
      <c r="J444" s="7"/>
      <c r="K444" s="7"/>
      <c r="L444" s="7"/>
      <c r="M444" s="7"/>
      <c r="N444" s="7"/>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c r="A445" s="112"/>
      <c r="B445" s="7" t="str">
        <f>IFERROR(__xludf.DUMMYFUNCTION("IF(A445="""","""",SUM(FILTER(#REF!,YEAR(FinishedData!$A:$A)=YEAR($A445),MONTH(FinishedData!$A:$A)=MONTH($A445),FinishedData!$B:$B=""Game"")))"),"")</f>
        <v/>
      </c>
      <c r="C445" s="7"/>
      <c r="D445" s="7"/>
      <c r="E445" s="7"/>
      <c r="F445" s="7"/>
      <c r="G445" s="7"/>
      <c r="H445" s="7"/>
      <c r="I445" s="7"/>
      <c r="J445" s="7"/>
      <c r="K445" s="7"/>
      <c r="L445" s="7"/>
      <c r="M445" s="7"/>
      <c r="N445" s="7"/>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c r="A446" s="112"/>
      <c r="B446" s="7" t="str">
        <f>IFERROR(__xludf.DUMMYFUNCTION("IF(A446="""","""",SUM(FILTER(#REF!,YEAR(FinishedData!$A:$A)=YEAR($A446),MONTH(FinishedData!$A:$A)=MONTH($A446),FinishedData!$B:$B=""Game"")))"),"")</f>
        <v/>
      </c>
      <c r="C446" s="7"/>
      <c r="D446" s="7"/>
      <c r="E446" s="7"/>
      <c r="F446" s="7"/>
      <c r="G446" s="7"/>
      <c r="H446" s="7"/>
      <c r="I446" s="7"/>
      <c r="J446" s="7"/>
      <c r="K446" s="7"/>
      <c r="L446" s="7"/>
      <c r="M446" s="7"/>
      <c r="N446" s="7"/>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c r="A447" s="112"/>
      <c r="B447" s="7" t="str">
        <f>IFERROR(__xludf.DUMMYFUNCTION("IF(A447="""","""",SUM(FILTER(#REF!,YEAR(FinishedData!$A:$A)=YEAR($A447),MONTH(FinishedData!$A:$A)=MONTH($A447),FinishedData!$B:$B=""Game"")))"),"")</f>
        <v/>
      </c>
      <c r="C447" s="7"/>
      <c r="D447" s="7"/>
      <c r="E447" s="7"/>
      <c r="F447" s="7"/>
      <c r="G447" s="7"/>
      <c r="H447" s="7"/>
      <c r="I447" s="7"/>
      <c r="J447" s="7"/>
      <c r="K447" s="7"/>
      <c r="L447" s="7"/>
      <c r="M447" s="7"/>
      <c r="N447" s="7"/>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c r="A448" s="112"/>
      <c r="B448" s="7" t="str">
        <f>IFERROR(__xludf.DUMMYFUNCTION("IF(A448="""","""",SUM(FILTER(#REF!,YEAR(FinishedData!$A:$A)=YEAR($A448),MONTH(FinishedData!$A:$A)=MONTH($A448),FinishedData!$B:$B=""Game"")))"),"")</f>
        <v/>
      </c>
      <c r="C448" s="7"/>
      <c r="D448" s="7"/>
      <c r="E448" s="7"/>
      <c r="F448" s="7"/>
      <c r="G448" s="7"/>
      <c r="H448" s="7"/>
      <c r="I448" s="7"/>
      <c r="J448" s="7"/>
      <c r="K448" s="7"/>
      <c r="L448" s="7"/>
      <c r="M448" s="7"/>
      <c r="N448" s="7"/>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c r="A449" s="112"/>
      <c r="B449" s="7" t="str">
        <f>IFERROR(__xludf.DUMMYFUNCTION("IF(A449="""","""",SUM(FILTER(#REF!,YEAR(FinishedData!$A:$A)=YEAR($A449),MONTH(FinishedData!$A:$A)=MONTH($A449),FinishedData!$B:$B=""Game"")))"),"")</f>
        <v/>
      </c>
      <c r="C449" s="7"/>
      <c r="D449" s="7"/>
      <c r="E449" s="7"/>
      <c r="F449" s="7"/>
      <c r="G449" s="7"/>
      <c r="H449" s="7"/>
      <c r="I449" s="7"/>
      <c r="J449" s="7"/>
      <c r="K449" s="7"/>
      <c r="L449" s="7"/>
      <c r="M449" s="7"/>
      <c r="N449" s="7"/>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c r="A450" s="112"/>
      <c r="B450" s="7" t="str">
        <f>IFERROR(__xludf.DUMMYFUNCTION("IF(A450="""","""",SUM(FILTER(#REF!,YEAR(FinishedData!$A:$A)=YEAR($A450),MONTH(FinishedData!$A:$A)=MONTH($A450),FinishedData!$B:$B=""Game"")))"),"")</f>
        <v/>
      </c>
      <c r="C450" s="7"/>
      <c r="D450" s="7"/>
      <c r="E450" s="7"/>
      <c r="F450" s="7"/>
      <c r="G450" s="7"/>
      <c r="H450" s="7"/>
      <c r="I450" s="7"/>
      <c r="J450" s="7"/>
      <c r="K450" s="7"/>
      <c r="L450" s="7"/>
      <c r="M450" s="7"/>
      <c r="N450" s="7"/>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c r="A451" s="112"/>
      <c r="B451" s="7" t="str">
        <f>IFERROR(__xludf.DUMMYFUNCTION("IF(A451="""","""",SUM(FILTER(#REF!,YEAR(FinishedData!$A:$A)=YEAR($A451),MONTH(FinishedData!$A:$A)=MONTH($A451),FinishedData!$B:$B=""Game"")))"),"")</f>
        <v/>
      </c>
      <c r="C451" s="7"/>
      <c r="D451" s="7"/>
      <c r="E451" s="7"/>
      <c r="F451" s="7"/>
      <c r="G451" s="7"/>
      <c r="H451" s="7"/>
      <c r="I451" s="7"/>
      <c r="J451" s="7"/>
      <c r="K451" s="7"/>
      <c r="L451" s="7"/>
      <c r="M451" s="7"/>
      <c r="N451" s="7"/>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c r="A452" s="112"/>
      <c r="B452" s="7" t="str">
        <f>IFERROR(__xludf.DUMMYFUNCTION("IF(A452="""","""",SUM(FILTER(#REF!,YEAR(FinishedData!$A:$A)=YEAR($A452),MONTH(FinishedData!$A:$A)=MONTH($A452),FinishedData!$B:$B=""Game"")))"),"")</f>
        <v/>
      </c>
      <c r="C452" s="7"/>
      <c r="D452" s="7"/>
      <c r="E452" s="7"/>
      <c r="F452" s="7"/>
      <c r="G452" s="7"/>
      <c r="H452" s="7"/>
      <c r="I452" s="7"/>
      <c r="J452" s="7"/>
      <c r="K452" s="7"/>
      <c r="L452" s="7"/>
      <c r="M452" s="7"/>
      <c r="N452" s="7"/>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c r="A453" s="112"/>
      <c r="B453" s="7" t="str">
        <f>IFERROR(__xludf.DUMMYFUNCTION("IF(A453="""","""",SUM(FILTER(#REF!,YEAR(FinishedData!$A:$A)=YEAR($A453),MONTH(FinishedData!$A:$A)=MONTH($A453),FinishedData!$B:$B=""Game"")))"),"")</f>
        <v/>
      </c>
      <c r="C453" s="7"/>
      <c r="D453" s="7"/>
      <c r="E453" s="7"/>
      <c r="F453" s="7"/>
      <c r="G453" s="7"/>
      <c r="H453" s="7"/>
      <c r="I453" s="7"/>
      <c r="J453" s="7"/>
      <c r="K453" s="7"/>
      <c r="L453" s="7"/>
      <c r="M453" s="7"/>
      <c r="N453" s="7"/>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c r="A454" s="112"/>
      <c r="B454" s="7" t="str">
        <f>IFERROR(__xludf.DUMMYFUNCTION("IF(A454="""","""",SUM(FILTER(#REF!,YEAR(FinishedData!$A:$A)=YEAR($A454),MONTH(FinishedData!$A:$A)=MONTH($A454),FinishedData!$B:$B=""Game"")))"),"")</f>
        <v/>
      </c>
      <c r="C454" s="7"/>
      <c r="D454" s="7"/>
      <c r="E454" s="7"/>
      <c r="F454" s="7"/>
      <c r="G454" s="7"/>
      <c r="H454" s="7"/>
      <c r="I454" s="7"/>
      <c r="J454" s="7"/>
      <c r="K454" s="7"/>
      <c r="L454" s="7"/>
      <c r="M454" s="7"/>
      <c r="N454" s="7"/>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c r="A455" s="112"/>
      <c r="B455" s="7" t="str">
        <f>IFERROR(__xludf.DUMMYFUNCTION("IF(A455="""","""",SUM(FILTER(#REF!,YEAR(FinishedData!$A:$A)=YEAR($A455),MONTH(FinishedData!$A:$A)=MONTH($A455),FinishedData!$B:$B=""Game"")))"),"")</f>
        <v/>
      </c>
      <c r="C455" s="7"/>
      <c r="D455" s="7"/>
      <c r="E455" s="7"/>
      <c r="F455" s="7"/>
      <c r="G455" s="7"/>
      <c r="H455" s="7"/>
      <c r="I455" s="7"/>
      <c r="J455" s="7"/>
      <c r="K455" s="7"/>
      <c r="L455" s="7"/>
      <c r="M455" s="7"/>
      <c r="N455" s="7"/>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c r="A456" s="112"/>
      <c r="B456" s="7" t="str">
        <f>IFERROR(__xludf.DUMMYFUNCTION("IF(A456="""","""",SUM(FILTER(#REF!,YEAR(FinishedData!$A:$A)=YEAR($A456),MONTH(FinishedData!$A:$A)=MONTH($A456),FinishedData!$B:$B=""Game"")))"),"")</f>
        <v/>
      </c>
      <c r="C456" s="7"/>
      <c r="D456" s="7"/>
      <c r="E456" s="7"/>
      <c r="F456" s="7"/>
      <c r="G456" s="7"/>
      <c r="H456" s="7"/>
      <c r="I456" s="7"/>
      <c r="J456" s="7"/>
      <c r="K456" s="7"/>
      <c r="L456" s="7"/>
      <c r="M456" s="7"/>
      <c r="N456" s="7"/>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c r="A457" s="112"/>
      <c r="B457" s="7" t="str">
        <f>IFERROR(__xludf.DUMMYFUNCTION("IF(A457="""","""",SUM(FILTER(#REF!,YEAR(FinishedData!$A:$A)=YEAR($A457),MONTH(FinishedData!$A:$A)=MONTH($A457),FinishedData!$B:$B=""Game"")))"),"")</f>
        <v/>
      </c>
      <c r="C457" s="7"/>
      <c r="D457" s="7"/>
      <c r="E457" s="7"/>
      <c r="F457" s="7"/>
      <c r="G457" s="7"/>
      <c r="H457" s="7"/>
      <c r="I457" s="7"/>
      <c r="J457" s="7"/>
      <c r="K457" s="7"/>
      <c r="L457" s="7"/>
      <c r="M457" s="7"/>
      <c r="N457" s="7"/>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c r="A458" s="112"/>
      <c r="B458" s="7" t="str">
        <f>IFERROR(__xludf.DUMMYFUNCTION("IF(A458="""","""",SUM(FILTER(#REF!,YEAR(FinishedData!$A:$A)=YEAR($A458),MONTH(FinishedData!$A:$A)=MONTH($A458),FinishedData!$B:$B=""Game"")))"),"")</f>
        <v/>
      </c>
      <c r="C458" s="7"/>
      <c r="D458" s="7"/>
      <c r="E458" s="7"/>
      <c r="F458" s="7"/>
      <c r="G458" s="7"/>
      <c r="H458" s="7"/>
      <c r="I458" s="7"/>
      <c r="J458" s="7"/>
      <c r="K458" s="7"/>
      <c r="L458" s="7"/>
      <c r="M458" s="7"/>
      <c r="N458" s="7"/>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c r="A459" s="112"/>
      <c r="B459" s="7" t="str">
        <f>IFERROR(__xludf.DUMMYFUNCTION("IF(A459="""","""",SUM(FILTER(#REF!,YEAR(FinishedData!$A:$A)=YEAR($A459),MONTH(FinishedData!$A:$A)=MONTH($A459),FinishedData!$B:$B=""Game"")))"),"")</f>
        <v/>
      </c>
      <c r="C459" s="7"/>
      <c r="D459" s="7"/>
      <c r="E459" s="7"/>
      <c r="F459" s="7"/>
      <c r="G459" s="7"/>
      <c r="H459" s="7"/>
      <c r="I459" s="7"/>
      <c r="J459" s="7"/>
      <c r="K459" s="7"/>
      <c r="L459" s="7"/>
      <c r="M459" s="7"/>
      <c r="N459" s="7"/>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c r="A460" s="112"/>
      <c r="B460" s="7" t="str">
        <f>IFERROR(__xludf.DUMMYFUNCTION("IF(A460="""","""",SUM(FILTER(#REF!,YEAR(FinishedData!$A:$A)=YEAR($A460),MONTH(FinishedData!$A:$A)=MONTH($A460),FinishedData!$B:$B=""Game"")))"),"")</f>
        <v/>
      </c>
      <c r="C460" s="7"/>
      <c r="D460" s="7"/>
      <c r="E460" s="7"/>
      <c r="F460" s="7"/>
      <c r="G460" s="7"/>
      <c r="H460" s="7"/>
      <c r="I460" s="7"/>
      <c r="J460" s="7"/>
      <c r="K460" s="7"/>
      <c r="L460" s="7"/>
      <c r="M460" s="7"/>
      <c r="N460" s="7"/>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c r="A461" s="112"/>
      <c r="B461" s="7" t="str">
        <f>IFERROR(__xludf.DUMMYFUNCTION("IF(A461="""","""",SUM(FILTER(#REF!,YEAR(FinishedData!$A:$A)=YEAR($A461),MONTH(FinishedData!$A:$A)=MONTH($A461),FinishedData!$B:$B=""Game"")))"),"")</f>
        <v/>
      </c>
      <c r="C461" s="7"/>
      <c r="D461" s="7"/>
      <c r="E461" s="7"/>
      <c r="F461" s="7"/>
      <c r="G461" s="7"/>
      <c r="H461" s="7"/>
      <c r="I461" s="7"/>
      <c r="J461" s="7"/>
      <c r="K461" s="7"/>
      <c r="L461" s="7"/>
      <c r="M461" s="7"/>
      <c r="N461" s="7"/>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c r="A462" s="112"/>
      <c r="B462" s="7" t="str">
        <f>IFERROR(__xludf.DUMMYFUNCTION("IF(A462="""","""",SUM(FILTER(#REF!,YEAR(FinishedData!$A:$A)=YEAR($A462),MONTH(FinishedData!$A:$A)=MONTH($A462),FinishedData!$B:$B=""Game"")))"),"")</f>
        <v/>
      </c>
      <c r="C462" s="7"/>
      <c r="D462" s="7"/>
      <c r="E462" s="7"/>
      <c r="F462" s="7"/>
      <c r="G462" s="7"/>
      <c r="H462" s="7"/>
      <c r="I462" s="7"/>
      <c r="J462" s="7"/>
      <c r="K462" s="7"/>
      <c r="L462" s="7"/>
      <c r="M462" s="7"/>
      <c r="N462" s="7"/>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c r="A463" s="112"/>
      <c r="B463" s="7" t="str">
        <f>IFERROR(__xludf.DUMMYFUNCTION("IF(A463="""","""",SUM(FILTER(#REF!,YEAR(FinishedData!$A:$A)=YEAR($A463),MONTH(FinishedData!$A:$A)=MONTH($A463),FinishedData!$B:$B=""Game"")))"),"")</f>
        <v/>
      </c>
      <c r="C463" s="7"/>
      <c r="D463" s="7"/>
      <c r="E463" s="7"/>
      <c r="F463" s="7"/>
      <c r="G463" s="7"/>
      <c r="H463" s="7"/>
      <c r="I463" s="7"/>
      <c r="J463" s="7"/>
      <c r="K463" s="7"/>
      <c r="L463" s="7"/>
      <c r="M463" s="7"/>
      <c r="N463" s="7"/>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c r="A464" s="112"/>
      <c r="B464" s="7" t="str">
        <f>IFERROR(__xludf.DUMMYFUNCTION("IF(A464="""","""",SUM(FILTER(#REF!,YEAR(FinishedData!$A:$A)=YEAR($A464),MONTH(FinishedData!$A:$A)=MONTH($A464),FinishedData!$B:$B=""Game"")))"),"")</f>
        <v/>
      </c>
      <c r="C464" s="7"/>
      <c r="D464" s="7"/>
      <c r="E464" s="7"/>
      <c r="F464" s="7"/>
      <c r="G464" s="7"/>
      <c r="H464" s="7"/>
      <c r="I464" s="7"/>
      <c r="J464" s="7"/>
      <c r="K464" s="7"/>
      <c r="L464" s="7"/>
      <c r="M464" s="7"/>
      <c r="N464" s="7"/>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c r="A465" s="112"/>
      <c r="B465" s="7" t="str">
        <f>IFERROR(__xludf.DUMMYFUNCTION("IF(A465="""","""",SUM(FILTER(#REF!,YEAR(FinishedData!$A:$A)=YEAR($A465),MONTH(FinishedData!$A:$A)=MONTH($A465),FinishedData!$B:$B=""Game"")))"),"")</f>
        <v/>
      </c>
      <c r="C465" s="7"/>
      <c r="D465" s="7"/>
      <c r="E465" s="7"/>
      <c r="F465" s="7"/>
      <c r="G465" s="7"/>
      <c r="H465" s="7"/>
      <c r="I465" s="7"/>
      <c r="J465" s="7"/>
      <c r="K465" s="7"/>
      <c r="L465" s="7"/>
      <c r="M465" s="7"/>
      <c r="N465" s="7"/>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c r="A466" s="112"/>
      <c r="B466" s="7" t="str">
        <f>IFERROR(__xludf.DUMMYFUNCTION("IF(A466="""","""",SUM(FILTER(#REF!,YEAR(FinishedData!$A:$A)=YEAR($A466),MONTH(FinishedData!$A:$A)=MONTH($A466),FinishedData!$B:$B=""Game"")))"),"")</f>
        <v/>
      </c>
      <c r="C466" s="7"/>
      <c r="D466" s="7"/>
      <c r="E466" s="7"/>
      <c r="F466" s="7"/>
      <c r="G466" s="7"/>
      <c r="H466" s="7"/>
      <c r="I466" s="7"/>
      <c r="J466" s="7"/>
      <c r="K466" s="7"/>
      <c r="L466" s="7"/>
      <c r="M466" s="7"/>
      <c r="N466" s="7"/>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c r="A467" s="112"/>
      <c r="B467" s="7" t="str">
        <f>IFERROR(__xludf.DUMMYFUNCTION("IF(A467="""","""",SUM(FILTER(#REF!,YEAR(FinishedData!$A:$A)=YEAR($A467),MONTH(FinishedData!$A:$A)=MONTH($A467),FinishedData!$B:$B=""Game"")))"),"")</f>
        <v/>
      </c>
      <c r="C467" s="7"/>
      <c r="D467" s="7"/>
      <c r="E467" s="7"/>
      <c r="F467" s="7"/>
      <c r="G467" s="7"/>
      <c r="H467" s="7"/>
      <c r="I467" s="7"/>
      <c r="J467" s="7"/>
      <c r="K467" s="7"/>
      <c r="L467" s="7"/>
      <c r="M467" s="7"/>
      <c r="N467" s="7"/>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c r="A468" s="112"/>
      <c r="B468" s="7" t="str">
        <f>IFERROR(__xludf.DUMMYFUNCTION("IF(A468="""","""",SUM(FILTER(#REF!,YEAR(FinishedData!$A:$A)=YEAR($A468),MONTH(FinishedData!$A:$A)=MONTH($A468),FinishedData!$B:$B=""Game"")))"),"")</f>
        <v/>
      </c>
      <c r="C468" s="7"/>
      <c r="D468" s="7"/>
      <c r="E468" s="7"/>
      <c r="F468" s="7"/>
      <c r="G468" s="7"/>
      <c r="H468" s="7"/>
      <c r="I468" s="7"/>
      <c r="J468" s="7"/>
      <c r="K468" s="7"/>
      <c r="L468" s="7"/>
      <c r="M468" s="7"/>
      <c r="N468" s="7"/>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c r="A469" s="112"/>
      <c r="B469" s="7" t="str">
        <f>IFERROR(__xludf.DUMMYFUNCTION("IF(A469="""","""",SUM(FILTER(#REF!,YEAR(FinishedData!$A:$A)=YEAR($A469),MONTH(FinishedData!$A:$A)=MONTH($A469),FinishedData!$B:$B=""Game"")))"),"")</f>
        <v/>
      </c>
      <c r="C469" s="7"/>
      <c r="D469" s="7"/>
      <c r="E469" s="7"/>
      <c r="F469" s="7"/>
      <c r="G469" s="7"/>
      <c r="H469" s="7"/>
      <c r="I469" s="7"/>
      <c r="J469" s="7"/>
      <c r="K469" s="7"/>
      <c r="L469" s="7"/>
      <c r="M469" s="7"/>
      <c r="N469" s="7"/>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c r="A470" s="112"/>
      <c r="B470" s="7" t="str">
        <f>IFERROR(__xludf.DUMMYFUNCTION("IF(A470="""","""",SUM(FILTER(#REF!,YEAR(FinishedData!$A:$A)=YEAR($A470),MONTH(FinishedData!$A:$A)=MONTH($A470),FinishedData!$B:$B=""Game"")))"),"")</f>
        <v/>
      </c>
      <c r="C470" s="7"/>
      <c r="D470" s="7"/>
      <c r="E470" s="7"/>
      <c r="F470" s="7"/>
      <c r="G470" s="7"/>
      <c r="H470" s="7"/>
      <c r="I470" s="7"/>
      <c r="J470" s="7"/>
      <c r="K470" s="7"/>
      <c r="L470" s="7"/>
      <c r="M470" s="7"/>
      <c r="N470" s="7"/>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c r="A471" s="112"/>
      <c r="B471" s="7" t="str">
        <f>IFERROR(__xludf.DUMMYFUNCTION("IF(A471="""","""",SUM(FILTER(#REF!,YEAR(FinishedData!$A:$A)=YEAR($A471),MONTH(FinishedData!$A:$A)=MONTH($A471),FinishedData!$B:$B=""Game"")))"),"")</f>
        <v/>
      </c>
      <c r="C471" s="7"/>
      <c r="D471" s="7"/>
      <c r="E471" s="7"/>
      <c r="F471" s="7"/>
      <c r="G471" s="7"/>
      <c r="H471" s="7"/>
      <c r="I471" s="7"/>
      <c r="J471" s="7"/>
      <c r="K471" s="7"/>
      <c r="L471" s="7"/>
      <c r="M471" s="7"/>
      <c r="N471" s="7"/>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c r="A472" s="112"/>
      <c r="B472" s="7" t="str">
        <f>IFERROR(__xludf.DUMMYFUNCTION("IF(A472="""","""",SUM(FILTER(#REF!,YEAR(FinishedData!$A:$A)=YEAR($A472),MONTH(FinishedData!$A:$A)=MONTH($A472),FinishedData!$B:$B=""Game"")))"),"")</f>
        <v/>
      </c>
      <c r="C472" s="7"/>
      <c r="D472" s="7"/>
      <c r="E472" s="7"/>
      <c r="F472" s="7"/>
      <c r="G472" s="7"/>
      <c r="H472" s="7"/>
      <c r="I472" s="7"/>
      <c r="J472" s="7"/>
      <c r="K472" s="7"/>
      <c r="L472" s="7"/>
      <c r="M472" s="7"/>
      <c r="N472" s="7"/>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c r="A473" s="112"/>
      <c r="B473" s="7" t="str">
        <f>IFERROR(__xludf.DUMMYFUNCTION("IF(A473="""","""",SUM(FILTER(#REF!,YEAR(FinishedData!$A:$A)=YEAR($A473),MONTH(FinishedData!$A:$A)=MONTH($A473),FinishedData!$B:$B=""Game"")))"),"")</f>
        <v/>
      </c>
      <c r="C473" s="7"/>
      <c r="D473" s="7"/>
      <c r="E473" s="7"/>
      <c r="F473" s="7"/>
      <c r="G473" s="7"/>
      <c r="H473" s="7"/>
      <c r="I473" s="7"/>
      <c r="J473" s="7"/>
      <c r="K473" s="7"/>
      <c r="L473" s="7"/>
      <c r="M473" s="7"/>
      <c r="N473" s="7"/>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c r="A474" s="112"/>
      <c r="B474" s="7" t="str">
        <f>IFERROR(__xludf.DUMMYFUNCTION("IF(A474="""","""",SUM(FILTER(#REF!,YEAR(FinishedData!$A:$A)=YEAR($A474),MONTH(FinishedData!$A:$A)=MONTH($A474),FinishedData!$B:$B=""Game"")))"),"")</f>
        <v/>
      </c>
      <c r="C474" s="7"/>
      <c r="D474" s="7"/>
      <c r="E474" s="7"/>
      <c r="F474" s="7"/>
      <c r="G474" s="7"/>
      <c r="H474" s="7"/>
      <c r="I474" s="7"/>
      <c r="J474" s="7"/>
      <c r="K474" s="7"/>
      <c r="L474" s="7"/>
      <c r="M474" s="7"/>
      <c r="N474" s="7"/>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c r="A475" s="112"/>
      <c r="B475" s="7" t="str">
        <f>IFERROR(__xludf.DUMMYFUNCTION("IF(A475="""","""",SUM(FILTER(#REF!,YEAR(FinishedData!$A:$A)=YEAR($A475),MONTH(FinishedData!$A:$A)=MONTH($A475),FinishedData!$B:$B=""Game"")))"),"")</f>
        <v/>
      </c>
      <c r="C475" s="7"/>
      <c r="D475" s="7"/>
      <c r="E475" s="7"/>
      <c r="F475" s="7"/>
      <c r="G475" s="7"/>
      <c r="H475" s="7"/>
      <c r="I475" s="7"/>
      <c r="J475" s="7"/>
      <c r="K475" s="7"/>
      <c r="L475" s="7"/>
      <c r="M475" s="7"/>
      <c r="N475" s="7"/>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c r="A476" s="112"/>
      <c r="B476" s="7" t="str">
        <f>IFERROR(__xludf.DUMMYFUNCTION("IF(A476="""","""",SUM(FILTER(#REF!,YEAR(FinishedData!$A:$A)=YEAR($A476),MONTH(FinishedData!$A:$A)=MONTH($A476),FinishedData!$B:$B=""Game"")))"),"")</f>
        <v/>
      </c>
      <c r="C476" s="7"/>
      <c r="D476" s="7"/>
      <c r="E476" s="7"/>
      <c r="F476" s="7"/>
      <c r="G476" s="7"/>
      <c r="H476" s="7"/>
      <c r="I476" s="7"/>
      <c r="J476" s="7"/>
      <c r="K476" s="7"/>
      <c r="L476" s="7"/>
      <c r="M476" s="7"/>
      <c r="N476" s="7"/>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c r="A477" s="112"/>
      <c r="B477" s="7" t="str">
        <f>IFERROR(__xludf.DUMMYFUNCTION("IF(A477="""","""",SUM(FILTER(#REF!,YEAR(FinishedData!$A:$A)=YEAR($A477),MONTH(FinishedData!$A:$A)=MONTH($A477),FinishedData!$B:$B=""Game"")))"),"")</f>
        <v/>
      </c>
      <c r="C477" s="7"/>
      <c r="D477" s="7"/>
      <c r="E477" s="7"/>
      <c r="F477" s="7"/>
      <c r="G477" s="7"/>
      <c r="H477" s="7"/>
      <c r="I477" s="7"/>
      <c r="J477" s="7"/>
      <c r="K477" s="7"/>
      <c r="L477" s="7"/>
      <c r="M477" s="7"/>
      <c r="N477" s="7"/>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c r="A478" s="112"/>
      <c r="B478" s="7" t="str">
        <f>IFERROR(__xludf.DUMMYFUNCTION("IF(A478="""","""",SUM(FILTER(#REF!,YEAR(FinishedData!$A:$A)=YEAR($A478),MONTH(FinishedData!$A:$A)=MONTH($A478),FinishedData!$B:$B=""Game"")))"),"")</f>
        <v/>
      </c>
      <c r="C478" s="7"/>
      <c r="D478" s="7"/>
      <c r="E478" s="7"/>
      <c r="F478" s="7"/>
      <c r="G478" s="7"/>
      <c r="H478" s="7"/>
      <c r="I478" s="7"/>
      <c r="J478" s="7"/>
      <c r="K478" s="7"/>
      <c r="L478" s="7"/>
      <c r="M478" s="7"/>
      <c r="N478" s="7"/>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c r="A479" s="112"/>
      <c r="B479" s="7" t="str">
        <f>IFERROR(__xludf.DUMMYFUNCTION("IF(A479="""","""",SUM(FILTER(#REF!,YEAR(FinishedData!$A:$A)=YEAR($A479),MONTH(FinishedData!$A:$A)=MONTH($A479),FinishedData!$B:$B=""Game"")))"),"")</f>
        <v/>
      </c>
      <c r="C479" s="7"/>
      <c r="D479" s="7"/>
      <c r="E479" s="7"/>
      <c r="F479" s="7"/>
      <c r="G479" s="7"/>
      <c r="H479" s="7"/>
      <c r="I479" s="7"/>
      <c r="J479" s="7"/>
      <c r="K479" s="7"/>
      <c r="L479" s="7"/>
      <c r="M479" s="7"/>
      <c r="N479" s="7"/>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c r="A480" s="112"/>
      <c r="B480" s="7" t="str">
        <f>IFERROR(__xludf.DUMMYFUNCTION("IF(A480="""","""",SUM(FILTER(#REF!,YEAR(FinishedData!$A:$A)=YEAR($A480),MONTH(FinishedData!$A:$A)=MONTH($A480),FinishedData!$B:$B=""Game"")))"),"")</f>
        <v/>
      </c>
      <c r="C480" s="7"/>
      <c r="D480" s="7"/>
      <c r="E480" s="7"/>
      <c r="F480" s="7"/>
      <c r="G480" s="7"/>
      <c r="H480" s="7"/>
      <c r="I480" s="7"/>
      <c r="J480" s="7"/>
      <c r="K480" s="7"/>
      <c r="L480" s="7"/>
      <c r="M480" s="7"/>
      <c r="N480" s="7"/>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c r="A481" s="112"/>
      <c r="B481" s="7" t="str">
        <f>IFERROR(__xludf.DUMMYFUNCTION("IF(A481="""","""",SUM(FILTER(#REF!,YEAR(FinishedData!$A:$A)=YEAR($A481),MONTH(FinishedData!$A:$A)=MONTH($A481),FinishedData!$B:$B=""Game"")))"),"")</f>
        <v/>
      </c>
      <c r="C481" s="7"/>
      <c r="D481" s="7"/>
      <c r="E481" s="7"/>
      <c r="F481" s="7"/>
      <c r="G481" s="7"/>
      <c r="H481" s="7"/>
      <c r="I481" s="7"/>
      <c r="J481" s="7"/>
      <c r="K481" s="7"/>
      <c r="L481" s="7"/>
      <c r="M481" s="7"/>
      <c r="N481" s="7"/>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c r="A482" s="112"/>
      <c r="B482" s="7" t="str">
        <f>IFERROR(__xludf.DUMMYFUNCTION("IF(A482="""","""",SUM(FILTER(#REF!,YEAR(FinishedData!$A:$A)=YEAR($A482),MONTH(FinishedData!$A:$A)=MONTH($A482),FinishedData!$B:$B=""Game"")))"),"")</f>
        <v/>
      </c>
      <c r="C482" s="7"/>
      <c r="D482" s="7"/>
      <c r="E482" s="7"/>
      <c r="F482" s="7"/>
      <c r="G482" s="7"/>
      <c r="H482" s="7"/>
      <c r="I482" s="7"/>
      <c r="J482" s="7"/>
      <c r="K482" s="7"/>
      <c r="L482" s="7"/>
      <c r="M482" s="7"/>
      <c r="N482" s="7"/>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c r="A483" s="112"/>
      <c r="B483" s="7" t="str">
        <f>IFERROR(__xludf.DUMMYFUNCTION("IF(A483="""","""",SUM(FILTER(#REF!,YEAR(FinishedData!$A:$A)=YEAR($A483),MONTH(FinishedData!$A:$A)=MONTH($A483),FinishedData!$B:$B=""Game"")))"),"")</f>
        <v/>
      </c>
      <c r="C483" s="7"/>
      <c r="D483" s="7"/>
      <c r="E483" s="7"/>
      <c r="F483" s="7"/>
      <c r="G483" s="7"/>
      <c r="H483" s="7"/>
      <c r="I483" s="7"/>
      <c r="J483" s="7"/>
      <c r="K483" s="7"/>
      <c r="L483" s="7"/>
      <c r="M483" s="7"/>
      <c r="N483" s="7"/>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c r="A484" s="112"/>
      <c r="B484" s="7" t="str">
        <f>IFERROR(__xludf.DUMMYFUNCTION("IF(A484="""","""",SUM(FILTER(#REF!,YEAR(FinishedData!$A:$A)=YEAR($A484),MONTH(FinishedData!$A:$A)=MONTH($A484),FinishedData!$B:$B=""Game"")))"),"")</f>
        <v/>
      </c>
      <c r="C484" s="7"/>
      <c r="D484" s="7"/>
      <c r="E484" s="7"/>
      <c r="F484" s="7"/>
      <c r="G484" s="7"/>
      <c r="H484" s="7"/>
      <c r="I484" s="7"/>
      <c r="J484" s="7"/>
      <c r="K484" s="7"/>
      <c r="L484" s="7"/>
      <c r="M484" s="7"/>
      <c r="N484" s="7"/>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c r="A485" s="112"/>
      <c r="B485" s="7" t="str">
        <f>IFERROR(__xludf.DUMMYFUNCTION("IF(A485="""","""",SUM(FILTER(#REF!,YEAR(FinishedData!$A:$A)=YEAR($A485),MONTH(FinishedData!$A:$A)=MONTH($A485),FinishedData!$B:$B=""Game"")))"),"")</f>
        <v/>
      </c>
      <c r="C485" s="7"/>
      <c r="D485" s="7"/>
      <c r="E485" s="7"/>
      <c r="F485" s="7"/>
      <c r="G485" s="7"/>
      <c r="H485" s="7"/>
      <c r="I485" s="7"/>
      <c r="J485" s="7"/>
      <c r="K485" s="7"/>
      <c r="L485" s="7"/>
      <c r="M485" s="7"/>
      <c r="N485" s="7"/>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c r="A486" s="112"/>
      <c r="B486" s="7" t="str">
        <f>IFERROR(__xludf.DUMMYFUNCTION("IF(A486="""","""",SUM(FILTER(#REF!,YEAR(FinishedData!$A:$A)=YEAR($A486),MONTH(FinishedData!$A:$A)=MONTH($A486),FinishedData!$B:$B=""Game"")))"),"")</f>
        <v/>
      </c>
      <c r="C486" s="7"/>
      <c r="D486" s="7"/>
      <c r="E486" s="7"/>
      <c r="F486" s="7"/>
      <c r="G486" s="7"/>
      <c r="H486" s="7"/>
      <c r="I486" s="7"/>
      <c r="J486" s="7"/>
      <c r="K486" s="7"/>
      <c r="L486" s="7"/>
      <c r="M486" s="7"/>
      <c r="N486" s="7"/>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c r="A487" s="112"/>
      <c r="B487" s="7" t="str">
        <f>IFERROR(__xludf.DUMMYFUNCTION("IF(A487="""","""",SUM(FILTER(#REF!,YEAR(FinishedData!$A:$A)=YEAR($A487),MONTH(FinishedData!$A:$A)=MONTH($A487),FinishedData!$B:$B=""Game"")))"),"")</f>
        <v/>
      </c>
      <c r="C487" s="7"/>
      <c r="D487" s="7"/>
      <c r="E487" s="7"/>
      <c r="F487" s="7"/>
      <c r="G487" s="7"/>
      <c r="H487" s="7"/>
      <c r="I487" s="7"/>
      <c r="J487" s="7"/>
      <c r="K487" s="7"/>
      <c r="L487" s="7"/>
      <c r="M487" s="7"/>
      <c r="N487" s="7"/>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c r="A488" s="112"/>
      <c r="B488" s="7" t="str">
        <f>IFERROR(__xludf.DUMMYFUNCTION("IF(A488="""","""",SUM(FILTER(#REF!,YEAR(FinishedData!$A:$A)=YEAR($A488),MONTH(FinishedData!$A:$A)=MONTH($A488),FinishedData!$B:$B=""Game"")))"),"")</f>
        <v/>
      </c>
      <c r="C488" s="7"/>
      <c r="D488" s="7"/>
      <c r="E488" s="7"/>
      <c r="F488" s="7"/>
      <c r="G488" s="7"/>
      <c r="H488" s="7"/>
      <c r="I488" s="7"/>
      <c r="J488" s="7"/>
      <c r="K488" s="7"/>
      <c r="L488" s="7"/>
      <c r="M488" s="7"/>
      <c r="N488" s="7"/>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c r="A489" s="112"/>
      <c r="B489" s="7" t="str">
        <f>IFERROR(__xludf.DUMMYFUNCTION("IF(A489="""","""",SUM(FILTER(#REF!,YEAR(FinishedData!$A:$A)=YEAR($A489),MONTH(FinishedData!$A:$A)=MONTH($A489),FinishedData!$B:$B=""Game"")))"),"")</f>
        <v/>
      </c>
      <c r="C489" s="7"/>
      <c r="D489" s="7"/>
      <c r="E489" s="7"/>
      <c r="F489" s="7"/>
      <c r="G489" s="7"/>
      <c r="H489" s="7"/>
      <c r="I489" s="7"/>
      <c r="J489" s="7"/>
      <c r="K489" s="7"/>
      <c r="L489" s="7"/>
      <c r="M489" s="7"/>
      <c r="N489" s="7"/>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c r="A490" s="112"/>
      <c r="B490" s="7" t="str">
        <f>IFERROR(__xludf.DUMMYFUNCTION("IF(A490="""","""",SUM(FILTER(#REF!,YEAR(FinishedData!$A:$A)=YEAR($A490),MONTH(FinishedData!$A:$A)=MONTH($A490),FinishedData!$B:$B=""Game"")))"),"")</f>
        <v/>
      </c>
      <c r="C490" s="7"/>
      <c r="D490" s="7"/>
      <c r="E490" s="7"/>
      <c r="F490" s="7"/>
      <c r="G490" s="7"/>
      <c r="H490" s="7"/>
      <c r="I490" s="7"/>
      <c r="J490" s="7"/>
      <c r="K490" s="7"/>
      <c r="L490" s="7"/>
      <c r="M490" s="7"/>
      <c r="N490" s="7"/>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c r="A491" s="112"/>
      <c r="B491" s="7" t="str">
        <f>IFERROR(__xludf.DUMMYFUNCTION("IF(A491="""","""",SUM(FILTER(#REF!,YEAR(FinishedData!$A:$A)=YEAR($A491),MONTH(FinishedData!$A:$A)=MONTH($A491),FinishedData!$B:$B=""Game"")))"),"")</f>
        <v/>
      </c>
      <c r="C491" s="7"/>
      <c r="D491" s="7"/>
      <c r="E491" s="7"/>
      <c r="F491" s="7"/>
      <c r="G491" s="7"/>
      <c r="H491" s="7"/>
      <c r="I491" s="7"/>
      <c r="J491" s="7"/>
      <c r="K491" s="7"/>
      <c r="L491" s="7"/>
      <c r="M491" s="7"/>
      <c r="N491" s="7"/>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c r="A492" s="112"/>
      <c r="B492" s="7" t="str">
        <f>IFERROR(__xludf.DUMMYFUNCTION("IF(A492="""","""",SUM(FILTER(#REF!,YEAR(FinishedData!$A:$A)=YEAR($A492),MONTH(FinishedData!$A:$A)=MONTH($A492),FinishedData!$B:$B=""Game"")))"),"")</f>
        <v/>
      </c>
      <c r="C492" s="7"/>
      <c r="D492" s="7"/>
      <c r="E492" s="7"/>
      <c r="F492" s="7"/>
      <c r="G492" s="7"/>
      <c r="H492" s="7"/>
      <c r="I492" s="7"/>
      <c r="J492" s="7"/>
      <c r="K492" s="7"/>
      <c r="L492" s="7"/>
      <c r="M492" s="7"/>
      <c r="N492" s="7"/>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c r="A493" s="112"/>
      <c r="B493" s="7" t="str">
        <f>IFERROR(__xludf.DUMMYFUNCTION("IF(A493="""","""",SUM(FILTER(#REF!,YEAR(FinishedData!$A:$A)=YEAR($A493),MONTH(FinishedData!$A:$A)=MONTH($A493),FinishedData!$B:$B=""Game"")))"),"")</f>
        <v/>
      </c>
      <c r="C493" s="7"/>
      <c r="D493" s="7"/>
      <c r="E493" s="7"/>
      <c r="F493" s="7"/>
      <c r="G493" s="7"/>
      <c r="H493" s="7"/>
      <c r="I493" s="7"/>
      <c r="J493" s="7"/>
      <c r="K493" s="7"/>
      <c r="L493" s="7"/>
      <c r="M493" s="7"/>
      <c r="N493" s="7"/>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c r="A494" s="112"/>
      <c r="B494" s="7" t="str">
        <f>IFERROR(__xludf.DUMMYFUNCTION("IF(A494="""","""",SUM(FILTER(#REF!,YEAR(FinishedData!$A:$A)=YEAR($A494),MONTH(FinishedData!$A:$A)=MONTH($A494),FinishedData!$B:$B=""Game"")))"),"")</f>
        <v/>
      </c>
      <c r="C494" s="7"/>
      <c r="D494" s="7"/>
      <c r="E494" s="7"/>
      <c r="F494" s="7"/>
      <c r="G494" s="7"/>
      <c r="H494" s="7"/>
      <c r="I494" s="7"/>
      <c r="J494" s="7"/>
      <c r="K494" s="7"/>
      <c r="L494" s="7"/>
      <c r="M494" s="7"/>
      <c r="N494" s="7"/>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c r="A495" s="112"/>
      <c r="B495" s="7" t="str">
        <f>IFERROR(__xludf.DUMMYFUNCTION("IF(A495="""","""",SUM(FILTER(#REF!,YEAR(FinishedData!$A:$A)=YEAR($A495),MONTH(FinishedData!$A:$A)=MONTH($A495),FinishedData!$B:$B=""Game"")))"),"")</f>
        <v/>
      </c>
      <c r="C495" s="7"/>
      <c r="D495" s="7"/>
      <c r="E495" s="7"/>
      <c r="F495" s="7"/>
      <c r="G495" s="7"/>
      <c r="H495" s="7"/>
      <c r="I495" s="7"/>
      <c r="J495" s="7"/>
      <c r="K495" s="7"/>
      <c r="L495" s="7"/>
      <c r="M495" s="7"/>
      <c r="N495" s="7"/>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c r="A496" s="112"/>
      <c r="B496" s="7" t="str">
        <f>IFERROR(__xludf.DUMMYFUNCTION("IF(A496="""","""",SUM(FILTER(#REF!,YEAR(FinishedData!$A:$A)=YEAR($A496),MONTH(FinishedData!$A:$A)=MONTH($A496),FinishedData!$B:$B=""Game"")))"),"")</f>
        <v/>
      </c>
      <c r="C496" s="7"/>
      <c r="D496" s="7"/>
      <c r="E496" s="7"/>
      <c r="F496" s="7"/>
      <c r="G496" s="7"/>
      <c r="H496" s="7"/>
      <c r="I496" s="7"/>
      <c r="J496" s="7"/>
      <c r="K496" s="7"/>
      <c r="L496" s="7"/>
      <c r="M496" s="7"/>
      <c r="N496" s="7"/>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c r="A497" s="112"/>
      <c r="B497" s="7" t="str">
        <f>IFERROR(__xludf.DUMMYFUNCTION("IF(A497="""","""",SUM(FILTER(#REF!,YEAR(FinishedData!$A:$A)=YEAR($A497),MONTH(FinishedData!$A:$A)=MONTH($A497),FinishedData!$B:$B=""Game"")))"),"")</f>
        <v/>
      </c>
      <c r="C497" s="7"/>
      <c r="D497" s="7"/>
      <c r="E497" s="7"/>
      <c r="F497" s="7"/>
      <c r="G497" s="7"/>
      <c r="H497" s="7"/>
      <c r="I497" s="7"/>
      <c r="J497" s="7"/>
      <c r="K497" s="7"/>
      <c r="L497" s="7"/>
      <c r="M497" s="7"/>
      <c r="N497" s="7"/>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c r="A498" s="112"/>
      <c r="B498" s="7" t="str">
        <f>IFERROR(__xludf.DUMMYFUNCTION("IF(A498="""","""",SUM(FILTER(#REF!,YEAR(FinishedData!$A:$A)=YEAR($A498),MONTH(FinishedData!$A:$A)=MONTH($A498),FinishedData!$B:$B=""Game"")))"),"")</f>
        <v/>
      </c>
      <c r="C498" s="7"/>
      <c r="D498" s="7"/>
      <c r="E498" s="7"/>
      <c r="F498" s="7"/>
      <c r="G498" s="7"/>
      <c r="H498" s="7"/>
      <c r="I498" s="7"/>
      <c r="J498" s="7"/>
      <c r="K498" s="7"/>
      <c r="L498" s="7"/>
      <c r="M498" s="7"/>
      <c r="N498" s="7"/>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c r="A499" s="112"/>
      <c r="B499" s="7" t="str">
        <f>IFERROR(__xludf.DUMMYFUNCTION("IF(A499="""","""",SUM(FILTER(#REF!,YEAR(FinishedData!$A:$A)=YEAR($A499),MONTH(FinishedData!$A:$A)=MONTH($A499),FinishedData!$B:$B=""Game"")))"),"")</f>
        <v/>
      </c>
      <c r="C499" s="7"/>
      <c r="D499" s="7"/>
      <c r="E499" s="7"/>
      <c r="F499" s="7"/>
      <c r="G499" s="7"/>
      <c r="H499" s="7"/>
      <c r="I499" s="7"/>
      <c r="J499" s="7"/>
      <c r="K499" s="7"/>
      <c r="L499" s="7"/>
      <c r="M499" s="7"/>
      <c r="N499" s="7"/>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c r="A500" s="112"/>
      <c r="B500" s="7" t="str">
        <f>IFERROR(__xludf.DUMMYFUNCTION("IF(A500="""","""",SUM(FILTER(#REF!,YEAR(FinishedData!$A:$A)=YEAR($A500),MONTH(FinishedData!$A:$A)=MONTH($A500),FinishedData!$B:$B=""Game"")))"),"")</f>
        <v/>
      </c>
      <c r="C500" s="7"/>
      <c r="D500" s="7"/>
      <c r="E500" s="7"/>
      <c r="F500" s="7"/>
      <c r="G500" s="7"/>
      <c r="H500" s="7"/>
      <c r="I500" s="7"/>
      <c r="J500" s="7"/>
      <c r="K500" s="7"/>
      <c r="L500" s="7"/>
      <c r="M500" s="7"/>
      <c r="N500" s="7"/>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c r="A501" s="112"/>
      <c r="B501" s="7" t="str">
        <f>IFERROR(__xludf.DUMMYFUNCTION("IF(A501="""","""",SUM(FILTER(#REF!,YEAR(FinishedData!$A:$A)=YEAR($A501),MONTH(FinishedData!$A:$A)=MONTH($A501),FinishedData!$B:$B=""Game"")))"),"")</f>
        <v/>
      </c>
      <c r="C501" s="7"/>
      <c r="D501" s="7"/>
      <c r="E501" s="7"/>
      <c r="F501" s="7"/>
      <c r="G501" s="7"/>
      <c r="H501" s="7"/>
      <c r="I501" s="7"/>
      <c r="J501" s="7"/>
      <c r="K501" s="7"/>
      <c r="L501" s="7"/>
      <c r="M501" s="7"/>
      <c r="N501" s="7"/>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c r="A502" s="112"/>
      <c r="B502" s="7" t="str">
        <f>IFERROR(__xludf.DUMMYFUNCTION("IF(A502="""","""",SUM(FILTER(#REF!,YEAR(FinishedData!$A:$A)=YEAR($A502),MONTH(FinishedData!$A:$A)=MONTH($A502),FinishedData!$B:$B=""Game"")))"),"")</f>
        <v/>
      </c>
      <c r="C502" s="7"/>
      <c r="D502" s="7"/>
      <c r="E502" s="7"/>
      <c r="F502" s="7"/>
      <c r="G502" s="7"/>
      <c r="H502" s="7"/>
      <c r="I502" s="7"/>
      <c r="J502" s="7"/>
      <c r="K502" s="7"/>
      <c r="L502" s="7"/>
      <c r="M502" s="7"/>
      <c r="N502" s="7"/>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c r="A503" s="112"/>
      <c r="B503" s="7" t="str">
        <f>IFERROR(__xludf.DUMMYFUNCTION("IF(A503="""","""",SUM(FILTER(#REF!,YEAR(FinishedData!$A:$A)=YEAR($A503),MONTH(FinishedData!$A:$A)=MONTH($A503),FinishedData!$B:$B=""Game"")))"),"")</f>
        <v/>
      </c>
      <c r="C503" s="7"/>
      <c r="D503" s="7"/>
      <c r="E503" s="7"/>
      <c r="F503" s="7"/>
      <c r="G503" s="7"/>
      <c r="H503" s="7"/>
      <c r="I503" s="7"/>
      <c r="J503" s="7"/>
      <c r="K503" s="7"/>
      <c r="L503" s="7"/>
      <c r="M503" s="7"/>
      <c r="N503" s="7"/>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c r="A504" s="112"/>
      <c r="B504" s="7" t="str">
        <f>IFERROR(__xludf.DUMMYFUNCTION("IF(A504="""","""",SUM(FILTER(#REF!,YEAR(FinishedData!$A:$A)=YEAR($A504),MONTH(FinishedData!$A:$A)=MONTH($A504),FinishedData!$B:$B=""Game"")))"),"")</f>
        <v/>
      </c>
      <c r="C504" s="7"/>
      <c r="D504" s="7"/>
      <c r="E504" s="7"/>
      <c r="F504" s="7"/>
      <c r="G504" s="7"/>
      <c r="H504" s="7"/>
      <c r="I504" s="7"/>
      <c r="J504" s="7"/>
      <c r="K504" s="7"/>
      <c r="L504" s="7"/>
      <c r="M504" s="7"/>
      <c r="N504" s="7"/>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c r="A505" s="112"/>
      <c r="B505" s="7" t="str">
        <f>IFERROR(__xludf.DUMMYFUNCTION("IF(A505="""","""",SUM(FILTER(#REF!,YEAR(FinishedData!$A:$A)=YEAR($A505),MONTH(FinishedData!$A:$A)=MONTH($A505),FinishedData!$B:$B=""Game"")))"),"")</f>
        <v/>
      </c>
      <c r="C505" s="7"/>
      <c r="D505" s="7"/>
      <c r="E505" s="7"/>
      <c r="F505" s="7"/>
      <c r="G505" s="7"/>
      <c r="H505" s="7"/>
      <c r="I505" s="7"/>
      <c r="J505" s="7"/>
      <c r="K505" s="7"/>
      <c r="L505" s="7"/>
      <c r="M505" s="7"/>
      <c r="N505" s="7"/>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c r="A506" s="112"/>
      <c r="B506" s="7" t="str">
        <f>IFERROR(__xludf.DUMMYFUNCTION("IF(A506="""","""",SUM(FILTER(#REF!,YEAR(FinishedData!$A:$A)=YEAR($A506),MONTH(FinishedData!$A:$A)=MONTH($A506),FinishedData!$B:$B=""Game"")))"),"")</f>
        <v/>
      </c>
      <c r="C506" s="7"/>
      <c r="D506" s="7"/>
      <c r="E506" s="7"/>
      <c r="F506" s="7"/>
      <c r="G506" s="7"/>
      <c r="H506" s="7"/>
      <c r="I506" s="7"/>
      <c r="J506" s="7"/>
      <c r="K506" s="7"/>
      <c r="L506" s="7"/>
      <c r="M506" s="7"/>
      <c r="N506" s="7"/>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c r="A507" s="112"/>
      <c r="B507" s="7" t="str">
        <f>IFERROR(__xludf.DUMMYFUNCTION("IF(A507="""","""",SUM(FILTER(#REF!,YEAR(FinishedData!$A:$A)=YEAR($A507),MONTH(FinishedData!$A:$A)=MONTH($A507),FinishedData!$B:$B=""Game"")))"),"")</f>
        <v/>
      </c>
      <c r="C507" s="7"/>
      <c r="D507" s="7"/>
      <c r="E507" s="7"/>
      <c r="F507" s="7"/>
      <c r="G507" s="7"/>
      <c r="H507" s="7"/>
      <c r="I507" s="7"/>
      <c r="J507" s="7"/>
      <c r="K507" s="7"/>
      <c r="L507" s="7"/>
      <c r="M507" s="7"/>
      <c r="N507" s="7"/>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c r="A508" s="112"/>
      <c r="B508" s="7" t="str">
        <f>IFERROR(__xludf.DUMMYFUNCTION("IF(A508="""","""",SUM(FILTER(#REF!,YEAR(FinishedData!$A:$A)=YEAR($A508),MONTH(FinishedData!$A:$A)=MONTH($A508),FinishedData!$B:$B=""Game"")))"),"")</f>
        <v/>
      </c>
      <c r="C508" s="7"/>
      <c r="D508" s="7"/>
      <c r="E508" s="7"/>
      <c r="F508" s="7"/>
      <c r="G508" s="7"/>
      <c r="H508" s="7"/>
      <c r="I508" s="7"/>
      <c r="J508" s="7"/>
      <c r="K508" s="7"/>
      <c r="L508" s="7"/>
      <c r="M508" s="7"/>
      <c r="N508" s="7"/>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c r="A509" s="112"/>
      <c r="B509" s="7" t="str">
        <f>IFERROR(__xludf.DUMMYFUNCTION("IF(A509="""","""",SUM(FILTER(#REF!,YEAR(FinishedData!$A:$A)=YEAR($A509),MONTH(FinishedData!$A:$A)=MONTH($A509),FinishedData!$B:$B=""Game"")))"),"")</f>
        <v/>
      </c>
      <c r="C509" s="7"/>
      <c r="D509" s="7"/>
      <c r="E509" s="7"/>
      <c r="F509" s="7"/>
      <c r="G509" s="7"/>
      <c r="H509" s="7"/>
      <c r="I509" s="7"/>
      <c r="J509" s="7"/>
      <c r="K509" s="7"/>
      <c r="L509" s="7"/>
      <c r="M509" s="7"/>
      <c r="N509" s="7"/>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c r="A510" s="112"/>
      <c r="B510" s="7" t="str">
        <f>IFERROR(__xludf.DUMMYFUNCTION("IF(A510="""","""",SUM(FILTER(#REF!,YEAR(FinishedData!$A:$A)=YEAR($A510),MONTH(FinishedData!$A:$A)=MONTH($A510),FinishedData!$B:$B=""Game"")))"),"")</f>
        <v/>
      </c>
      <c r="C510" s="7"/>
      <c r="D510" s="7"/>
      <c r="E510" s="7"/>
      <c r="F510" s="7"/>
      <c r="G510" s="7"/>
      <c r="H510" s="7"/>
      <c r="I510" s="7"/>
      <c r="J510" s="7"/>
      <c r="K510" s="7"/>
      <c r="L510" s="7"/>
      <c r="M510" s="7"/>
      <c r="N510" s="7"/>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c r="A511" s="112"/>
      <c r="B511" s="7" t="str">
        <f>IFERROR(__xludf.DUMMYFUNCTION("IF(A511="""","""",SUM(FILTER(#REF!,YEAR(FinishedData!$A:$A)=YEAR($A511),MONTH(FinishedData!$A:$A)=MONTH($A511),FinishedData!$B:$B=""Game"")))"),"")</f>
        <v/>
      </c>
      <c r="C511" s="7"/>
      <c r="D511" s="7"/>
      <c r="E511" s="7"/>
      <c r="F511" s="7"/>
      <c r="G511" s="7"/>
      <c r="H511" s="7"/>
      <c r="I511" s="7"/>
      <c r="J511" s="7"/>
      <c r="K511" s="7"/>
      <c r="L511" s="7"/>
      <c r="M511" s="7"/>
      <c r="N511" s="7"/>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c r="A512" s="112"/>
      <c r="B512" s="7" t="str">
        <f>IFERROR(__xludf.DUMMYFUNCTION("IF(A512="""","""",SUM(FILTER(#REF!,YEAR(FinishedData!$A:$A)=YEAR($A512),MONTH(FinishedData!$A:$A)=MONTH($A512),FinishedData!$B:$B=""Game"")))"),"")</f>
        <v/>
      </c>
      <c r="C512" s="7"/>
      <c r="D512" s="7"/>
      <c r="E512" s="7"/>
      <c r="F512" s="7"/>
      <c r="G512" s="7"/>
      <c r="H512" s="7"/>
      <c r="I512" s="7"/>
      <c r="J512" s="7"/>
      <c r="K512" s="7"/>
      <c r="L512" s="7"/>
      <c r="M512" s="7"/>
      <c r="N512" s="7"/>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c r="A513" s="112"/>
      <c r="B513" s="7" t="str">
        <f>IFERROR(__xludf.DUMMYFUNCTION("IF(A513="""","""",SUM(FILTER(#REF!,YEAR(FinishedData!$A:$A)=YEAR($A513),MONTH(FinishedData!$A:$A)=MONTH($A513),FinishedData!$B:$B=""Game"")))"),"")</f>
        <v/>
      </c>
      <c r="C513" s="7"/>
      <c r="D513" s="7"/>
      <c r="E513" s="7"/>
      <c r="F513" s="7"/>
      <c r="G513" s="7"/>
      <c r="H513" s="7"/>
      <c r="I513" s="7"/>
      <c r="J513" s="7"/>
      <c r="K513" s="7"/>
      <c r="L513" s="7"/>
      <c r="M513" s="7"/>
      <c r="N513" s="7"/>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c r="A514" s="112"/>
      <c r="B514" s="7" t="str">
        <f>IFERROR(__xludf.DUMMYFUNCTION("IF(A514="""","""",SUM(FILTER(#REF!,YEAR(FinishedData!$A:$A)=YEAR($A514),MONTH(FinishedData!$A:$A)=MONTH($A514),FinishedData!$B:$B=""Game"")))"),"")</f>
        <v/>
      </c>
      <c r="C514" s="7"/>
      <c r="D514" s="7"/>
      <c r="E514" s="7"/>
      <c r="F514" s="7"/>
      <c r="G514" s="7"/>
      <c r="H514" s="7"/>
      <c r="I514" s="7"/>
      <c r="J514" s="7"/>
      <c r="K514" s="7"/>
      <c r="L514" s="7"/>
      <c r="M514" s="7"/>
      <c r="N514" s="7"/>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c r="A515" s="112"/>
      <c r="B515" s="7" t="str">
        <f>IFERROR(__xludf.DUMMYFUNCTION("IF(A515="""","""",SUM(FILTER(#REF!,YEAR(FinishedData!$A:$A)=YEAR($A515),MONTH(FinishedData!$A:$A)=MONTH($A515),FinishedData!$B:$B=""Game"")))"),"")</f>
        <v/>
      </c>
      <c r="C515" s="7"/>
      <c r="D515" s="7"/>
      <c r="E515" s="7"/>
      <c r="F515" s="7"/>
      <c r="G515" s="7"/>
      <c r="H515" s="7"/>
      <c r="I515" s="7"/>
      <c r="J515" s="7"/>
      <c r="K515" s="7"/>
      <c r="L515" s="7"/>
      <c r="M515" s="7"/>
      <c r="N515" s="7"/>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c r="A516" s="112"/>
      <c r="B516" s="7" t="str">
        <f>IFERROR(__xludf.DUMMYFUNCTION("IF(A516="""","""",SUM(FILTER(#REF!,YEAR(FinishedData!$A:$A)=YEAR($A516),MONTH(FinishedData!$A:$A)=MONTH($A516),FinishedData!$B:$B=""Game"")))"),"")</f>
        <v/>
      </c>
      <c r="C516" s="7"/>
      <c r="D516" s="7"/>
      <c r="E516" s="7"/>
      <c r="F516" s="7"/>
      <c r="G516" s="7"/>
      <c r="H516" s="7"/>
      <c r="I516" s="7"/>
      <c r="J516" s="7"/>
      <c r="K516" s="7"/>
      <c r="L516" s="7"/>
      <c r="M516" s="7"/>
      <c r="N516" s="7"/>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c r="A517" s="112"/>
      <c r="B517" s="7" t="str">
        <f>IFERROR(__xludf.DUMMYFUNCTION("IF(A517="""","""",SUM(FILTER(#REF!,YEAR(FinishedData!$A:$A)=YEAR($A517),MONTH(FinishedData!$A:$A)=MONTH($A517),FinishedData!$B:$B=""Game"")))"),"")</f>
        <v/>
      </c>
      <c r="C517" s="7"/>
      <c r="D517" s="7"/>
      <c r="E517" s="7"/>
      <c r="F517" s="7"/>
      <c r="G517" s="7"/>
      <c r="H517" s="7"/>
      <c r="I517" s="7"/>
      <c r="J517" s="7"/>
      <c r="K517" s="7"/>
      <c r="L517" s="7"/>
      <c r="M517" s="7"/>
      <c r="N517" s="7"/>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c r="A518" s="112"/>
      <c r="B518" s="7" t="str">
        <f>IFERROR(__xludf.DUMMYFUNCTION("IF(A518="""","""",SUM(FILTER(#REF!,YEAR(FinishedData!$A:$A)=YEAR($A518),MONTH(FinishedData!$A:$A)=MONTH($A518),FinishedData!$B:$B=""Game"")))"),"")</f>
        <v/>
      </c>
      <c r="C518" s="7"/>
      <c r="D518" s="7"/>
      <c r="E518" s="7"/>
      <c r="F518" s="7"/>
      <c r="G518" s="7"/>
      <c r="H518" s="7"/>
      <c r="I518" s="7"/>
      <c r="J518" s="7"/>
      <c r="K518" s="7"/>
      <c r="L518" s="7"/>
      <c r="M518" s="7"/>
      <c r="N518" s="7"/>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c r="A519" s="112"/>
      <c r="B519" s="7" t="str">
        <f>IFERROR(__xludf.DUMMYFUNCTION("IF(A519="""","""",SUM(FILTER(#REF!,YEAR(FinishedData!$A:$A)=YEAR($A519),MONTH(FinishedData!$A:$A)=MONTH($A519),FinishedData!$B:$B=""Game"")))"),"")</f>
        <v/>
      </c>
      <c r="C519" s="7"/>
      <c r="D519" s="7"/>
      <c r="E519" s="7"/>
      <c r="F519" s="7"/>
      <c r="G519" s="7"/>
      <c r="H519" s="7"/>
      <c r="I519" s="7"/>
      <c r="J519" s="7"/>
      <c r="K519" s="7"/>
      <c r="L519" s="7"/>
      <c r="M519" s="7"/>
      <c r="N519" s="7"/>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c r="A520" s="112"/>
      <c r="B520" s="7" t="str">
        <f>IFERROR(__xludf.DUMMYFUNCTION("IF(A520="""","""",SUM(FILTER(#REF!,YEAR(FinishedData!$A:$A)=YEAR($A520),MONTH(FinishedData!$A:$A)=MONTH($A520),FinishedData!$B:$B=""Game"")))"),"")</f>
        <v/>
      </c>
      <c r="C520" s="7"/>
      <c r="D520" s="7"/>
      <c r="E520" s="7"/>
      <c r="F520" s="7"/>
      <c r="G520" s="7"/>
      <c r="H520" s="7"/>
      <c r="I520" s="7"/>
      <c r="J520" s="7"/>
      <c r="K520" s="7"/>
      <c r="L520" s="7"/>
      <c r="M520" s="7"/>
      <c r="N520" s="7"/>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c r="A521" s="112"/>
      <c r="B521" s="7" t="str">
        <f>IFERROR(__xludf.DUMMYFUNCTION("IF(A521="""","""",SUM(FILTER(#REF!,YEAR(FinishedData!$A:$A)=YEAR($A521),MONTH(FinishedData!$A:$A)=MONTH($A521),FinishedData!$B:$B=""Game"")))"),"")</f>
        <v/>
      </c>
      <c r="C521" s="7"/>
      <c r="D521" s="7"/>
      <c r="E521" s="7"/>
      <c r="F521" s="7"/>
      <c r="G521" s="7"/>
      <c r="H521" s="7"/>
      <c r="I521" s="7"/>
      <c r="J521" s="7"/>
      <c r="K521" s="7"/>
      <c r="L521" s="7"/>
      <c r="M521" s="7"/>
      <c r="N521" s="7"/>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c r="A522" s="112"/>
      <c r="B522" s="7" t="str">
        <f>IFERROR(__xludf.DUMMYFUNCTION("IF(A522="""","""",SUM(FILTER(#REF!,YEAR(FinishedData!$A:$A)=YEAR($A522),MONTH(FinishedData!$A:$A)=MONTH($A522),FinishedData!$B:$B=""Game"")))"),"")</f>
        <v/>
      </c>
      <c r="C522" s="7"/>
      <c r="D522" s="7"/>
      <c r="E522" s="7"/>
      <c r="F522" s="7"/>
      <c r="G522" s="7"/>
      <c r="H522" s="7"/>
      <c r="I522" s="7"/>
      <c r="J522" s="7"/>
      <c r="K522" s="7"/>
      <c r="L522" s="7"/>
      <c r="M522" s="7"/>
      <c r="N522" s="7"/>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c r="A523" s="112"/>
      <c r="B523" s="7" t="str">
        <f>IFERROR(__xludf.DUMMYFUNCTION("IF(A523="""","""",SUM(FILTER(#REF!,YEAR(FinishedData!$A:$A)=YEAR($A523),MONTH(FinishedData!$A:$A)=MONTH($A523),FinishedData!$B:$B=""Game"")))"),"")</f>
        <v/>
      </c>
      <c r="C523" s="7"/>
      <c r="D523" s="7"/>
      <c r="E523" s="7"/>
      <c r="F523" s="7"/>
      <c r="G523" s="7"/>
      <c r="H523" s="7"/>
      <c r="I523" s="7"/>
      <c r="J523" s="7"/>
      <c r="K523" s="7"/>
      <c r="L523" s="7"/>
      <c r="M523" s="7"/>
      <c r="N523" s="7"/>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c r="A524" s="112"/>
      <c r="B524" s="7" t="str">
        <f>IFERROR(__xludf.DUMMYFUNCTION("IF(A524="""","""",SUM(FILTER(#REF!,YEAR(FinishedData!$A:$A)=YEAR($A524),MONTH(FinishedData!$A:$A)=MONTH($A524),FinishedData!$B:$B=""Game"")))"),"")</f>
        <v/>
      </c>
      <c r="C524" s="7"/>
      <c r="D524" s="7"/>
      <c r="E524" s="7"/>
      <c r="F524" s="7"/>
      <c r="G524" s="7"/>
      <c r="H524" s="7"/>
      <c r="I524" s="7"/>
      <c r="J524" s="7"/>
      <c r="K524" s="7"/>
      <c r="L524" s="7"/>
      <c r="M524" s="7"/>
      <c r="N524" s="7"/>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c r="A525" s="112"/>
      <c r="B525" s="7" t="str">
        <f>IFERROR(__xludf.DUMMYFUNCTION("IF(A525="""","""",SUM(FILTER(#REF!,YEAR(FinishedData!$A:$A)=YEAR($A525),MONTH(FinishedData!$A:$A)=MONTH($A525),FinishedData!$B:$B=""Game"")))"),"")</f>
        <v/>
      </c>
      <c r="C525" s="7"/>
      <c r="D525" s="7"/>
      <c r="E525" s="7"/>
      <c r="F525" s="7"/>
      <c r="G525" s="7"/>
      <c r="H525" s="7"/>
      <c r="I525" s="7"/>
      <c r="J525" s="7"/>
      <c r="K525" s="7"/>
      <c r="L525" s="7"/>
      <c r="M525" s="7"/>
      <c r="N525" s="7"/>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c r="A526" s="112"/>
      <c r="B526" s="7" t="str">
        <f>IFERROR(__xludf.DUMMYFUNCTION("IF(A526="""","""",SUM(FILTER(#REF!,YEAR(FinishedData!$A:$A)=YEAR($A526),MONTH(FinishedData!$A:$A)=MONTH($A526),FinishedData!$B:$B=""Game"")))"),"")</f>
        <v/>
      </c>
      <c r="C526" s="7"/>
      <c r="D526" s="7"/>
      <c r="E526" s="7"/>
      <c r="F526" s="7"/>
      <c r="G526" s="7"/>
      <c r="H526" s="7"/>
      <c r="I526" s="7"/>
      <c r="J526" s="7"/>
      <c r="K526" s="7"/>
      <c r="L526" s="7"/>
      <c r="M526" s="7"/>
      <c r="N526" s="7"/>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c r="A527" s="112"/>
      <c r="B527" s="7" t="str">
        <f>IFERROR(__xludf.DUMMYFUNCTION("IF(A527="""","""",SUM(FILTER(#REF!,YEAR(FinishedData!$A:$A)=YEAR($A527),MONTH(FinishedData!$A:$A)=MONTH($A527),FinishedData!$B:$B=""Game"")))"),"")</f>
        <v/>
      </c>
      <c r="C527" s="7"/>
      <c r="D527" s="7"/>
      <c r="E527" s="7"/>
      <c r="F527" s="7"/>
      <c r="G527" s="7"/>
      <c r="H527" s="7"/>
      <c r="I527" s="7"/>
      <c r="J527" s="7"/>
      <c r="K527" s="7"/>
      <c r="L527" s="7"/>
      <c r="M527" s="7"/>
      <c r="N527" s="7"/>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c r="A528" s="112"/>
      <c r="B528" s="7" t="str">
        <f>IFERROR(__xludf.DUMMYFUNCTION("IF(A528="""","""",SUM(FILTER(#REF!,YEAR(FinishedData!$A:$A)=YEAR($A528),MONTH(FinishedData!$A:$A)=MONTH($A528),FinishedData!$B:$B=""Game"")))"),"")</f>
        <v/>
      </c>
      <c r="C528" s="7"/>
      <c r="D528" s="7"/>
      <c r="E528" s="7"/>
      <c r="F528" s="7"/>
      <c r="G528" s="7"/>
      <c r="H528" s="7"/>
      <c r="I528" s="7"/>
      <c r="J528" s="7"/>
      <c r="K528" s="7"/>
      <c r="L528" s="7"/>
      <c r="M528" s="7"/>
      <c r="N528" s="7"/>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c r="A529" s="112"/>
      <c r="B529" s="7" t="str">
        <f>IFERROR(__xludf.DUMMYFUNCTION("IF(A529="""","""",SUM(FILTER(#REF!,YEAR(FinishedData!$A:$A)=YEAR($A529),MONTH(FinishedData!$A:$A)=MONTH($A529),FinishedData!$B:$B=""Game"")))"),"")</f>
        <v/>
      </c>
      <c r="C529" s="7"/>
      <c r="D529" s="7"/>
      <c r="E529" s="7"/>
      <c r="F529" s="7"/>
      <c r="G529" s="7"/>
      <c r="H529" s="7"/>
      <c r="I529" s="7"/>
      <c r="J529" s="7"/>
      <c r="K529" s="7"/>
      <c r="L529" s="7"/>
      <c r="M529" s="7"/>
      <c r="N529" s="7"/>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c r="A530" s="112"/>
      <c r="B530" s="7" t="str">
        <f>IFERROR(__xludf.DUMMYFUNCTION("IF(A530="""","""",SUM(FILTER(#REF!,YEAR(FinishedData!$A:$A)=YEAR($A530),MONTH(FinishedData!$A:$A)=MONTH($A530),FinishedData!$B:$B=""Game"")))"),"")</f>
        <v/>
      </c>
      <c r="C530" s="7"/>
      <c r="D530" s="7"/>
      <c r="E530" s="7"/>
      <c r="F530" s="7"/>
      <c r="G530" s="7"/>
      <c r="H530" s="7"/>
      <c r="I530" s="7"/>
      <c r="J530" s="7"/>
      <c r="K530" s="7"/>
      <c r="L530" s="7"/>
      <c r="M530" s="7"/>
      <c r="N530" s="7"/>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c r="A531" s="112"/>
      <c r="B531" s="7" t="str">
        <f>IFERROR(__xludf.DUMMYFUNCTION("IF(A531="""","""",SUM(FILTER(#REF!,YEAR(FinishedData!$A:$A)=YEAR($A531),MONTH(FinishedData!$A:$A)=MONTH($A531),FinishedData!$B:$B=""Game"")))"),"")</f>
        <v/>
      </c>
      <c r="C531" s="7"/>
      <c r="D531" s="7"/>
      <c r="E531" s="7"/>
      <c r="F531" s="7"/>
      <c r="G531" s="7"/>
      <c r="H531" s="7"/>
      <c r="I531" s="7"/>
      <c r="J531" s="7"/>
      <c r="K531" s="7"/>
      <c r="L531" s="7"/>
      <c r="M531" s="7"/>
      <c r="N531" s="7"/>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c r="A532" s="112"/>
      <c r="B532" s="7" t="str">
        <f>IFERROR(__xludf.DUMMYFUNCTION("IF(A532="""","""",SUM(FILTER(#REF!,YEAR(FinishedData!$A:$A)=YEAR($A532),MONTH(FinishedData!$A:$A)=MONTH($A532),FinishedData!$B:$B=""Game"")))"),"")</f>
        <v/>
      </c>
      <c r="C532" s="7"/>
      <c r="D532" s="7"/>
      <c r="E532" s="7"/>
      <c r="F532" s="7"/>
      <c r="G532" s="7"/>
      <c r="H532" s="7"/>
      <c r="I532" s="7"/>
      <c r="J532" s="7"/>
      <c r="K532" s="7"/>
      <c r="L532" s="7"/>
      <c r="M532" s="7"/>
      <c r="N532" s="7"/>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c r="A533" s="112"/>
      <c r="B533" s="7" t="str">
        <f>IFERROR(__xludf.DUMMYFUNCTION("IF(A533="""","""",SUM(FILTER(#REF!,YEAR(FinishedData!$A:$A)=YEAR($A533),MONTH(FinishedData!$A:$A)=MONTH($A533),FinishedData!$B:$B=""Game"")))"),"")</f>
        <v/>
      </c>
      <c r="C533" s="7"/>
      <c r="D533" s="7"/>
      <c r="E533" s="7"/>
      <c r="F533" s="7"/>
      <c r="G533" s="7"/>
      <c r="H533" s="7"/>
      <c r="I533" s="7"/>
      <c r="J533" s="7"/>
      <c r="K533" s="7"/>
      <c r="L533" s="7"/>
      <c r="M533" s="7"/>
      <c r="N533" s="7"/>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c r="A534" s="112"/>
      <c r="B534" s="7" t="str">
        <f>IFERROR(__xludf.DUMMYFUNCTION("IF(A534="""","""",SUM(FILTER(#REF!,YEAR(FinishedData!$A:$A)=YEAR($A534),MONTH(FinishedData!$A:$A)=MONTH($A534),FinishedData!$B:$B=""Game"")))"),"")</f>
        <v/>
      </c>
      <c r="C534" s="7"/>
      <c r="D534" s="7"/>
      <c r="E534" s="7"/>
      <c r="F534" s="7"/>
      <c r="G534" s="7"/>
      <c r="H534" s="7"/>
      <c r="I534" s="7"/>
      <c r="J534" s="7"/>
      <c r="K534" s="7"/>
      <c r="L534" s="7"/>
      <c r="M534" s="7"/>
      <c r="N534" s="7"/>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c r="A535" s="112"/>
      <c r="B535" s="7" t="str">
        <f>IFERROR(__xludf.DUMMYFUNCTION("IF(A535="""","""",SUM(FILTER(#REF!,YEAR(FinishedData!$A:$A)=YEAR($A535),MONTH(FinishedData!$A:$A)=MONTH($A535),FinishedData!$B:$B=""Game"")))"),"")</f>
        <v/>
      </c>
      <c r="C535" s="7"/>
      <c r="D535" s="7"/>
      <c r="E535" s="7"/>
      <c r="F535" s="7"/>
      <c r="G535" s="7"/>
      <c r="H535" s="7"/>
      <c r="I535" s="7"/>
      <c r="J535" s="7"/>
      <c r="K535" s="7"/>
      <c r="L535" s="7"/>
      <c r="M535" s="7"/>
      <c r="N535" s="7"/>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c r="A536" s="112"/>
      <c r="B536" s="7" t="str">
        <f>IFERROR(__xludf.DUMMYFUNCTION("IF(A536="""","""",SUM(FILTER(#REF!,YEAR(FinishedData!$A:$A)=YEAR($A536),MONTH(FinishedData!$A:$A)=MONTH($A536),FinishedData!$B:$B=""Game"")))"),"")</f>
        <v/>
      </c>
      <c r="C536" s="7"/>
      <c r="D536" s="7"/>
      <c r="E536" s="7"/>
      <c r="F536" s="7"/>
      <c r="G536" s="7"/>
      <c r="H536" s="7"/>
      <c r="I536" s="7"/>
      <c r="J536" s="7"/>
      <c r="K536" s="7"/>
      <c r="L536" s="7"/>
      <c r="M536" s="7"/>
      <c r="N536" s="7"/>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c r="A537" s="112"/>
      <c r="B537" s="7" t="str">
        <f>IFERROR(__xludf.DUMMYFUNCTION("IF(A537="""","""",SUM(FILTER(#REF!,YEAR(FinishedData!$A:$A)=YEAR($A537),MONTH(FinishedData!$A:$A)=MONTH($A537),FinishedData!$B:$B=""Game"")))"),"")</f>
        <v/>
      </c>
      <c r="C537" s="7"/>
      <c r="D537" s="7"/>
      <c r="E537" s="7"/>
      <c r="F537" s="7"/>
      <c r="G537" s="7"/>
      <c r="H537" s="7"/>
      <c r="I537" s="7"/>
      <c r="J537" s="7"/>
      <c r="K537" s="7"/>
      <c r="L537" s="7"/>
      <c r="M537" s="7"/>
      <c r="N537" s="7"/>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c r="A538" s="112"/>
      <c r="B538" s="7" t="str">
        <f>IFERROR(__xludf.DUMMYFUNCTION("IF(A538="""","""",SUM(FILTER(#REF!,YEAR(FinishedData!$A:$A)=YEAR($A538),MONTH(FinishedData!$A:$A)=MONTH($A538),FinishedData!$B:$B=""Game"")))"),"")</f>
        <v/>
      </c>
      <c r="C538" s="7"/>
      <c r="D538" s="7"/>
      <c r="E538" s="7"/>
      <c r="F538" s="7"/>
      <c r="G538" s="7"/>
      <c r="H538" s="7"/>
      <c r="I538" s="7"/>
      <c r="J538" s="7"/>
      <c r="K538" s="7"/>
      <c r="L538" s="7"/>
      <c r="M538" s="7"/>
      <c r="N538" s="7"/>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c r="A539" s="112"/>
      <c r="B539" s="7" t="str">
        <f>IFERROR(__xludf.DUMMYFUNCTION("IF(A539="""","""",SUM(FILTER(#REF!,YEAR(FinishedData!$A:$A)=YEAR($A539),MONTH(FinishedData!$A:$A)=MONTH($A539),FinishedData!$B:$B=""Game"")))"),"")</f>
        <v/>
      </c>
      <c r="C539" s="7"/>
      <c r="D539" s="7"/>
      <c r="E539" s="7"/>
      <c r="F539" s="7"/>
      <c r="G539" s="7"/>
      <c r="H539" s="7"/>
      <c r="I539" s="7"/>
      <c r="J539" s="7"/>
      <c r="K539" s="7"/>
      <c r="L539" s="7"/>
      <c r="M539" s="7"/>
      <c r="N539" s="7"/>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c r="A540" s="112"/>
      <c r="B540" s="7" t="str">
        <f>IFERROR(__xludf.DUMMYFUNCTION("IF(A540="""","""",SUM(FILTER(#REF!,YEAR(FinishedData!$A:$A)=YEAR($A540),MONTH(FinishedData!$A:$A)=MONTH($A540),FinishedData!$B:$B=""Game"")))"),"")</f>
        <v/>
      </c>
      <c r="C540" s="7"/>
      <c r="D540" s="7"/>
      <c r="E540" s="7"/>
      <c r="F540" s="7"/>
      <c r="G540" s="7"/>
      <c r="H540" s="7"/>
      <c r="I540" s="7"/>
      <c r="J540" s="7"/>
      <c r="K540" s="7"/>
      <c r="L540" s="7"/>
      <c r="M540" s="7"/>
      <c r="N540" s="7"/>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c r="A541" s="112"/>
      <c r="B541" s="7" t="str">
        <f>IFERROR(__xludf.DUMMYFUNCTION("IF(A541="""","""",SUM(FILTER(#REF!,YEAR(FinishedData!$A:$A)=YEAR($A541),MONTH(FinishedData!$A:$A)=MONTH($A541),FinishedData!$B:$B=""Game"")))"),"")</f>
        <v/>
      </c>
      <c r="C541" s="7"/>
      <c r="D541" s="7"/>
      <c r="E541" s="7"/>
      <c r="F541" s="7"/>
      <c r="G541" s="7"/>
      <c r="H541" s="7"/>
      <c r="I541" s="7"/>
      <c r="J541" s="7"/>
      <c r="K541" s="7"/>
      <c r="L541" s="7"/>
      <c r="M541" s="7"/>
      <c r="N541" s="7"/>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c r="A542" s="112"/>
      <c r="B542" s="7" t="str">
        <f>IFERROR(__xludf.DUMMYFUNCTION("IF(A542="""","""",SUM(FILTER(#REF!,YEAR(FinishedData!$A:$A)=YEAR($A542),MONTH(FinishedData!$A:$A)=MONTH($A542),FinishedData!$B:$B=""Game"")))"),"")</f>
        <v/>
      </c>
      <c r="C542" s="7"/>
      <c r="D542" s="7"/>
      <c r="E542" s="7"/>
      <c r="F542" s="7"/>
      <c r="G542" s="7"/>
      <c r="H542" s="7"/>
      <c r="I542" s="7"/>
      <c r="J542" s="7"/>
      <c r="K542" s="7"/>
      <c r="L542" s="7"/>
      <c r="M542" s="7"/>
      <c r="N542" s="7"/>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c r="A543" s="112"/>
      <c r="B543" s="7" t="str">
        <f>IFERROR(__xludf.DUMMYFUNCTION("IF(A543="""","""",SUM(FILTER(#REF!,YEAR(FinishedData!$A:$A)=YEAR($A543),MONTH(FinishedData!$A:$A)=MONTH($A543),FinishedData!$B:$B=""Game"")))"),"")</f>
        <v/>
      </c>
      <c r="C543" s="7"/>
      <c r="D543" s="7"/>
      <c r="E543" s="7"/>
      <c r="F543" s="7"/>
      <c r="G543" s="7"/>
      <c r="H543" s="7"/>
      <c r="I543" s="7"/>
      <c r="J543" s="7"/>
      <c r="K543" s="7"/>
      <c r="L543" s="7"/>
      <c r="M543" s="7"/>
      <c r="N543" s="7"/>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c r="A544" s="112"/>
      <c r="B544" s="7" t="str">
        <f>IFERROR(__xludf.DUMMYFUNCTION("IF(A544="""","""",SUM(FILTER(#REF!,YEAR(FinishedData!$A:$A)=YEAR($A544),MONTH(FinishedData!$A:$A)=MONTH($A544),FinishedData!$B:$B=""Game"")))"),"")</f>
        <v/>
      </c>
      <c r="C544" s="7"/>
      <c r="D544" s="7"/>
      <c r="E544" s="7"/>
      <c r="F544" s="7"/>
      <c r="G544" s="7"/>
      <c r="H544" s="7"/>
      <c r="I544" s="7"/>
      <c r="J544" s="7"/>
      <c r="K544" s="7"/>
      <c r="L544" s="7"/>
      <c r="M544" s="7"/>
      <c r="N544" s="7"/>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c r="A545" s="112"/>
      <c r="B545" s="7" t="str">
        <f>IFERROR(__xludf.DUMMYFUNCTION("IF(A545="""","""",SUM(FILTER(#REF!,YEAR(FinishedData!$A:$A)=YEAR($A545),MONTH(FinishedData!$A:$A)=MONTH($A545),FinishedData!$B:$B=""Game"")))"),"")</f>
        <v/>
      </c>
      <c r="C545" s="7"/>
      <c r="D545" s="7"/>
      <c r="E545" s="7"/>
      <c r="F545" s="7"/>
      <c r="G545" s="7"/>
      <c r="H545" s="7"/>
      <c r="I545" s="7"/>
      <c r="J545" s="7"/>
      <c r="K545" s="7"/>
      <c r="L545" s="7"/>
      <c r="M545" s="7"/>
      <c r="N545" s="7"/>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c r="A546" s="112"/>
      <c r="B546" s="7" t="str">
        <f>IFERROR(__xludf.DUMMYFUNCTION("IF(A546="""","""",SUM(FILTER(#REF!,YEAR(FinishedData!$A:$A)=YEAR($A546),MONTH(FinishedData!$A:$A)=MONTH($A546),FinishedData!$B:$B=""Game"")))"),"")</f>
        <v/>
      </c>
      <c r="C546" s="7"/>
      <c r="D546" s="7"/>
      <c r="E546" s="7"/>
      <c r="F546" s="7"/>
      <c r="G546" s="7"/>
      <c r="H546" s="7"/>
      <c r="I546" s="7"/>
      <c r="J546" s="7"/>
      <c r="K546" s="7"/>
      <c r="L546" s="7"/>
      <c r="M546" s="7"/>
      <c r="N546" s="7"/>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c r="A547" s="112"/>
      <c r="B547" s="7" t="str">
        <f>IFERROR(__xludf.DUMMYFUNCTION("IF(A547="""","""",SUM(FILTER(#REF!,YEAR(FinishedData!$A:$A)=YEAR($A547),MONTH(FinishedData!$A:$A)=MONTH($A547),FinishedData!$B:$B=""Game"")))"),"")</f>
        <v/>
      </c>
      <c r="C547" s="7"/>
      <c r="D547" s="7"/>
      <c r="E547" s="7"/>
      <c r="F547" s="7"/>
      <c r="G547" s="7"/>
      <c r="H547" s="7"/>
      <c r="I547" s="7"/>
      <c r="J547" s="7"/>
      <c r="K547" s="7"/>
      <c r="L547" s="7"/>
      <c r="M547" s="7"/>
      <c r="N547" s="7"/>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c r="A548" s="112"/>
      <c r="B548" s="7" t="str">
        <f>IFERROR(__xludf.DUMMYFUNCTION("IF(A548="""","""",SUM(FILTER(#REF!,YEAR(FinishedData!$A:$A)=YEAR($A548),MONTH(FinishedData!$A:$A)=MONTH($A548),FinishedData!$B:$B=""Game"")))"),"")</f>
        <v/>
      </c>
      <c r="C548" s="7"/>
      <c r="D548" s="7"/>
      <c r="E548" s="7"/>
      <c r="F548" s="7"/>
      <c r="G548" s="7"/>
      <c r="H548" s="7"/>
      <c r="I548" s="7"/>
      <c r="J548" s="7"/>
      <c r="K548" s="7"/>
      <c r="L548" s="7"/>
      <c r="M548" s="7"/>
      <c r="N548" s="7"/>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c r="A549" s="112"/>
      <c r="B549" s="7" t="str">
        <f>IFERROR(__xludf.DUMMYFUNCTION("IF(A549="""","""",SUM(FILTER(#REF!,YEAR(FinishedData!$A:$A)=YEAR($A549),MONTH(FinishedData!$A:$A)=MONTH($A549),FinishedData!$B:$B=""Game"")))"),"")</f>
        <v/>
      </c>
      <c r="C549" s="7"/>
      <c r="D549" s="7"/>
      <c r="E549" s="7"/>
      <c r="F549" s="7"/>
      <c r="G549" s="7"/>
      <c r="H549" s="7"/>
      <c r="I549" s="7"/>
      <c r="J549" s="7"/>
      <c r="K549" s="7"/>
      <c r="L549" s="7"/>
      <c r="M549" s="7"/>
      <c r="N549" s="7"/>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c r="A550" s="112"/>
      <c r="B550" s="7" t="str">
        <f>IFERROR(__xludf.DUMMYFUNCTION("IF(A550="""","""",SUM(FILTER(#REF!,YEAR(FinishedData!$A:$A)=YEAR($A550),MONTH(FinishedData!$A:$A)=MONTH($A550),FinishedData!$B:$B=""Game"")))"),"")</f>
        <v/>
      </c>
      <c r="C550" s="7"/>
      <c r="D550" s="7"/>
      <c r="E550" s="7"/>
      <c r="F550" s="7"/>
      <c r="G550" s="7"/>
      <c r="H550" s="7"/>
      <c r="I550" s="7"/>
      <c r="J550" s="7"/>
      <c r="K550" s="7"/>
      <c r="L550" s="7"/>
      <c r="M550" s="7"/>
      <c r="N550" s="7"/>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c r="A551" s="112"/>
      <c r="B551" s="7" t="str">
        <f>IFERROR(__xludf.DUMMYFUNCTION("IF(A551="""","""",SUM(FILTER(#REF!,YEAR(FinishedData!$A:$A)=YEAR($A551),MONTH(FinishedData!$A:$A)=MONTH($A551),FinishedData!$B:$B=""Game"")))"),"")</f>
        <v/>
      </c>
      <c r="C551" s="7"/>
      <c r="D551" s="7"/>
      <c r="E551" s="7"/>
      <c r="F551" s="7"/>
      <c r="G551" s="7"/>
      <c r="H551" s="7"/>
      <c r="I551" s="7"/>
      <c r="J551" s="7"/>
      <c r="K551" s="7"/>
      <c r="L551" s="7"/>
      <c r="M551" s="7"/>
      <c r="N551" s="7"/>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c r="A552" s="112"/>
      <c r="B552" s="7" t="str">
        <f>IFERROR(__xludf.DUMMYFUNCTION("IF(A552="""","""",SUM(FILTER(#REF!,YEAR(FinishedData!$A:$A)=YEAR($A552),MONTH(FinishedData!$A:$A)=MONTH($A552),FinishedData!$B:$B=""Game"")))"),"")</f>
        <v/>
      </c>
      <c r="C552" s="7"/>
      <c r="D552" s="7"/>
      <c r="E552" s="7"/>
      <c r="F552" s="7"/>
      <c r="G552" s="7"/>
      <c r="H552" s="7"/>
      <c r="I552" s="7"/>
      <c r="J552" s="7"/>
      <c r="K552" s="7"/>
      <c r="L552" s="7"/>
      <c r="M552" s="7"/>
      <c r="N552" s="7"/>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c r="A553" s="112"/>
      <c r="B553" s="7" t="str">
        <f>IFERROR(__xludf.DUMMYFUNCTION("IF(A553="""","""",SUM(FILTER(#REF!,YEAR(FinishedData!$A:$A)=YEAR($A553),MONTH(FinishedData!$A:$A)=MONTH($A553),FinishedData!$B:$B=""Game"")))"),"")</f>
        <v/>
      </c>
      <c r="C553" s="7"/>
      <c r="D553" s="7"/>
      <c r="E553" s="7"/>
      <c r="F553" s="7"/>
      <c r="G553" s="7"/>
      <c r="H553" s="7"/>
      <c r="I553" s="7"/>
      <c r="J553" s="7"/>
      <c r="K553" s="7"/>
      <c r="L553" s="7"/>
      <c r="M553" s="7"/>
      <c r="N553" s="7"/>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c r="A554" s="112"/>
      <c r="B554" s="7" t="str">
        <f>IFERROR(__xludf.DUMMYFUNCTION("IF(A554="""","""",SUM(FILTER(#REF!,YEAR(FinishedData!$A:$A)=YEAR($A554),MONTH(FinishedData!$A:$A)=MONTH($A554),FinishedData!$B:$B=""Game"")))"),"")</f>
        <v/>
      </c>
      <c r="C554" s="7"/>
      <c r="D554" s="7"/>
      <c r="E554" s="7"/>
      <c r="F554" s="7"/>
      <c r="G554" s="7"/>
      <c r="H554" s="7"/>
      <c r="I554" s="7"/>
      <c r="J554" s="7"/>
      <c r="K554" s="7"/>
      <c r="L554" s="7"/>
      <c r="M554" s="7"/>
      <c r="N554" s="7"/>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c r="A555" s="112"/>
      <c r="B555" s="7" t="str">
        <f>IFERROR(__xludf.DUMMYFUNCTION("IF(A555="""","""",SUM(FILTER(#REF!,YEAR(FinishedData!$A:$A)=YEAR($A555),MONTH(FinishedData!$A:$A)=MONTH($A555),FinishedData!$B:$B=""Game"")))"),"")</f>
        <v/>
      </c>
      <c r="C555" s="7"/>
      <c r="D555" s="7"/>
      <c r="E555" s="7"/>
      <c r="F555" s="7"/>
      <c r="G555" s="7"/>
      <c r="H555" s="7"/>
      <c r="I555" s="7"/>
      <c r="J555" s="7"/>
      <c r="K555" s="7"/>
      <c r="L555" s="7"/>
      <c r="M555" s="7"/>
      <c r="N555" s="7"/>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c r="A556" s="112"/>
      <c r="B556" s="7" t="str">
        <f>IFERROR(__xludf.DUMMYFUNCTION("IF(A556="""","""",SUM(FILTER(#REF!,YEAR(FinishedData!$A:$A)=YEAR($A556),MONTH(FinishedData!$A:$A)=MONTH($A556),FinishedData!$B:$B=""Game"")))"),"")</f>
        <v/>
      </c>
      <c r="C556" s="7"/>
      <c r="D556" s="7"/>
      <c r="E556" s="7"/>
      <c r="F556" s="7"/>
      <c r="G556" s="7"/>
      <c r="H556" s="7"/>
      <c r="I556" s="7"/>
      <c r="J556" s="7"/>
      <c r="K556" s="7"/>
      <c r="L556" s="7"/>
      <c r="M556" s="7"/>
      <c r="N556" s="7"/>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c r="A557" s="112"/>
      <c r="B557" s="7" t="str">
        <f>IFERROR(__xludf.DUMMYFUNCTION("IF(A557="""","""",SUM(FILTER(#REF!,YEAR(FinishedData!$A:$A)=YEAR($A557),MONTH(FinishedData!$A:$A)=MONTH($A557),FinishedData!$B:$B=""Game"")))"),"")</f>
        <v/>
      </c>
      <c r="C557" s="7"/>
      <c r="D557" s="7"/>
      <c r="E557" s="7"/>
      <c r="F557" s="7"/>
      <c r="G557" s="7"/>
      <c r="H557" s="7"/>
      <c r="I557" s="7"/>
      <c r="J557" s="7"/>
      <c r="K557" s="7"/>
      <c r="L557" s="7"/>
      <c r="M557" s="7"/>
      <c r="N557" s="7"/>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c r="A558" s="112"/>
      <c r="B558" s="7" t="str">
        <f>IFERROR(__xludf.DUMMYFUNCTION("IF(A558="""","""",SUM(FILTER(#REF!,YEAR(FinishedData!$A:$A)=YEAR($A558),MONTH(FinishedData!$A:$A)=MONTH($A558),FinishedData!$B:$B=""Game"")))"),"")</f>
        <v/>
      </c>
      <c r="C558" s="7"/>
      <c r="D558" s="7"/>
      <c r="E558" s="7"/>
      <c r="F558" s="7"/>
      <c r="G558" s="7"/>
      <c r="H558" s="7"/>
      <c r="I558" s="7"/>
      <c r="J558" s="7"/>
      <c r="K558" s="7"/>
      <c r="L558" s="7"/>
      <c r="M558" s="7"/>
      <c r="N558" s="7"/>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c r="A559" s="112"/>
      <c r="B559" s="7" t="str">
        <f>IFERROR(__xludf.DUMMYFUNCTION("IF(A559="""","""",SUM(FILTER(#REF!,YEAR(FinishedData!$A:$A)=YEAR($A559),MONTH(FinishedData!$A:$A)=MONTH($A559),FinishedData!$B:$B=""Game"")))"),"")</f>
        <v/>
      </c>
      <c r="C559" s="7"/>
      <c r="D559" s="7"/>
      <c r="E559" s="7"/>
      <c r="F559" s="7"/>
      <c r="G559" s="7"/>
      <c r="H559" s="7"/>
      <c r="I559" s="7"/>
      <c r="J559" s="7"/>
      <c r="K559" s="7"/>
      <c r="L559" s="7"/>
      <c r="M559" s="7"/>
      <c r="N559" s="7"/>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c r="A560" s="112"/>
      <c r="B560" s="7" t="str">
        <f>IFERROR(__xludf.DUMMYFUNCTION("IF(A560="""","""",SUM(FILTER(#REF!,YEAR(FinishedData!$A:$A)=YEAR($A560),MONTH(FinishedData!$A:$A)=MONTH($A560),FinishedData!$B:$B=""Game"")))"),"")</f>
        <v/>
      </c>
      <c r="C560" s="7"/>
      <c r="D560" s="7"/>
      <c r="E560" s="7"/>
      <c r="F560" s="7"/>
      <c r="G560" s="7"/>
      <c r="H560" s="7"/>
      <c r="I560" s="7"/>
      <c r="J560" s="7"/>
      <c r="K560" s="7"/>
      <c r="L560" s="7"/>
      <c r="M560" s="7"/>
      <c r="N560" s="7"/>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c r="A561" s="112"/>
      <c r="B561" s="7" t="str">
        <f>IFERROR(__xludf.DUMMYFUNCTION("IF(A561="""","""",SUM(FILTER(#REF!,YEAR(FinishedData!$A:$A)=YEAR($A561),MONTH(FinishedData!$A:$A)=MONTH($A561),FinishedData!$B:$B=""Game"")))"),"")</f>
        <v/>
      </c>
      <c r="C561" s="7"/>
      <c r="D561" s="7"/>
      <c r="E561" s="7"/>
      <c r="F561" s="7"/>
      <c r="G561" s="7"/>
      <c r="H561" s="7"/>
      <c r="I561" s="7"/>
      <c r="J561" s="7"/>
      <c r="K561" s="7"/>
      <c r="L561" s="7"/>
      <c r="M561" s="7"/>
      <c r="N561" s="7"/>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c r="A562" s="112"/>
      <c r="B562" s="7" t="str">
        <f>IFERROR(__xludf.DUMMYFUNCTION("IF(A562="""","""",SUM(FILTER(#REF!,YEAR(FinishedData!$A:$A)=YEAR($A562),MONTH(FinishedData!$A:$A)=MONTH($A562),FinishedData!$B:$B=""Game"")))"),"")</f>
        <v/>
      </c>
      <c r="C562" s="7"/>
      <c r="D562" s="7"/>
      <c r="E562" s="7"/>
      <c r="F562" s="7"/>
      <c r="G562" s="7"/>
      <c r="H562" s="7"/>
      <c r="I562" s="7"/>
      <c r="J562" s="7"/>
      <c r="K562" s="7"/>
      <c r="L562" s="7"/>
      <c r="M562" s="7"/>
      <c r="N562" s="7"/>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c r="A563" s="112"/>
      <c r="B563" s="7" t="str">
        <f>IFERROR(__xludf.DUMMYFUNCTION("IF(A563="""","""",SUM(FILTER(#REF!,YEAR(FinishedData!$A:$A)=YEAR($A563),MONTH(FinishedData!$A:$A)=MONTH($A563),FinishedData!$B:$B=""Game"")))"),"")</f>
        <v/>
      </c>
      <c r="C563" s="7"/>
      <c r="D563" s="7"/>
      <c r="E563" s="7"/>
      <c r="F563" s="7"/>
      <c r="G563" s="7"/>
      <c r="H563" s="7"/>
      <c r="I563" s="7"/>
      <c r="J563" s="7"/>
      <c r="K563" s="7"/>
      <c r="L563" s="7"/>
      <c r="M563" s="7"/>
      <c r="N563" s="7"/>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c r="A564" s="112"/>
      <c r="B564" s="7" t="str">
        <f>IFERROR(__xludf.DUMMYFUNCTION("IF(A564="""","""",SUM(FILTER(#REF!,YEAR(FinishedData!$A:$A)=YEAR($A564),MONTH(FinishedData!$A:$A)=MONTH($A564),FinishedData!$B:$B=""Game"")))"),"")</f>
        <v/>
      </c>
      <c r="C564" s="7"/>
      <c r="D564" s="7"/>
      <c r="E564" s="7"/>
      <c r="F564" s="7"/>
      <c r="G564" s="7"/>
      <c r="H564" s="7"/>
      <c r="I564" s="7"/>
      <c r="J564" s="7"/>
      <c r="K564" s="7"/>
      <c r="L564" s="7"/>
      <c r="M564" s="7"/>
      <c r="N564" s="7"/>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c r="A565" s="112"/>
      <c r="B565" s="7" t="str">
        <f>IFERROR(__xludf.DUMMYFUNCTION("IF(A565="""","""",SUM(FILTER(#REF!,YEAR(FinishedData!$A:$A)=YEAR($A565),MONTH(FinishedData!$A:$A)=MONTH($A565),FinishedData!$B:$B=""Game"")))"),"")</f>
        <v/>
      </c>
      <c r="C565" s="7"/>
      <c r="D565" s="7"/>
      <c r="E565" s="7"/>
      <c r="F565" s="7"/>
      <c r="G565" s="7"/>
      <c r="H565" s="7"/>
      <c r="I565" s="7"/>
      <c r="J565" s="7"/>
      <c r="K565" s="7"/>
      <c r="L565" s="7"/>
      <c r="M565" s="7"/>
      <c r="N565" s="7"/>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c r="A566" s="112"/>
      <c r="B566" s="7" t="str">
        <f>IFERROR(__xludf.DUMMYFUNCTION("IF(A566="""","""",SUM(FILTER(#REF!,YEAR(FinishedData!$A:$A)=YEAR($A566),MONTH(FinishedData!$A:$A)=MONTH($A566),FinishedData!$B:$B=""Game"")))"),"")</f>
        <v/>
      </c>
      <c r="C566" s="7"/>
      <c r="D566" s="7"/>
      <c r="E566" s="7"/>
      <c r="F566" s="7"/>
      <c r="G566" s="7"/>
      <c r="H566" s="7"/>
      <c r="I566" s="7"/>
      <c r="J566" s="7"/>
      <c r="K566" s="7"/>
      <c r="L566" s="7"/>
      <c r="M566" s="7"/>
      <c r="N566" s="7"/>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c r="A567" s="112"/>
      <c r="B567" s="7" t="str">
        <f>IFERROR(__xludf.DUMMYFUNCTION("IF(A567="""","""",SUM(FILTER(#REF!,YEAR(FinishedData!$A:$A)=YEAR($A567),MONTH(FinishedData!$A:$A)=MONTH($A567),FinishedData!$B:$B=""Game"")))"),"")</f>
        <v/>
      </c>
      <c r="C567" s="7"/>
      <c r="D567" s="7"/>
      <c r="E567" s="7"/>
      <c r="F567" s="7"/>
      <c r="G567" s="7"/>
      <c r="H567" s="7"/>
      <c r="I567" s="7"/>
      <c r="J567" s="7"/>
      <c r="K567" s="7"/>
      <c r="L567" s="7"/>
      <c r="M567" s="7"/>
      <c r="N567" s="7"/>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c r="A568" s="112"/>
      <c r="B568" s="7" t="str">
        <f>IFERROR(__xludf.DUMMYFUNCTION("IF(A568="""","""",SUM(FILTER(#REF!,YEAR(FinishedData!$A:$A)=YEAR($A568),MONTH(FinishedData!$A:$A)=MONTH($A568),FinishedData!$B:$B=""Game"")))"),"")</f>
        <v/>
      </c>
      <c r="C568" s="7"/>
      <c r="D568" s="7"/>
      <c r="E568" s="7"/>
      <c r="F568" s="7"/>
      <c r="G568" s="7"/>
      <c r="H568" s="7"/>
      <c r="I568" s="7"/>
      <c r="J568" s="7"/>
      <c r="K568" s="7"/>
      <c r="L568" s="7"/>
      <c r="M568" s="7"/>
      <c r="N568" s="7"/>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c r="A569" s="112"/>
      <c r="B569" s="7" t="str">
        <f>IFERROR(__xludf.DUMMYFUNCTION("IF(A569="""","""",SUM(FILTER(#REF!,YEAR(FinishedData!$A:$A)=YEAR($A569),MONTH(FinishedData!$A:$A)=MONTH($A569),FinishedData!$B:$B=""Game"")))"),"")</f>
        <v/>
      </c>
      <c r="C569" s="7"/>
      <c r="D569" s="7"/>
      <c r="E569" s="7"/>
      <c r="F569" s="7"/>
      <c r="G569" s="7"/>
      <c r="H569" s="7"/>
      <c r="I569" s="7"/>
      <c r="J569" s="7"/>
      <c r="K569" s="7"/>
      <c r="L569" s="7"/>
      <c r="M569" s="7"/>
      <c r="N569" s="7"/>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c r="A570" s="112"/>
      <c r="B570" s="7" t="str">
        <f>IFERROR(__xludf.DUMMYFUNCTION("IF(A570="""","""",SUM(FILTER(#REF!,YEAR(FinishedData!$A:$A)=YEAR($A570),MONTH(FinishedData!$A:$A)=MONTH($A570),FinishedData!$B:$B=""Game"")))"),"")</f>
        <v/>
      </c>
      <c r="C570" s="7"/>
      <c r="D570" s="7"/>
      <c r="E570" s="7"/>
      <c r="F570" s="7"/>
      <c r="G570" s="7"/>
      <c r="H570" s="7"/>
      <c r="I570" s="7"/>
      <c r="J570" s="7"/>
      <c r="K570" s="7"/>
      <c r="L570" s="7"/>
      <c r="M570" s="7"/>
      <c r="N570" s="7"/>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c r="A571" s="112"/>
      <c r="B571" s="7" t="str">
        <f>IFERROR(__xludf.DUMMYFUNCTION("IF(A571="""","""",SUM(FILTER(#REF!,YEAR(FinishedData!$A:$A)=YEAR($A571),MONTH(FinishedData!$A:$A)=MONTH($A571),FinishedData!$B:$B=""Game"")))"),"")</f>
        <v/>
      </c>
      <c r="C571" s="7"/>
      <c r="D571" s="7"/>
      <c r="E571" s="7"/>
      <c r="F571" s="7"/>
      <c r="G571" s="7"/>
      <c r="H571" s="7"/>
      <c r="I571" s="7"/>
      <c r="J571" s="7"/>
      <c r="K571" s="7"/>
      <c r="L571" s="7"/>
      <c r="M571" s="7"/>
      <c r="N571" s="7"/>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c r="A572" s="112"/>
      <c r="B572" s="7" t="str">
        <f>IFERROR(__xludf.DUMMYFUNCTION("IF(A572="""","""",SUM(FILTER(#REF!,YEAR(FinishedData!$A:$A)=YEAR($A572),MONTH(FinishedData!$A:$A)=MONTH($A572),FinishedData!$B:$B=""Game"")))"),"")</f>
        <v/>
      </c>
      <c r="C572" s="7"/>
      <c r="D572" s="7"/>
      <c r="E572" s="7"/>
      <c r="F572" s="7"/>
      <c r="G572" s="7"/>
      <c r="H572" s="7"/>
      <c r="I572" s="7"/>
      <c r="J572" s="7"/>
      <c r="K572" s="7"/>
      <c r="L572" s="7"/>
      <c r="M572" s="7"/>
      <c r="N572" s="7"/>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c r="A573" s="112"/>
      <c r="B573" s="7" t="str">
        <f>IFERROR(__xludf.DUMMYFUNCTION("IF(A573="""","""",SUM(FILTER(#REF!,YEAR(FinishedData!$A:$A)=YEAR($A573),MONTH(FinishedData!$A:$A)=MONTH($A573),FinishedData!$B:$B=""Game"")))"),"")</f>
        <v/>
      </c>
      <c r="C573" s="7"/>
      <c r="D573" s="7"/>
      <c r="E573" s="7"/>
      <c r="F573" s="7"/>
      <c r="G573" s="7"/>
      <c r="H573" s="7"/>
      <c r="I573" s="7"/>
      <c r="J573" s="7"/>
      <c r="K573" s="7"/>
      <c r="L573" s="7"/>
      <c r="M573" s="7"/>
      <c r="N573" s="7"/>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c r="A574" s="112"/>
      <c r="B574" s="7" t="str">
        <f>IFERROR(__xludf.DUMMYFUNCTION("IF(A574="""","""",SUM(FILTER(#REF!,YEAR(FinishedData!$A:$A)=YEAR($A574),MONTH(FinishedData!$A:$A)=MONTH($A574),FinishedData!$B:$B=""Game"")))"),"")</f>
        <v/>
      </c>
      <c r="C574" s="7"/>
      <c r="D574" s="7"/>
      <c r="E574" s="7"/>
      <c r="F574" s="7"/>
      <c r="G574" s="7"/>
      <c r="H574" s="7"/>
      <c r="I574" s="7"/>
      <c r="J574" s="7"/>
      <c r="K574" s="7"/>
      <c r="L574" s="7"/>
      <c r="M574" s="7"/>
      <c r="N574" s="7"/>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c r="A575" s="112"/>
      <c r="B575" s="7" t="str">
        <f>IFERROR(__xludf.DUMMYFUNCTION("IF(A575="""","""",SUM(FILTER(#REF!,YEAR(FinishedData!$A:$A)=YEAR($A575),MONTH(FinishedData!$A:$A)=MONTH($A575),FinishedData!$B:$B=""Game"")))"),"")</f>
        <v/>
      </c>
      <c r="C575" s="7"/>
      <c r="D575" s="7"/>
      <c r="E575" s="7"/>
      <c r="F575" s="7"/>
      <c r="G575" s="7"/>
      <c r="H575" s="7"/>
      <c r="I575" s="7"/>
      <c r="J575" s="7"/>
      <c r="K575" s="7"/>
      <c r="L575" s="7"/>
      <c r="M575" s="7"/>
      <c r="N575" s="7"/>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c r="A576" s="112"/>
      <c r="B576" s="7" t="str">
        <f>IFERROR(__xludf.DUMMYFUNCTION("IF(A576="""","""",SUM(FILTER(#REF!,YEAR(FinishedData!$A:$A)=YEAR($A576),MONTH(FinishedData!$A:$A)=MONTH($A576),FinishedData!$B:$B=""Game"")))"),"")</f>
        <v/>
      </c>
      <c r="C576" s="7"/>
      <c r="D576" s="7"/>
      <c r="E576" s="7"/>
      <c r="F576" s="7"/>
      <c r="G576" s="7"/>
      <c r="H576" s="7"/>
      <c r="I576" s="7"/>
      <c r="J576" s="7"/>
      <c r="K576" s="7"/>
      <c r="L576" s="7"/>
      <c r="M576" s="7"/>
      <c r="N576" s="7"/>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c r="A577" s="112"/>
      <c r="B577" s="7" t="str">
        <f>IFERROR(__xludf.DUMMYFUNCTION("IF(A577="""","""",SUM(FILTER(#REF!,YEAR(FinishedData!$A:$A)=YEAR($A577),MONTH(FinishedData!$A:$A)=MONTH($A577),FinishedData!$B:$B=""Game"")))"),"")</f>
        <v/>
      </c>
      <c r="C577" s="7"/>
      <c r="D577" s="7"/>
      <c r="E577" s="7"/>
      <c r="F577" s="7"/>
      <c r="G577" s="7"/>
      <c r="H577" s="7"/>
      <c r="I577" s="7"/>
      <c r="J577" s="7"/>
      <c r="K577" s="7"/>
      <c r="L577" s="7"/>
      <c r="M577" s="7"/>
      <c r="N577" s="7"/>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c r="A578" s="112"/>
      <c r="B578" s="7" t="str">
        <f>IFERROR(__xludf.DUMMYFUNCTION("IF(A578="""","""",SUM(FILTER(#REF!,YEAR(FinishedData!$A:$A)=YEAR($A578),MONTH(FinishedData!$A:$A)=MONTH($A578),FinishedData!$B:$B=""Game"")))"),"")</f>
        <v/>
      </c>
      <c r="C578" s="7"/>
      <c r="D578" s="7"/>
      <c r="E578" s="7"/>
      <c r="F578" s="7"/>
      <c r="G578" s="7"/>
      <c r="H578" s="7"/>
      <c r="I578" s="7"/>
      <c r="J578" s="7"/>
      <c r="K578" s="7"/>
      <c r="L578" s="7"/>
      <c r="M578" s="7"/>
      <c r="N578" s="7"/>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c r="A579" s="112"/>
      <c r="B579" s="7" t="str">
        <f>IFERROR(__xludf.DUMMYFUNCTION("IF(A579="""","""",SUM(FILTER(#REF!,YEAR(FinishedData!$A:$A)=YEAR($A579),MONTH(FinishedData!$A:$A)=MONTH($A579),FinishedData!$B:$B=""Game"")))"),"")</f>
        <v/>
      </c>
      <c r="C579" s="7"/>
      <c r="D579" s="7"/>
      <c r="E579" s="7"/>
      <c r="F579" s="7"/>
      <c r="G579" s="7"/>
      <c r="H579" s="7"/>
      <c r="I579" s="7"/>
      <c r="J579" s="7"/>
      <c r="K579" s="7"/>
      <c r="L579" s="7"/>
      <c r="M579" s="7"/>
      <c r="N579" s="7"/>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c r="A580" s="112"/>
      <c r="B580" s="7" t="str">
        <f>IFERROR(__xludf.DUMMYFUNCTION("IF(A580="""","""",SUM(FILTER(#REF!,YEAR(FinishedData!$A:$A)=YEAR($A580),MONTH(FinishedData!$A:$A)=MONTH($A580),FinishedData!$B:$B=""Game"")))"),"")</f>
        <v/>
      </c>
      <c r="C580" s="7"/>
      <c r="D580" s="7"/>
      <c r="E580" s="7"/>
      <c r="F580" s="7"/>
      <c r="G580" s="7"/>
      <c r="H580" s="7"/>
      <c r="I580" s="7"/>
      <c r="J580" s="7"/>
      <c r="K580" s="7"/>
      <c r="L580" s="7"/>
      <c r="M580" s="7"/>
      <c r="N580" s="7"/>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c r="A581" s="112"/>
      <c r="B581" s="7" t="str">
        <f>IFERROR(__xludf.DUMMYFUNCTION("IF(A581="""","""",SUM(FILTER(#REF!,YEAR(FinishedData!$A:$A)=YEAR($A581),MONTH(FinishedData!$A:$A)=MONTH($A581),FinishedData!$B:$B=""Game"")))"),"")</f>
        <v/>
      </c>
      <c r="C581" s="7"/>
      <c r="D581" s="7"/>
      <c r="E581" s="7"/>
      <c r="F581" s="7"/>
      <c r="G581" s="7"/>
      <c r="H581" s="7"/>
      <c r="I581" s="7"/>
      <c r="J581" s="7"/>
      <c r="K581" s="7"/>
      <c r="L581" s="7"/>
      <c r="M581" s="7"/>
      <c r="N581" s="7"/>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c r="A582" s="112"/>
      <c r="B582" s="7" t="str">
        <f>IFERROR(__xludf.DUMMYFUNCTION("IF(A582="""","""",SUM(FILTER(#REF!,YEAR(FinishedData!$A:$A)=YEAR($A582),MONTH(FinishedData!$A:$A)=MONTH($A582),FinishedData!$B:$B=""Game"")))"),"")</f>
        <v/>
      </c>
      <c r="C582" s="7"/>
      <c r="D582" s="7"/>
      <c r="E582" s="7"/>
      <c r="F582" s="7"/>
      <c r="G582" s="7"/>
      <c r="H582" s="7"/>
      <c r="I582" s="7"/>
      <c r="J582" s="7"/>
      <c r="K582" s="7"/>
      <c r="L582" s="7"/>
      <c r="M582" s="7"/>
      <c r="N582" s="7"/>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c r="A583" s="112"/>
      <c r="B583" s="7" t="str">
        <f>IFERROR(__xludf.DUMMYFUNCTION("IF(A583="""","""",SUM(FILTER(#REF!,YEAR(FinishedData!$A:$A)=YEAR($A583),MONTH(FinishedData!$A:$A)=MONTH($A583),FinishedData!$B:$B=""Game"")))"),"")</f>
        <v/>
      </c>
      <c r="C583" s="7"/>
      <c r="D583" s="7"/>
      <c r="E583" s="7"/>
      <c r="F583" s="7"/>
      <c r="G583" s="7"/>
      <c r="H583" s="7"/>
      <c r="I583" s="7"/>
      <c r="J583" s="7"/>
      <c r="K583" s="7"/>
      <c r="L583" s="7"/>
      <c r="M583" s="7"/>
      <c r="N583" s="7"/>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c r="A584" s="112"/>
      <c r="B584" s="7" t="str">
        <f>IFERROR(__xludf.DUMMYFUNCTION("IF(A584="""","""",SUM(FILTER(#REF!,YEAR(FinishedData!$A:$A)=YEAR($A584),MONTH(FinishedData!$A:$A)=MONTH($A584),FinishedData!$B:$B=""Game"")))"),"")</f>
        <v/>
      </c>
      <c r="C584" s="7"/>
      <c r="D584" s="7"/>
      <c r="E584" s="7"/>
      <c r="F584" s="7"/>
      <c r="G584" s="7"/>
      <c r="H584" s="7"/>
      <c r="I584" s="7"/>
      <c r="J584" s="7"/>
      <c r="K584" s="7"/>
      <c r="L584" s="7"/>
      <c r="M584" s="7"/>
      <c r="N584" s="7"/>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c r="A585" s="112"/>
      <c r="B585" s="7" t="str">
        <f>IFERROR(__xludf.DUMMYFUNCTION("IF(A585="""","""",SUM(FILTER(#REF!,YEAR(FinishedData!$A:$A)=YEAR($A585),MONTH(FinishedData!$A:$A)=MONTH($A585),FinishedData!$B:$B=""Game"")))"),"")</f>
        <v/>
      </c>
      <c r="C585" s="7"/>
      <c r="D585" s="7"/>
      <c r="E585" s="7"/>
      <c r="F585" s="7"/>
      <c r="G585" s="7"/>
      <c r="H585" s="7"/>
      <c r="I585" s="7"/>
      <c r="J585" s="7"/>
      <c r="K585" s="7"/>
      <c r="L585" s="7"/>
      <c r="M585" s="7"/>
      <c r="N585" s="7"/>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c r="A586" s="112"/>
      <c r="B586" s="7" t="str">
        <f>IFERROR(__xludf.DUMMYFUNCTION("IF(A586="""","""",SUM(FILTER(#REF!,YEAR(FinishedData!$A:$A)=YEAR($A586),MONTH(FinishedData!$A:$A)=MONTH($A586),FinishedData!$B:$B=""Game"")))"),"")</f>
        <v/>
      </c>
      <c r="C586" s="7"/>
      <c r="D586" s="7"/>
      <c r="E586" s="7"/>
      <c r="F586" s="7"/>
      <c r="G586" s="7"/>
      <c r="H586" s="7"/>
      <c r="I586" s="7"/>
      <c r="J586" s="7"/>
      <c r="K586" s="7"/>
      <c r="L586" s="7"/>
      <c r="M586" s="7"/>
      <c r="N586" s="7"/>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c r="A587" s="112"/>
      <c r="B587" s="7" t="str">
        <f>IFERROR(__xludf.DUMMYFUNCTION("IF(A587="""","""",SUM(FILTER(#REF!,YEAR(FinishedData!$A:$A)=YEAR($A587),MONTH(FinishedData!$A:$A)=MONTH($A587),FinishedData!$B:$B=""Game"")))"),"")</f>
        <v/>
      </c>
      <c r="C587" s="7"/>
      <c r="D587" s="7"/>
      <c r="E587" s="7"/>
      <c r="F587" s="7"/>
      <c r="G587" s="7"/>
      <c r="H587" s="7"/>
      <c r="I587" s="7"/>
      <c r="J587" s="7"/>
      <c r="K587" s="7"/>
      <c r="L587" s="7"/>
      <c r="M587" s="7"/>
      <c r="N587" s="7"/>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c r="A588" s="112"/>
      <c r="B588" s="7" t="str">
        <f>IFERROR(__xludf.DUMMYFUNCTION("IF(A588="""","""",SUM(FILTER(#REF!,YEAR(FinishedData!$A:$A)=YEAR($A588),MONTH(FinishedData!$A:$A)=MONTH($A588),FinishedData!$B:$B=""Game"")))"),"")</f>
        <v/>
      </c>
      <c r="C588" s="7"/>
      <c r="D588" s="7"/>
      <c r="E588" s="7"/>
      <c r="F588" s="7"/>
      <c r="G588" s="7"/>
      <c r="H588" s="7"/>
      <c r="I588" s="7"/>
      <c r="J588" s="7"/>
      <c r="K588" s="7"/>
      <c r="L588" s="7"/>
      <c r="M588" s="7"/>
      <c r="N588" s="7"/>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c r="A589" s="112"/>
      <c r="B589" s="7" t="str">
        <f>IFERROR(__xludf.DUMMYFUNCTION("IF(A589="""","""",SUM(FILTER(#REF!,YEAR(FinishedData!$A:$A)=YEAR($A589),MONTH(FinishedData!$A:$A)=MONTH($A589),FinishedData!$B:$B=""Game"")))"),"")</f>
        <v/>
      </c>
      <c r="C589" s="7"/>
      <c r="D589" s="7"/>
      <c r="E589" s="7"/>
      <c r="F589" s="7"/>
      <c r="G589" s="7"/>
      <c r="H589" s="7"/>
      <c r="I589" s="7"/>
      <c r="J589" s="7"/>
      <c r="K589" s="7"/>
      <c r="L589" s="7"/>
      <c r="M589" s="7"/>
      <c r="N589" s="7"/>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c r="A590" s="112"/>
      <c r="B590" s="7" t="str">
        <f>IFERROR(__xludf.DUMMYFUNCTION("IF(A590="""","""",SUM(FILTER(#REF!,YEAR(FinishedData!$A:$A)=YEAR($A590),MONTH(FinishedData!$A:$A)=MONTH($A590),FinishedData!$B:$B=""Game"")))"),"")</f>
        <v/>
      </c>
      <c r="C590" s="7"/>
      <c r="D590" s="7"/>
      <c r="E590" s="7"/>
      <c r="F590" s="7"/>
      <c r="G590" s="7"/>
      <c r="H590" s="7"/>
      <c r="I590" s="7"/>
      <c r="J590" s="7"/>
      <c r="K590" s="7"/>
      <c r="L590" s="7"/>
      <c r="M590" s="7"/>
      <c r="N590" s="7"/>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c r="A591" s="112"/>
      <c r="B591" s="7" t="str">
        <f>IFERROR(__xludf.DUMMYFUNCTION("IF(A591="""","""",SUM(FILTER(#REF!,YEAR(FinishedData!$A:$A)=YEAR($A591),MONTH(FinishedData!$A:$A)=MONTH($A591),FinishedData!$B:$B=""Game"")))"),"")</f>
        <v/>
      </c>
      <c r="C591" s="7"/>
      <c r="D591" s="7"/>
      <c r="E591" s="7"/>
      <c r="F591" s="7"/>
      <c r="G591" s="7"/>
      <c r="H591" s="7"/>
      <c r="I591" s="7"/>
      <c r="J591" s="7"/>
      <c r="K591" s="7"/>
      <c r="L591" s="7"/>
      <c r="M591" s="7"/>
      <c r="N591" s="7"/>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c r="A592" s="112"/>
      <c r="B592" s="7" t="str">
        <f>IFERROR(__xludf.DUMMYFUNCTION("IF(A592="""","""",SUM(FILTER(#REF!,YEAR(FinishedData!$A:$A)=YEAR($A592),MONTH(FinishedData!$A:$A)=MONTH($A592),FinishedData!$B:$B=""Game"")))"),"")</f>
        <v/>
      </c>
      <c r="C592" s="7"/>
      <c r="D592" s="7"/>
      <c r="E592" s="7"/>
      <c r="F592" s="7"/>
      <c r="G592" s="7"/>
      <c r="H592" s="7"/>
      <c r="I592" s="7"/>
      <c r="J592" s="7"/>
      <c r="K592" s="7"/>
      <c r="L592" s="7"/>
      <c r="M592" s="7"/>
      <c r="N592" s="7"/>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c r="A593" s="112"/>
      <c r="B593" s="7" t="str">
        <f>IFERROR(__xludf.DUMMYFUNCTION("IF(A593="""","""",SUM(FILTER(#REF!,YEAR(FinishedData!$A:$A)=YEAR($A593),MONTH(FinishedData!$A:$A)=MONTH($A593),FinishedData!$B:$B=""Game"")))"),"")</f>
        <v/>
      </c>
      <c r="C593" s="7"/>
      <c r="D593" s="7"/>
      <c r="E593" s="7"/>
      <c r="F593" s="7"/>
      <c r="G593" s="7"/>
      <c r="H593" s="7"/>
      <c r="I593" s="7"/>
      <c r="J593" s="7"/>
      <c r="K593" s="7"/>
      <c r="L593" s="7"/>
      <c r="M593" s="7"/>
      <c r="N593" s="7"/>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c r="A594" s="112"/>
      <c r="B594" s="7" t="str">
        <f>IFERROR(__xludf.DUMMYFUNCTION("IF(A594="""","""",SUM(FILTER(#REF!,YEAR(FinishedData!$A:$A)=YEAR($A594),MONTH(FinishedData!$A:$A)=MONTH($A594),FinishedData!$B:$B=""Game"")))"),"")</f>
        <v/>
      </c>
      <c r="C594" s="7"/>
      <c r="D594" s="7"/>
      <c r="E594" s="7"/>
      <c r="F594" s="7"/>
      <c r="G594" s="7"/>
      <c r="H594" s="7"/>
      <c r="I594" s="7"/>
      <c r="J594" s="7"/>
      <c r="K594" s="7"/>
      <c r="L594" s="7"/>
      <c r="M594" s="7"/>
      <c r="N594" s="7"/>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c r="A595" s="112"/>
      <c r="B595" s="7" t="str">
        <f>IFERROR(__xludf.DUMMYFUNCTION("IF(A595="""","""",SUM(FILTER(#REF!,YEAR(FinishedData!$A:$A)=YEAR($A595),MONTH(FinishedData!$A:$A)=MONTH($A595),FinishedData!$B:$B=""Game"")))"),"")</f>
        <v/>
      </c>
      <c r="C595" s="7"/>
      <c r="D595" s="7"/>
      <c r="E595" s="7"/>
      <c r="F595" s="7"/>
      <c r="G595" s="7"/>
      <c r="H595" s="7"/>
      <c r="I595" s="7"/>
      <c r="J595" s="7"/>
      <c r="K595" s="7"/>
      <c r="L595" s="7"/>
      <c r="M595" s="7"/>
      <c r="N595" s="7"/>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c r="A596" s="112"/>
      <c r="B596" s="7" t="str">
        <f>IFERROR(__xludf.DUMMYFUNCTION("IF(A596="""","""",SUM(FILTER(#REF!,YEAR(FinishedData!$A:$A)=YEAR($A596),MONTH(FinishedData!$A:$A)=MONTH($A596),FinishedData!$B:$B=""Game"")))"),"")</f>
        <v/>
      </c>
      <c r="C596" s="7"/>
      <c r="D596" s="7"/>
      <c r="E596" s="7"/>
      <c r="F596" s="7"/>
      <c r="G596" s="7"/>
      <c r="H596" s="7"/>
      <c r="I596" s="7"/>
      <c r="J596" s="7"/>
      <c r="K596" s="7"/>
      <c r="L596" s="7"/>
      <c r="M596" s="7"/>
      <c r="N596" s="7"/>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c r="A597" s="112"/>
      <c r="B597" s="7" t="str">
        <f>IFERROR(__xludf.DUMMYFUNCTION("IF(A597="""","""",SUM(FILTER(#REF!,YEAR(FinishedData!$A:$A)=YEAR($A597),MONTH(FinishedData!$A:$A)=MONTH($A597),FinishedData!$B:$B=""Game"")))"),"")</f>
        <v/>
      </c>
      <c r="C597" s="7"/>
      <c r="D597" s="7"/>
      <c r="E597" s="7"/>
      <c r="F597" s="7"/>
      <c r="G597" s="7"/>
      <c r="H597" s="7"/>
      <c r="I597" s="7"/>
      <c r="J597" s="7"/>
      <c r="K597" s="7"/>
      <c r="L597" s="7"/>
      <c r="M597" s="7"/>
      <c r="N597" s="7"/>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c r="A598" s="112"/>
      <c r="B598" s="7" t="str">
        <f>IFERROR(__xludf.DUMMYFUNCTION("IF(A598="""","""",SUM(FILTER(#REF!,YEAR(FinishedData!$A:$A)=YEAR($A598),MONTH(FinishedData!$A:$A)=MONTH($A598),FinishedData!$B:$B=""Game"")))"),"")</f>
        <v/>
      </c>
      <c r="C598" s="7"/>
      <c r="D598" s="7"/>
      <c r="E598" s="7"/>
      <c r="F598" s="7"/>
      <c r="G598" s="7"/>
      <c r="H598" s="7"/>
      <c r="I598" s="7"/>
      <c r="J598" s="7"/>
      <c r="K598" s="7"/>
      <c r="L598" s="7"/>
      <c r="M598" s="7"/>
      <c r="N598" s="7"/>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c r="A599" s="112"/>
      <c r="B599" s="7" t="str">
        <f>IFERROR(__xludf.DUMMYFUNCTION("IF(A599="""","""",SUM(FILTER(#REF!,YEAR(FinishedData!$A:$A)=YEAR($A599),MONTH(FinishedData!$A:$A)=MONTH($A599),FinishedData!$B:$B=""Game"")))"),"")</f>
        <v/>
      </c>
      <c r="C599" s="7"/>
      <c r="D599" s="7"/>
      <c r="E599" s="7"/>
      <c r="F599" s="7"/>
      <c r="G599" s="7"/>
      <c r="H599" s="7"/>
      <c r="I599" s="7"/>
      <c r="J599" s="7"/>
      <c r="K599" s="7"/>
      <c r="L599" s="7"/>
      <c r="M599" s="7"/>
      <c r="N599" s="7"/>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c r="A600" s="112"/>
      <c r="B600" s="7" t="str">
        <f>IFERROR(__xludf.DUMMYFUNCTION("IF(A600="""","""",SUM(FILTER(#REF!,YEAR(FinishedData!$A:$A)=YEAR($A600),MONTH(FinishedData!$A:$A)=MONTH($A600),FinishedData!$B:$B=""Game"")))"),"")</f>
        <v/>
      </c>
      <c r="C600" s="7"/>
      <c r="D600" s="7"/>
      <c r="E600" s="7"/>
      <c r="F600" s="7"/>
      <c r="G600" s="7"/>
      <c r="H600" s="7"/>
      <c r="I600" s="7"/>
      <c r="J600" s="7"/>
      <c r="K600" s="7"/>
      <c r="L600" s="7"/>
      <c r="M600" s="7"/>
      <c r="N600" s="7"/>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c r="A601" s="112"/>
      <c r="B601" s="7" t="str">
        <f>IFERROR(__xludf.DUMMYFUNCTION("IF(A601="""","""",SUM(FILTER(#REF!,YEAR(FinishedData!$A:$A)=YEAR($A601),MONTH(FinishedData!$A:$A)=MONTH($A601),FinishedData!$B:$B=""Game"")))"),"")</f>
        <v/>
      </c>
      <c r="C601" s="7"/>
      <c r="D601" s="7"/>
      <c r="E601" s="7"/>
      <c r="F601" s="7"/>
      <c r="G601" s="7"/>
      <c r="H601" s="7"/>
      <c r="I601" s="7"/>
      <c r="J601" s="7"/>
      <c r="K601" s="7"/>
      <c r="L601" s="7"/>
      <c r="M601" s="7"/>
      <c r="N601" s="7"/>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c r="A602" s="112"/>
      <c r="B602" s="7" t="str">
        <f>IFERROR(__xludf.DUMMYFUNCTION("IF(A602="""","""",SUM(FILTER(#REF!,YEAR(FinishedData!$A:$A)=YEAR($A602),MONTH(FinishedData!$A:$A)=MONTH($A602),FinishedData!$B:$B=""Game"")))"),"")</f>
        <v/>
      </c>
      <c r="C602" s="7"/>
      <c r="D602" s="7"/>
      <c r="E602" s="7"/>
      <c r="F602" s="7"/>
      <c r="G602" s="7"/>
      <c r="H602" s="7"/>
      <c r="I602" s="7"/>
      <c r="J602" s="7"/>
      <c r="K602" s="7"/>
      <c r="L602" s="7"/>
      <c r="M602" s="7"/>
      <c r="N602" s="7"/>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c r="A603" s="112"/>
      <c r="B603" s="7" t="str">
        <f>IFERROR(__xludf.DUMMYFUNCTION("IF(A603="""","""",SUM(FILTER(#REF!,YEAR(FinishedData!$A:$A)=YEAR($A603),MONTH(FinishedData!$A:$A)=MONTH($A603),FinishedData!$B:$B=""Game"")))"),"")</f>
        <v/>
      </c>
      <c r="C603" s="7"/>
      <c r="D603" s="7"/>
      <c r="E603" s="7"/>
      <c r="F603" s="7"/>
      <c r="G603" s="7"/>
      <c r="H603" s="7"/>
      <c r="I603" s="7"/>
      <c r="J603" s="7"/>
      <c r="K603" s="7"/>
      <c r="L603" s="7"/>
      <c r="M603" s="7"/>
      <c r="N603" s="7"/>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c r="A604" s="112"/>
      <c r="B604" s="7" t="str">
        <f>IFERROR(__xludf.DUMMYFUNCTION("IF(A604="""","""",SUM(FILTER(#REF!,YEAR(FinishedData!$A:$A)=YEAR($A604),MONTH(FinishedData!$A:$A)=MONTH($A604),FinishedData!$B:$B=""Game"")))"),"")</f>
        <v/>
      </c>
      <c r="C604" s="7"/>
      <c r="D604" s="7"/>
      <c r="E604" s="7"/>
      <c r="F604" s="7"/>
      <c r="G604" s="7"/>
      <c r="H604" s="7"/>
      <c r="I604" s="7"/>
      <c r="J604" s="7"/>
      <c r="K604" s="7"/>
      <c r="L604" s="7"/>
      <c r="M604" s="7"/>
      <c r="N604" s="7"/>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c r="A605" s="112"/>
      <c r="B605" s="7" t="str">
        <f>IFERROR(__xludf.DUMMYFUNCTION("IF(A605="""","""",SUM(FILTER(#REF!,YEAR(FinishedData!$A:$A)=YEAR($A605),MONTH(FinishedData!$A:$A)=MONTH($A605),FinishedData!$B:$B=""Game"")))"),"")</f>
        <v/>
      </c>
      <c r="C605" s="7"/>
      <c r="D605" s="7"/>
      <c r="E605" s="7"/>
      <c r="F605" s="7"/>
      <c r="G605" s="7"/>
      <c r="H605" s="7"/>
      <c r="I605" s="7"/>
      <c r="J605" s="7"/>
      <c r="K605" s="7"/>
      <c r="L605" s="7"/>
      <c r="M605" s="7"/>
      <c r="N605" s="7"/>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c r="A606" s="112"/>
      <c r="B606" s="7" t="str">
        <f>IFERROR(__xludf.DUMMYFUNCTION("IF(A606="""","""",SUM(FILTER(#REF!,YEAR(FinishedData!$A:$A)=YEAR($A606),MONTH(FinishedData!$A:$A)=MONTH($A606),FinishedData!$B:$B=""Game"")))"),"")</f>
        <v/>
      </c>
      <c r="C606" s="7"/>
      <c r="D606" s="7"/>
      <c r="E606" s="7"/>
      <c r="F606" s="7"/>
      <c r="G606" s="7"/>
      <c r="H606" s="7"/>
      <c r="I606" s="7"/>
      <c r="J606" s="7"/>
      <c r="K606" s="7"/>
      <c r="L606" s="7"/>
      <c r="M606" s="7"/>
      <c r="N606" s="7"/>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c r="A607" s="112"/>
      <c r="B607" s="7" t="str">
        <f>IFERROR(__xludf.DUMMYFUNCTION("IF(A607="""","""",SUM(FILTER(#REF!,YEAR(FinishedData!$A:$A)=YEAR($A607),MONTH(FinishedData!$A:$A)=MONTH($A607),FinishedData!$B:$B=""Game"")))"),"")</f>
        <v/>
      </c>
      <c r="C607" s="7"/>
      <c r="D607" s="7"/>
      <c r="E607" s="7"/>
      <c r="F607" s="7"/>
      <c r="G607" s="7"/>
      <c r="H607" s="7"/>
      <c r="I607" s="7"/>
      <c r="J607" s="7"/>
      <c r="K607" s="7"/>
      <c r="L607" s="7"/>
      <c r="M607" s="7"/>
      <c r="N607" s="7"/>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c r="A608" s="112"/>
      <c r="B608" s="7" t="str">
        <f>IFERROR(__xludf.DUMMYFUNCTION("IF(A608="""","""",SUM(FILTER(#REF!,YEAR(FinishedData!$A:$A)=YEAR($A608),MONTH(FinishedData!$A:$A)=MONTH($A608),FinishedData!$B:$B=""Game"")))"),"")</f>
        <v/>
      </c>
      <c r="C608" s="7"/>
      <c r="D608" s="7"/>
      <c r="E608" s="7"/>
      <c r="F608" s="7"/>
      <c r="G608" s="7"/>
      <c r="H608" s="7"/>
      <c r="I608" s="7"/>
      <c r="J608" s="7"/>
      <c r="K608" s="7"/>
      <c r="L608" s="7"/>
      <c r="M608" s="7"/>
      <c r="N608" s="7"/>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c r="A609" s="112"/>
      <c r="B609" s="7" t="str">
        <f>IFERROR(__xludf.DUMMYFUNCTION("IF(A609="""","""",SUM(FILTER(#REF!,YEAR(FinishedData!$A:$A)=YEAR($A609),MONTH(FinishedData!$A:$A)=MONTH($A609),FinishedData!$B:$B=""Game"")))"),"")</f>
        <v/>
      </c>
      <c r="C609" s="7"/>
      <c r="D609" s="7"/>
      <c r="E609" s="7"/>
      <c r="F609" s="7"/>
      <c r="G609" s="7"/>
      <c r="H609" s="7"/>
      <c r="I609" s="7"/>
      <c r="J609" s="7"/>
      <c r="K609" s="7"/>
      <c r="L609" s="7"/>
      <c r="M609" s="7"/>
      <c r="N609" s="7"/>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c r="A610" s="112"/>
      <c r="B610" s="7" t="str">
        <f>IFERROR(__xludf.DUMMYFUNCTION("IF(A610="""","""",SUM(FILTER(#REF!,YEAR(FinishedData!$A:$A)=YEAR($A610),MONTH(FinishedData!$A:$A)=MONTH($A610),FinishedData!$B:$B=""Game"")))"),"")</f>
        <v/>
      </c>
      <c r="C610" s="7"/>
      <c r="D610" s="7"/>
      <c r="E610" s="7"/>
      <c r="F610" s="7"/>
      <c r="G610" s="7"/>
      <c r="H610" s="7"/>
      <c r="I610" s="7"/>
      <c r="J610" s="7"/>
      <c r="K610" s="7"/>
      <c r="L610" s="7"/>
      <c r="M610" s="7"/>
      <c r="N610" s="7"/>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c r="A611" s="112"/>
      <c r="B611" s="7" t="str">
        <f>IFERROR(__xludf.DUMMYFUNCTION("IF(A611="""","""",SUM(FILTER(#REF!,YEAR(FinishedData!$A:$A)=YEAR($A611),MONTH(FinishedData!$A:$A)=MONTH($A611),FinishedData!$B:$B=""Game"")))"),"")</f>
        <v/>
      </c>
      <c r="C611" s="7"/>
      <c r="D611" s="7"/>
      <c r="E611" s="7"/>
      <c r="F611" s="7"/>
      <c r="G611" s="7"/>
      <c r="H611" s="7"/>
      <c r="I611" s="7"/>
      <c r="J611" s="7"/>
      <c r="K611" s="7"/>
      <c r="L611" s="7"/>
      <c r="M611" s="7"/>
      <c r="N611" s="7"/>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c r="A612" s="112"/>
      <c r="B612" s="7" t="str">
        <f>IFERROR(__xludf.DUMMYFUNCTION("IF(A612="""","""",SUM(FILTER(#REF!,YEAR(FinishedData!$A:$A)=YEAR($A612),MONTH(FinishedData!$A:$A)=MONTH($A612),FinishedData!$B:$B=""Game"")))"),"")</f>
        <v/>
      </c>
      <c r="C612" s="7"/>
      <c r="D612" s="7"/>
      <c r="E612" s="7"/>
      <c r="F612" s="7"/>
      <c r="G612" s="7"/>
      <c r="H612" s="7"/>
      <c r="I612" s="7"/>
      <c r="J612" s="7"/>
      <c r="K612" s="7"/>
      <c r="L612" s="7"/>
      <c r="M612" s="7"/>
      <c r="N612" s="7"/>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c r="A613" s="112"/>
      <c r="B613" s="7" t="str">
        <f>IFERROR(__xludf.DUMMYFUNCTION("IF(A613="""","""",SUM(FILTER(#REF!,YEAR(FinishedData!$A:$A)=YEAR($A613),MONTH(FinishedData!$A:$A)=MONTH($A613),FinishedData!$B:$B=""Game"")))"),"")</f>
        <v/>
      </c>
      <c r="C613" s="7"/>
      <c r="D613" s="7"/>
      <c r="E613" s="7"/>
      <c r="F613" s="7"/>
      <c r="G613" s="7"/>
      <c r="H613" s="7"/>
      <c r="I613" s="7"/>
      <c r="J613" s="7"/>
      <c r="K613" s="7"/>
      <c r="L613" s="7"/>
      <c r="M613" s="7"/>
      <c r="N613" s="7"/>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c r="A614" s="112"/>
      <c r="B614" s="7" t="str">
        <f>IFERROR(__xludf.DUMMYFUNCTION("IF(A614="""","""",SUM(FILTER(#REF!,YEAR(FinishedData!$A:$A)=YEAR($A614),MONTH(FinishedData!$A:$A)=MONTH($A614),FinishedData!$B:$B=""Game"")))"),"")</f>
        <v/>
      </c>
      <c r="C614" s="7"/>
      <c r="D614" s="7"/>
      <c r="E614" s="7"/>
      <c r="F614" s="7"/>
      <c r="G614" s="7"/>
      <c r="H614" s="7"/>
      <c r="I614" s="7"/>
      <c r="J614" s="7"/>
      <c r="K614" s="7"/>
      <c r="L614" s="7"/>
      <c r="M614" s="7"/>
      <c r="N614" s="7"/>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c r="A615" s="112"/>
      <c r="B615" s="7" t="str">
        <f>IFERROR(__xludf.DUMMYFUNCTION("IF(A615="""","""",SUM(FILTER(#REF!,YEAR(FinishedData!$A:$A)=YEAR($A615),MONTH(FinishedData!$A:$A)=MONTH($A615),FinishedData!$B:$B=""Game"")))"),"")</f>
        <v/>
      </c>
      <c r="C615" s="7"/>
      <c r="D615" s="7"/>
      <c r="E615" s="7"/>
      <c r="F615" s="7"/>
      <c r="G615" s="7"/>
      <c r="H615" s="7"/>
      <c r="I615" s="7"/>
      <c r="J615" s="7"/>
      <c r="K615" s="7"/>
      <c r="L615" s="7"/>
      <c r="M615" s="7"/>
      <c r="N615" s="7"/>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c r="A616" s="112"/>
      <c r="B616" s="7" t="str">
        <f>IFERROR(__xludf.DUMMYFUNCTION("IF(A616="""","""",SUM(FILTER(#REF!,YEAR(FinishedData!$A:$A)=YEAR($A616),MONTH(FinishedData!$A:$A)=MONTH($A616),FinishedData!$B:$B=""Game"")))"),"")</f>
        <v/>
      </c>
      <c r="C616" s="7"/>
      <c r="D616" s="7"/>
      <c r="E616" s="7"/>
      <c r="F616" s="7"/>
      <c r="G616" s="7"/>
      <c r="H616" s="7"/>
      <c r="I616" s="7"/>
      <c r="J616" s="7"/>
      <c r="K616" s="7"/>
      <c r="L616" s="7"/>
      <c r="M616" s="7"/>
      <c r="N616" s="7"/>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c r="A617" s="112"/>
      <c r="B617" s="7" t="str">
        <f>IFERROR(__xludf.DUMMYFUNCTION("IF(A617="""","""",SUM(FILTER(#REF!,YEAR(FinishedData!$A:$A)=YEAR($A617),MONTH(FinishedData!$A:$A)=MONTH($A617),FinishedData!$B:$B=""Game"")))"),"")</f>
        <v/>
      </c>
      <c r="C617" s="7"/>
      <c r="D617" s="7"/>
      <c r="E617" s="7"/>
      <c r="F617" s="7"/>
      <c r="G617" s="7"/>
      <c r="H617" s="7"/>
      <c r="I617" s="7"/>
      <c r="J617" s="7"/>
      <c r="K617" s="7"/>
      <c r="L617" s="7"/>
      <c r="M617" s="7"/>
      <c r="N617" s="7"/>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c r="A618" s="112"/>
      <c r="B618" s="7" t="str">
        <f>IFERROR(__xludf.DUMMYFUNCTION("IF(A618="""","""",SUM(FILTER(#REF!,YEAR(FinishedData!$A:$A)=YEAR($A618),MONTH(FinishedData!$A:$A)=MONTH($A618),FinishedData!$B:$B=""Game"")))"),"")</f>
        <v/>
      </c>
      <c r="C618" s="7"/>
      <c r="D618" s="7"/>
      <c r="E618" s="7"/>
      <c r="F618" s="7"/>
      <c r="G618" s="7"/>
      <c r="H618" s="7"/>
      <c r="I618" s="7"/>
      <c r="J618" s="7"/>
      <c r="K618" s="7"/>
      <c r="L618" s="7"/>
      <c r="M618" s="7"/>
      <c r="N618" s="7"/>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c r="A619" s="112"/>
      <c r="B619" s="7" t="str">
        <f>IFERROR(__xludf.DUMMYFUNCTION("IF(A619="""","""",SUM(FILTER(#REF!,YEAR(FinishedData!$A:$A)=YEAR($A619),MONTH(FinishedData!$A:$A)=MONTH($A619),FinishedData!$B:$B=""Game"")))"),"")</f>
        <v/>
      </c>
      <c r="C619" s="7"/>
      <c r="D619" s="7"/>
      <c r="E619" s="7"/>
      <c r="F619" s="7"/>
      <c r="G619" s="7"/>
      <c r="H619" s="7"/>
      <c r="I619" s="7"/>
      <c r="J619" s="7"/>
      <c r="K619" s="7"/>
      <c r="L619" s="7"/>
      <c r="M619" s="7"/>
      <c r="N619" s="7"/>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c r="A620" s="112"/>
      <c r="B620" s="7" t="str">
        <f>IFERROR(__xludf.DUMMYFUNCTION("IF(A620="""","""",SUM(FILTER(#REF!,YEAR(FinishedData!$A:$A)=YEAR($A620),MONTH(FinishedData!$A:$A)=MONTH($A620),FinishedData!$B:$B=""Game"")))"),"")</f>
        <v/>
      </c>
      <c r="C620" s="7"/>
      <c r="D620" s="7"/>
      <c r="E620" s="7"/>
      <c r="F620" s="7"/>
      <c r="G620" s="7"/>
      <c r="H620" s="7"/>
      <c r="I620" s="7"/>
      <c r="J620" s="7"/>
      <c r="K620" s="7"/>
      <c r="L620" s="7"/>
      <c r="M620" s="7"/>
      <c r="N620" s="7"/>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c r="A621" s="112"/>
      <c r="B621" s="7" t="str">
        <f>IFERROR(__xludf.DUMMYFUNCTION("IF(A621="""","""",SUM(FILTER(#REF!,YEAR(FinishedData!$A:$A)=YEAR($A621),MONTH(FinishedData!$A:$A)=MONTH($A621),FinishedData!$B:$B=""Game"")))"),"")</f>
        <v/>
      </c>
      <c r="C621" s="7"/>
      <c r="D621" s="7"/>
      <c r="E621" s="7"/>
      <c r="F621" s="7"/>
      <c r="G621" s="7"/>
      <c r="H621" s="7"/>
      <c r="I621" s="7"/>
      <c r="J621" s="7"/>
      <c r="K621" s="7"/>
      <c r="L621" s="7"/>
      <c r="M621" s="7"/>
      <c r="N621" s="7"/>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c r="A622" s="112"/>
      <c r="B622" s="7" t="str">
        <f>IFERROR(__xludf.DUMMYFUNCTION("IF(A622="""","""",SUM(FILTER(#REF!,YEAR(FinishedData!$A:$A)=YEAR($A622),MONTH(FinishedData!$A:$A)=MONTH($A622),FinishedData!$B:$B=""Game"")))"),"")</f>
        <v/>
      </c>
      <c r="C622" s="7"/>
      <c r="D622" s="7"/>
      <c r="E622" s="7"/>
      <c r="F622" s="7"/>
      <c r="G622" s="7"/>
      <c r="H622" s="7"/>
      <c r="I622" s="7"/>
      <c r="J622" s="7"/>
      <c r="K622" s="7"/>
      <c r="L622" s="7"/>
      <c r="M622" s="7"/>
      <c r="N622" s="7"/>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c r="A623" s="112"/>
      <c r="B623" s="7" t="str">
        <f>IFERROR(__xludf.DUMMYFUNCTION("IF(A623="""","""",SUM(FILTER(#REF!,YEAR(FinishedData!$A:$A)=YEAR($A623),MONTH(FinishedData!$A:$A)=MONTH($A623),FinishedData!$B:$B=""Game"")))"),"")</f>
        <v/>
      </c>
      <c r="C623" s="7"/>
      <c r="D623" s="7"/>
      <c r="E623" s="7"/>
      <c r="F623" s="7"/>
      <c r="G623" s="7"/>
      <c r="H623" s="7"/>
      <c r="I623" s="7"/>
      <c r="J623" s="7"/>
      <c r="K623" s="7"/>
      <c r="L623" s="7"/>
      <c r="M623" s="7"/>
      <c r="N623" s="7"/>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c r="A624" s="112"/>
      <c r="B624" s="7" t="str">
        <f>IFERROR(__xludf.DUMMYFUNCTION("IF(A624="""","""",SUM(FILTER(#REF!,YEAR(FinishedData!$A:$A)=YEAR($A624),MONTH(FinishedData!$A:$A)=MONTH($A624),FinishedData!$B:$B=""Game"")))"),"")</f>
        <v/>
      </c>
      <c r="C624" s="7"/>
      <c r="D624" s="7"/>
      <c r="E624" s="7"/>
      <c r="F624" s="7"/>
      <c r="G624" s="7"/>
      <c r="H624" s="7"/>
      <c r="I624" s="7"/>
      <c r="J624" s="7"/>
      <c r="K624" s="7"/>
      <c r="L624" s="7"/>
      <c r="M624" s="7"/>
      <c r="N624" s="7"/>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c r="A625" s="112"/>
      <c r="B625" s="7" t="str">
        <f>IFERROR(__xludf.DUMMYFUNCTION("IF(A625="""","""",SUM(FILTER(#REF!,YEAR(FinishedData!$A:$A)=YEAR($A625),MONTH(FinishedData!$A:$A)=MONTH($A625),FinishedData!$B:$B=""Game"")))"),"")</f>
        <v/>
      </c>
      <c r="C625" s="7"/>
      <c r="D625" s="7"/>
      <c r="E625" s="7"/>
      <c r="F625" s="7"/>
      <c r="G625" s="7"/>
      <c r="H625" s="7"/>
      <c r="I625" s="7"/>
      <c r="J625" s="7"/>
      <c r="K625" s="7"/>
      <c r="L625" s="7"/>
      <c r="M625" s="7"/>
      <c r="N625" s="7"/>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c r="A626" s="112"/>
      <c r="B626" s="7" t="str">
        <f>IFERROR(__xludf.DUMMYFUNCTION("IF(A626="""","""",SUM(FILTER(#REF!,YEAR(FinishedData!$A:$A)=YEAR($A626),MONTH(FinishedData!$A:$A)=MONTH($A626),FinishedData!$B:$B=""Game"")))"),"")</f>
        <v/>
      </c>
      <c r="C626" s="7"/>
      <c r="D626" s="7"/>
      <c r="E626" s="7"/>
      <c r="F626" s="7"/>
      <c r="G626" s="7"/>
      <c r="H626" s="7"/>
      <c r="I626" s="7"/>
      <c r="J626" s="7"/>
      <c r="K626" s="7"/>
      <c r="L626" s="7"/>
      <c r="M626" s="7"/>
      <c r="N626" s="7"/>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c r="A627" s="112"/>
      <c r="B627" s="7" t="str">
        <f>IFERROR(__xludf.DUMMYFUNCTION("IF(A627="""","""",SUM(FILTER(#REF!,YEAR(FinishedData!$A:$A)=YEAR($A627),MONTH(FinishedData!$A:$A)=MONTH($A627),FinishedData!$B:$B=""Game"")))"),"")</f>
        <v/>
      </c>
      <c r="C627" s="7"/>
      <c r="D627" s="7"/>
      <c r="E627" s="7"/>
      <c r="F627" s="7"/>
      <c r="G627" s="7"/>
      <c r="H627" s="7"/>
      <c r="I627" s="7"/>
      <c r="J627" s="7"/>
      <c r="K627" s="7"/>
      <c r="L627" s="7"/>
      <c r="M627" s="7"/>
      <c r="N627" s="7"/>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c r="A628" s="112"/>
      <c r="B628" s="7" t="str">
        <f>IFERROR(__xludf.DUMMYFUNCTION("IF(A628="""","""",SUM(FILTER(#REF!,YEAR(FinishedData!$A:$A)=YEAR($A628),MONTH(FinishedData!$A:$A)=MONTH($A628),FinishedData!$B:$B=""Game"")))"),"")</f>
        <v/>
      </c>
      <c r="C628" s="7"/>
      <c r="D628" s="7"/>
      <c r="E628" s="7"/>
      <c r="F628" s="7"/>
      <c r="G628" s="7"/>
      <c r="H628" s="7"/>
      <c r="I628" s="7"/>
      <c r="J628" s="7"/>
      <c r="K628" s="7"/>
      <c r="L628" s="7"/>
      <c r="M628" s="7"/>
      <c r="N628" s="7"/>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c r="A629" s="112"/>
      <c r="B629" s="7" t="str">
        <f>IFERROR(__xludf.DUMMYFUNCTION("IF(A629="""","""",SUM(FILTER(#REF!,YEAR(FinishedData!$A:$A)=YEAR($A629),MONTH(FinishedData!$A:$A)=MONTH($A629),FinishedData!$B:$B=""Game"")))"),"")</f>
        <v/>
      </c>
      <c r="C629" s="7"/>
      <c r="D629" s="7"/>
      <c r="E629" s="7"/>
      <c r="F629" s="7"/>
      <c r="G629" s="7"/>
      <c r="H629" s="7"/>
      <c r="I629" s="7"/>
      <c r="J629" s="7"/>
      <c r="K629" s="7"/>
      <c r="L629" s="7"/>
      <c r="M629" s="7"/>
      <c r="N629" s="7"/>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c r="A630" s="112"/>
      <c r="B630" s="7" t="str">
        <f>IFERROR(__xludf.DUMMYFUNCTION("IF(A630="""","""",SUM(FILTER(#REF!,YEAR(FinishedData!$A:$A)=YEAR($A630),MONTH(FinishedData!$A:$A)=MONTH($A630),FinishedData!$B:$B=""Game"")))"),"")</f>
        <v/>
      </c>
      <c r="C630" s="7"/>
      <c r="D630" s="7"/>
      <c r="E630" s="7"/>
      <c r="F630" s="7"/>
      <c r="G630" s="7"/>
      <c r="H630" s="7"/>
      <c r="I630" s="7"/>
      <c r="J630" s="7"/>
      <c r="K630" s="7"/>
      <c r="L630" s="7"/>
      <c r="M630" s="7"/>
      <c r="N630" s="7"/>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c r="A631" s="112"/>
      <c r="B631" s="7" t="str">
        <f>IFERROR(__xludf.DUMMYFUNCTION("IF(A631="""","""",SUM(FILTER(#REF!,YEAR(FinishedData!$A:$A)=YEAR($A631),MONTH(FinishedData!$A:$A)=MONTH($A631),FinishedData!$B:$B=""Game"")))"),"")</f>
        <v/>
      </c>
      <c r="C631" s="7"/>
      <c r="D631" s="7"/>
      <c r="E631" s="7"/>
      <c r="F631" s="7"/>
      <c r="G631" s="7"/>
      <c r="H631" s="7"/>
      <c r="I631" s="7"/>
      <c r="J631" s="7"/>
      <c r="K631" s="7"/>
      <c r="L631" s="7"/>
      <c r="M631" s="7"/>
      <c r="N631" s="7"/>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c r="A632" s="112"/>
      <c r="B632" s="7" t="str">
        <f>IFERROR(__xludf.DUMMYFUNCTION("IF(A632="""","""",SUM(FILTER(#REF!,YEAR(FinishedData!$A:$A)=YEAR($A632),MONTH(FinishedData!$A:$A)=MONTH($A632),FinishedData!$B:$B=""Game"")))"),"")</f>
        <v/>
      </c>
      <c r="C632" s="7"/>
      <c r="D632" s="7"/>
      <c r="E632" s="7"/>
      <c r="F632" s="7"/>
      <c r="G632" s="7"/>
      <c r="H632" s="7"/>
      <c r="I632" s="7"/>
      <c r="J632" s="7"/>
      <c r="K632" s="7"/>
      <c r="L632" s="7"/>
      <c r="M632" s="7"/>
      <c r="N632" s="7"/>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c r="A633" s="112"/>
      <c r="B633" s="7" t="str">
        <f>IFERROR(__xludf.DUMMYFUNCTION("IF(A633="""","""",SUM(FILTER(#REF!,YEAR(FinishedData!$A:$A)=YEAR($A633),MONTH(FinishedData!$A:$A)=MONTH($A633),FinishedData!$B:$B=""Game"")))"),"")</f>
        <v/>
      </c>
      <c r="C633" s="7"/>
      <c r="D633" s="7"/>
      <c r="E633" s="7"/>
      <c r="F633" s="7"/>
      <c r="G633" s="7"/>
      <c r="H633" s="7"/>
      <c r="I633" s="7"/>
      <c r="J633" s="7"/>
      <c r="K633" s="7"/>
      <c r="L633" s="7"/>
      <c r="M633" s="7"/>
      <c r="N633" s="7"/>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c r="A634" s="112"/>
      <c r="B634" s="7" t="str">
        <f>IFERROR(__xludf.DUMMYFUNCTION("IF(A634="""","""",SUM(FILTER(#REF!,YEAR(FinishedData!$A:$A)=YEAR($A634),MONTH(FinishedData!$A:$A)=MONTH($A634),FinishedData!$B:$B=""Game"")))"),"")</f>
        <v/>
      </c>
      <c r="C634" s="7"/>
      <c r="D634" s="7"/>
      <c r="E634" s="7"/>
      <c r="F634" s="7"/>
      <c r="G634" s="7"/>
      <c r="H634" s="7"/>
      <c r="I634" s="7"/>
      <c r="J634" s="7"/>
      <c r="K634" s="7"/>
      <c r="L634" s="7"/>
      <c r="M634" s="7"/>
      <c r="N634" s="7"/>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c r="A635" s="112"/>
      <c r="B635" s="7" t="str">
        <f>IFERROR(__xludf.DUMMYFUNCTION("IF(A635="""","""",SUM(FILTER(#REF!,YEAR(FinishedData!$A:$A)=YEAR($A635),MONTH(FinishedData!$A:$A)=MONTH($A635),FinishedData!$B:$B=""Game"")))"),"")</f>
        <v/>
      </c>
      <c r="C635" s="7"/>
      <c r="D635" s="7"/>
      <c r="E635" s="7"/>
      <c r="F635" s="7"/>
      <c r="G635" s="7"/>
      <c r="H635" s="7"/>
      <c r="I635" s="7"/>
      <c r="J635" s="7"/>
      <c r="K635" s="7"/>
      <c r="L635" s="7"/>
      <c r="M635" s="7"/>
      <c r="N635" s="7"/>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c r="A636" s="112"/>
      <c r="B636" s="7" t="str">
        <f>IFERROR(__xludf.DUMMYFUNCTION("IF(A636="""","""",SUM(FILTER(#REF!,YEAR(FinishedData!$A:$A)=YEAR($A636),MONTH(FinishedData!$A:$A)=MONTH($A636),FinishedData!$B:$B=""Game"")))"),"")</f>
        <v/>
      </c>
      <c r="C636" s="7"/>
      <c r="D636" s="7"/>
      <c r="E636" s="7"/>
      <c r="F636" s="7"/>
      <c r="G636" s="7"/>
      <c r="H636" s="7"/>
      <c r="I636" s="7"/>
      <c r="J636" s="7"/>
      <c r="K636" s="7"/>
      <c r="L636" s="7"/>
      <c r="M636" s="7"/>
      <c r="N636" s="7"/>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c r="A637" s="112"/>
      <c r="B637" s="7" t="str">
        <f>IFERROR(__xludf.DUMMYFUNCTION("IF(A637="""","""",SUM(FILTER(#REF!,YEAR(FinishedData!$A:$A)=YEAR($A637),MONTH(FinishedData!$A:$A)=MONTH($A637),FinishedData!$B:$B=""Game"")))"),"")</f>
        <v/>
      </c>
      <c r="C637" s="7"/>
      <c r="D637" s="7"/>
      <c r="E637" s="7"/>
      <c r="F637" s="7"/>
      <c r="G637" s="7"/>
      <c r="H637" s="7"/>
      <c r="I637" s="7"/>
      <c r="J637" s="7"/>
      <c r="K637" s="7"/>
      <c r="L637" s="7"/>
      <c r="M637" s="7"/>
      <c r="N637" s="7"/>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c r="A638" s="112"/>
      <c r="B638" s="7" t="str">
        <f>IFERROR(__xludf.DUMMYFUNCTION("IF(A638="""","""",SUM(FILTER(#REF!,YEAR(FinishedData!$A:$A)=YEAR($A638),MONTH(FinishedData!$A:$A)=MONTH($A638),FinishedData!$B:$B=""Game"")))"),"")</f>
        <v/>
      </c>
      <c r="C638" s="7"/>
      <c r="D638" s="7"/>
      <c r="E638" s="7"/>
      <c r="F638" s="7"/>
      <c r="G638" s="7"/>
      <c r="H638" s="7"/>
      <c r="I638" s="7"/>
      <c r="J638" s="7"/>
      <c r="K638" s="7"/>
      <c r="L638" s="7"/>
      <c r="M638" s="7"/>
      <c r="N638" s="7"/>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c r="A639" s="112"/>
      <c r="B639" s="7" t="str">
        <f>IFERROR(__xludf.DUMMYFUNCTION("IF(A639="""","""",SUM(FILTER(#REF!,YEAR(FinishedData!$A:$A)=YEAR($A639),MONTH(FinishedData!$A:$A)=MONTH($A639),FinishedData!$B:$B=""Game"")))"),"")</f>
        <v/>
      </c>
      <c r="C639" s="7"/>
      <c r="D639" s="7"/>
      <c r="E639" s="7"/>
      <c r="F639" s="7"/>
      <c r="G639" s="7"/>
      <c r="H639" s="7"/>
      <c r="I639" s="7"/>
      <c r="J639" s="7"/>
      <c r="K639" s="7"/>
      <c r="L639" s="7"/>
      <c r="M639" s="7"/>
      <c r="N639" s="7"/>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c r="A640" s="112"/>
      <c r="B640" s="7" t="str">
        <f>IFERROR(__xludf.DUMMYFUNCTION("IF(A640="""","""",SUM(FILTER(#REF!,YEAR(FinishedData!$A:$A)=YEAR($A640),MONTH(FinishedData!$A:$A)=MONTH($A640),FinishedData!$B:$B=""Game"")))"),"")</f>
        <v/>
      </c>
      <c r="C640" s="7"/>
      <c r="D640" s="7"/>
      <c r="E640" s="7"/>
      <c r="F640" s="7"/>
      <c r="G640" s="7"/>
      <c r="H640" s="7"/>
      <c r="I640" s="7"/>
      <c r="J640" s="7"/>
      <c r="K640" s="7"/>
      <c r="L640" s="7"/>
      <c r="M640" s="7"/>
      <c r="N640" s="7"/>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c r="A641" s="112"/>
      <c r="B641" s="7" t="str">
        <f>IFERROR(__xludf.DUMMYFUNCTION("IF(A641="""","""",SUM(FILTER(#REF!,YEAR(FinishedData!$A:$A)=YEAR($A641),MONTH(FinishedData!$A:$A)=MONTH($A641),FinishedData!$B:$B=""Game"")))"),"")</f>
        <v/>
      </c>
      <c r="C641" s="7"/>
      <c r="D641" s="7"/>
      <c r="E641" s="7"/>
      <c r="F641" s="7"/>
      <c r="G641" s="7"/>
      <c r="H641" s="7"/>
      <c r="I641" s="7"/>
      <c r="J641" s="7"/>
      <c r="K641" s="7"/>
      <c r="L641" s="7"/>
      <c r="M641" s="7"/>
      <c r="N641" s="7"/>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c r="A642" s="112"/>
      <c r="B642" s="7" t="str">
        <f>IFERROR(__xludf.DUMMYFUNCTION("IF(A642="""","""",SUM(FILTER(#REF!,YEAR(FinishedData!$A:$A)=YEAR($A642),MONTH(FinishedData!$A:$A)=MONTH($A642),FinishedData!$B:$B=""Game"")))"),"")</f>
        <v/>
      </c>
      <c r="C642" s="7"/>
      <c r="D642" s="7"/>
      <c r="E642" s="7"/>
      <c r="F642" s="7"/>
      <c r="G642" s="7"/>
      <c r="H642" s="7"/>
      <c r="I642" s="7"/>
      <c r="J642" s="7"/>
      <c r="K642" s="7"/>
      <c r="L642" s="7"/>
      <c r="M642" s="7"/>
      <c r="N642" s="7"/>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c r="A643" s="112"/>
      <c r="B643" s="7" t="str">
        <f>IFERROR(__xludf.DUMMYFUNCTION("IF(A643="""","""",SUM(FILTER(#REF!,YEAR(FinishedData!$A:$A)=YEAR($A643),MONTH(FinishedData!$A:$A)=MONTH($A643),FinishedData!$B:$B=""Game"")))"),"")</f>
        <v/>
      </c>
      <c r="C643" s="7"/>
      <c r="D643" s="7"/>
      <c r="E643" s="7"/>
      <c r="F643" s="7"/>
      <c r="G643" s="7"/>
      <c r="H643" s="7"/>
      <c r="I643" s="7"/>
      <c r="J643" s="7"/>
      <c r="K643" s="7"/>
      <c r="L643" s="7"/>
      <c r="M643" s="7"/>
      <c r="N643" s="7"/>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c r="A644" s="112"/>
      <c r="B644" s="7" t="str">
        <f>IFERROR(__xludf.DUMMYFUNCTION("IF(A644="""","""",SUM(FILTER(#REF!,YEAR(FinishedData!$A:$A)=YEAR($A644),MONTH(FinishedData!$A:$A)=MONTH($A644),FinishedData!$B:$B=""Game"")))"),"")</f>
        <v/>
      </c>
      <c r="C644" s="7"/>
      <c r="D644" s="7"/>
      <c r="E644" s="7"/>
      <c r="F644" s="7"/>
      <c r="G644" s="7"/>
      <c r="H644" s="7"/>
      <c r="I644" s="7"/>
      <c r="J644" s="7"/>
      <c r="K644" s="7"/>
      <c r="L644" s="7"/>
      <c r="M644" s="7"/>
      <c r="N644" s="7"/>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c r="A645" s="112"/>
      <c r="B645" s="7" t="str">
        <f>IFERROR(__xludf.DUMMYFUNCTION("IF(A645="""","""",SUM(FILTER(#REF!,YEAR(FinishedData!$A:$A)=YEAR($A645),MONTH(FinishedData!$A:$A)=MONTH($A645),FinishedData!$B:$B=""Game"")))"),"")</f>
        <v/>
      </c>
      <c r="C645" s="7"/>
      <c r="D645" s="7"/>
      <c r="E645" s="7"/>
      <c r="F645" s="7"/>
      <c r="G645" s="7"/>
      <c r="H645" s="7"/>
      <c r="I645" s="7"/>
      <c r="J645" s="7"/>
      <c r="K645" s="7"/>
      <c r="L645" s="7"/>
      <c r="M645" s="7"/>
      <c r="N645" s="7"/>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c r="A646" s="112"/>
      <c r="B646" s="7" t="str">
        <f>IFERROR(__xludf.DUMMYFUNCTION("IF(A646="""","""",SUM(FILTER(#REF!,YEAR(FinishedData!$A:$A)=YEAR($A646),MONTH(FinishedData!$A:$A)=MONTH($A646),FinishedData!$B:$B=""Game"")))"),"")</f>
        <v/>
      </c>
      <c r="C646" s="7"/>
      <c r="D646" s="7"/>
      <c r="E646" s="7"/>
      <c r="F646" s="7"/>
      <c r="G646" s="7"/>
      <c r="H646" s="7"/>
      <c r="I646" s="7"/>
      <c r="J646" s="7"/>
      <c r="K646" s="7"/>
      <c r="L646" s="7"/>
      <c r="M646" s="7"/>
      <c r="N646" s="7"/>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c r="A647" s="112"/>
      <c r="B647" s="7" t="str">
        <f>IFERROR(__xludf.DUMMYFUNCTION("IF(A647="""","""",SUM(FILTER(#REF!,YEAR(FinishedData!$A:$A)=YEAR($A647),MONTH(FinishedData!$A:$A)=MONTH($A647),FinishedData!$B:$B=""Game"")))"),"")</f>
        <v/>
      </c>
      <c r="C647" s="7"/>
      <c r="D647" s="7"/>
      <c r="E647" s="7"/>
      <c r="F647" s="7"/>
      <c r="G647" s="7"/>
      <c r="H647" s="7"/>
      <c r="I647" s="7"/>
      <c r="J647" s="7"/>
      <c r="K647" s="7"/>
      <c r="L647" s="7"/>
      <c r="M647" s="7"/>
      <c r="N647" s="7"/>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c r="A648" s="112"/>
      <c r="B648" s="7" t="str">
        <f>IFERROR(__xludf.DUMMYFUNCTION("IF(A648="""","""",SUM(FILTER(#REF!,YEAR(FinishedData!$A:$A)=YEAR($A648),MONTH(FinishedData!$A:$A)=MONTH($A648),FinishedData!$B:$B=""Game"")))"),"")</f>
        <v/>
      </c>
      <c r="C648" s="7"/>
      <c r="D648" s="7"/>
      <c r="E648" s="7"/>
      <c r="F648" s="7"/>
      <c r="G648" s="7"/>
      <c r="H648" s="7"/>
      <c r="I648" s="7"/>
      <c r="J648" s="7"/>
      <c r="K648" s="7"/>
      <c r="L648" s="7"/>
      <c r="M648" s="7"/>
      <c r="N648" s="7"/>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c r="A649" s="112"/>
      <c r="B649" s="7" t="str">
        <f>IFERROR(__xludf.DUMMYFUNCTION("IF(A649="""","""",SUM(FILTER(#REF!,YEAR(FinishedData!$A:$A)=YEAR($A649),MONTH(FinishedData!$A:$A)=MONTH($A649),FinishedData!$B:$B=""Game"")))"),"")</f>
        <v/>
      </c>
      <c r="C649" s="7"/>
      <c r="D649" s="7"/>
      <c r="E649" s="7"/>
      <c r="F649" s="7"/>
      <c r="G649" s="7"/>
      <c r="H649" s="7"/>
      <c r="I649" s="7"/>
      <c r="J649" s="7"/>
      <c r="K649" s="7"/>
      <c r="L649" s="7"/>
      <c r="M649" s="7"/>
      <c r="N649" s="7"/>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c r="A650" s="112"/>
      <c r="B650" s="7" t="str">
        <f>IFERROR(__xludf.DUMMYFUNCTION("IF(A650="""","""",SUM(FILTER(#REF!,YEAR(FinishedData!$A:$A)=YEAR($A650),MONTH(FinishedData!$A:$A)=MONTH($A650),FinishedData!$B:$B=""Game"")))"),"")</f>
        <v/>
      </c>
      <c r="C650" s="7"/>
      <c r="D650" s="7"/>
      <c r="E650" s="7"/>
      <c r="F650" s="7"/>
      <c r="G650" s="7"/>
      <c r="H650" s="7"/>
      <c r="I650" s="7"/>
      <c r="J650" s="7"/>
      <c r="K650" s="7"/>
      <c r="L650" s="7"/>
      <c r="M650" s="7"/>
      <c r="N650" s="7"/>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c r="A651" s="112"/>
      <c r="B651" s="7" t="str">
        <f>IFERROR(__xludf.DUMMYFUNCTION("IF(A651="""","""",SUM(FILTER(#REF!,YEAR(FinishedData!$A:$A)=YEAR($A651),MONTH(FinishedData!$A:$A)=MONTH($A651),FinishedData!$B:$B=""Game"")))"),"")</f>
        <v/>
      </c>
      <c r="C651" s="7"/>
      <c r="D651" s="7"/>
      <c r="E651" s="7"/>
      <c r="F651" s="7"/>
      <c r="G651" s="7"/>
      <c r="H651" s="7"/>
      <c r="I651" s="7"/>
      <c r="J651" s="7"/>
      <c r="K651" s="7"/>
      <c r="L651" s="7"/>
      <c r="M651" s="7"/>
      <c r="N651" s="7"/>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c r="A652" s="112"/>
      <c r="B652" s="7" t="str">
        <f>IFERROR(__xludf.DUMMYFUNCTION("IF(A652="""","""",SUM(FILTER(#REF!,YEAR(FinishedData!$A:$A)=YEAR($A652),MONTH(FinishedData!$A:$A)=MONTH($A652),FinishedData!$B:$B=""Game"")))"),"")</f>
        <v/>
      </c>
      <c r="C652" s="7"/>
      <c r="D652" s="7"/>
      <c r="E652" s="7"/>
      <c r="F652" s="7"/>
      <c r="G652" s="7"/>
      <c r="H652" s="7"/>
      <c r="I652" s="7"/>
      <c r="J652" s="7"/>
      <c r="K652" s="7"/>
      <c r="L652" s="7"/>
      <c r="M652" s="7"/>
      <c r="N652" s="7"/>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c r="A653" s="112"/>
      <c r="B653" s="7" t="str">
        <f>IFERROR(__xludf.DUMMYFUNCTION("IF(A653="""","""",SUM(FILTER(#REF!,YEAR(FinishedData!$A:$A)=YEAR($A653),MONTH(FinishedData!$A:$A)=MONTH($A653),FinishedData!$B:$B=""Game"")))"),"")</f>
        <v/>
      </c>
      <c r="C653" s="7"/>
      <c r="D653" s="7"/>
      <c r="E653" s="7"/>
      <c r="F653" s="7"/>
      <c r="G653" s="7"/>
      <c r="H653" s="7"/>
      <c r="I653" s="7"/>
      <c r="J653" s="7"/>
      <c r="K653" s="7"/>
      <c r="L653" s="7"/>
      <c r="M653" s="7"/>
      <c r="N653" s="7"/>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c r="A654" s="112"/>
      <c r="B654" s="7" t="str">
        <f>IFERROR(__xludf.DUMMYFUNCTION("IF(A654="""","""",SUM(FILTER(#REF!,YEAR(FinishedData!$A:$A)=YEAR($A654),MONTH(FinishedData!$A:$A)=MONTH($A654),FinishedData!$B:$B=""Game"")))"),"")</f>
        <v/>
      </c>
      <c r="C654" s="7"/>
      <c r="D654" s="7"/>
      <c r="E654" s="7"/>
      <c r="F654" s="7"/>
      <c r="G654" s="7"/>
      <c r="H654" s="7"/>
      <c r="I654" s="7"/>
      <c r="J654" s="7"/>
      <c r="K654" s="7"/>
      <c r="L654" s="7"/>
      <c r="M654" s="7"/>
      <c r="N654" s="7"/>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c r="A655" s="112"/>
      <c r="B655" s="7" t="str">
        <f>IFERROR(__xludf.DUMMYFUNCTION("IF(A655="""","""",SUM(FILTER(#REF!,YEAR(FinishedData!$A:$A)=YEAR($A655),MONTH(FinishedData!$A:$A)=MONTH($A655),FinishedData!$B:$B=""Game"")))"),"")</f>
        <v/>
      </c>
      <c r="C655" s="7"/>
      <c r="D655" s="7"/>
      <c r="E655" s="7"/>
      <c r="F655" s="7"/>
      <c r="G655" s="7"/>
      <c r="H655" s="7"/>
      <c r="I655" s="7"/>
      <c r="J655" s="7"/>
      <c r="K655" s="7"/>
      <c r="L655" s="7"/>
      <c r="M655" s="7"/>
      <c r="N655" s="7"/>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c r="A656" s="112"/>
      <c r="B656" s="7" t="str">
        <f>IFERROR(__xludf.DUMMYFUNCTION("IF(A656="""","""",SUM(FILTER(#REF!,YEAR(FinishedData!$A:$A)=YEAR($A656),MONTH(FinishedData!$A:$A)=MONTH($A656),FinishedData!$B:$B=""Game"")))"),"")</f>
        <v/>
      </c>
      <c r="C656" s="7"/>
      <c r="D656" s="7"/>
      <c r="E656" s="7"/>
      <c r="F656" s="7"/>
      <c r="G656" s="7"/>
      <c r="H656" s="7"/>
      <c r="I656" s="7"/>
      <c r="J656" s="7"/>
      <c r="K656" s="7"/>
      <c r="L656" s="7"/>
      <c r="M656" s="7"/>
      <c r="N656" s="7"/>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c r="A657" s="112"/>
      <c r="B657" s="7" t="str">
        <f>IFERROR(__xludf.DUMMYFUNCTION("IF(A657="""","""",SUM(FILTER(#REF!,YEAR(FinishedData!$A:$A)=YEAR($A657),MONTH(FinishedData!$A:$A)=MONTH($A657),FinishedData!$B:$B=""Game"")))"),"")</f>
        <v/>
      </c>
      <c r="C657" s="7"/>
      <c r="D657" s="7"/>
      <c r="E657" s="7"/>
      <c r="F657" s="7"/>
      <c r="G657" s="7"/>
      <c r="H657" s="7"/>
      <c r="I657" s="7"/>
      <c r="J657" s="7"/>
      <c r="K657" s="7"/>
      <c r="L657" s="7"/>
      <c r="M657" s="7"/>
      <c r="N657" s="7"/>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c r="A658" s="112"/>
      <c r="B658" s="7" t="str">
        <f>IFERROR(__xludf.DUMMYFUNCTION("IF(A658="""","""",SUM(FILTER(#REF!,YEAR(FinishedData!$A:$A)=YEAR($A658),MONTH(FinishedData!$A:$A)=MONTH($A658),FinishedData!$B:$B=""Game"")))"),"")</f>
        <v/>
      </c>
      <c r="C658" s="7"/>
      <c r="D658" s="7"/>
      <c r="E658" s="7"/>
      <c r="F658" s="7"/>
      <c r="G658" s="7"/>
      <c r="H658" s="7"/>
      <c r="I658" s="7"/>
      <c r="J658" s="7"/>
      <c r="K658" s="7"/>
      <c r="L658" s="7"/>
      <c r="M658" s="7"/>
      <c r="N658" s="7"/>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c r="A659" s="112"/>
      <c r="B659" s="7" t="str">
        <f>IFERROR(__xludf.DUMMYFUNCTION("IF(A659="""","""",SUM(FILTER(#REF!,YEAR(FinishedData!$A:$A)=YEAR($A659),MONTH(FinishedData!$A:$A)=MONTH($A659),FinishedData!$B:$B=""Game"")))"),"")</f>
        <v/>
      </c>
      <c r="C659" s="7"/>
      <c r="D659" s="7"/>
      <c r="E659" s="7"/>
      <c r="F659" s="7"/>
      <c r="G659" s="7"/>
      <c r="H659" s="7"/>
      <c r="I659" s="7"/>
      <c r="J659" s="7"/>
      <c r="K659" s="7"/>
      <c r="L659" s="7"/>
      <c r="M659" s="7"/>
      <c r="N659" s="7"/>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c r="A660" s="112"/>
      <c r="B660" s="7" t="str">
        <f>IFERROR(__xludf.DUMMYFUNCTION("IF(A660="""","""",SUM(FILTER(#REF!,YEAR(FinishedData!$A:$A)=YEAR($A660),MONTH(FinishedData!$A:$A)=MONTH($A660),FinishedData!$B:$B=""Game"")))"),"")</f>
        <v/>
      </c>
      <c r="C660" s="7"/>
      <c r="D660" s="7"/>
      <c r="E660" s="7"/>
      <c r="F660" s="7"/>
      <c r="G660" s="7"/>
      <c r="H660" s="7"/>
      <c r="I660" s="7"/>
      <c r="J660" s="7"/>
      <c r="K660" s="7"/>
      <c r="L660" s="7"/>
      <c r="M660" s="7"/>
      <c r="N660" s="7"/>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c r="A661" s="112"/>
      <c r="B661" s="7" t="str">
        <f>IFERROR(__xludf.DUMMYFUNCTION("IF(A661="""","""",SUM(FILTER(#REF!,YEAR(FinishedData!$A:$A)=YEAR($A661),MONTH(FinishedData!$A:$A)=MONTH($A661),FinishedData!$B:$B=""Game"")))"),"")</f>
        <v/>
      </c>
      <c r="C661" s="7"/>
      <c r="D661" s="7"/>
      <c r="E661" s="7"/>
      <c r="F661" s="7"/>
      <c r="G661" s="7"/>
      <c r="H661" s="7"/>
      <c r="I661" s="7"/>
      <c r="J661" s="7"/>
      <c r="K661" s="7"/>
      <c r="L661" s="7"/>
      <c r="M661" s="7"/>
      <c r="N661" s="7"/>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c r="A662" s="112"/>
      <c r="B662" s="7" t="str">
        <f>IFERROR(__xludf.DUMMYFUNCTION("IF(A662="""","""",SUM(FILTER(#REF!,YEAR(FinishedData!$A:$A)=YEAR($A662),MONTH(FinishedData!$A:$A)=MONTH($A662),FinishedData!$B:$B=""Game"")))"),"")</f>
        <v/>
      </c>
      <c r="C662" s="7"/>
      <c r="D662" s="7"/>
      <c r="E662" s="7"/>
      <c r="F662" s="7"/>
      <c r="G662" s="7"/>
      <c r="H662" s="7"/>
      <c r="I662" s="7"/>
      <c r="J662" s="7"/>
      <c r="K662" s="7"/>
      <c r="L662" s="7"/>
      <c r="M662" s="7"/>
      <c r="N662" s="7"/>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c r="A663" s="112"/>
      <c r="B663" s="7" t="str">
        <f>IFERROR(__xludf.DUMMYFUNCTION("IF(A663="""","""",SUM(FILTER(#REF!,YEAR(FinishedData!$A:$A)=YEAR($A663),MONTH(FinishedData!$A:$A)=MONTH($A663),FinishedData!$B:$B=""Game"")))"),"")</f>
        <v/>
      </c>
      <c r="C663" s="7"/>
      <c r="D663" s="7"/>
      <c r="E663" s="7"/>
      <c r="F663" s="7"/>
      <c r="G663" s="7"/>
      <c r="H663" s="7"/>
      <c r="I663" s="7"/>
      <c r="J663" s="7"/>
      <c r="K663" s="7"/>
      <c r="L663" s="7"/>
      <c r="M663" s="7"/>
      <c r="N663" s="7"/>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c r="A664" s="112"/>
      <c r="B664" s="7" t="str">
        <f>IFERROR(__xludf.DUMMYFUNCTION("IF(A664="""","""",SUM(FILTER(#REF!,YEAR(FinishedData!$A:$A)=YEAR($A664),MONTH(FinishedData!$A:$A)=MONTH($A664),FinishedData!$B:$B=""Game"")))"),"")</f>
        <v/>
      </c>
      <c r="C664" s="7"/>
      <c r="D664" s="7"/>
      <c r="E664" s="7"/>
      <c r="F664" s="7"/>
      <c r="G664" s="7"/>
      <c r="H664" s="7"/>
      <c r="I664" s="7"/>
      <c r="J664" s="7"/>
      <c r="K664" s="7"/>
      <c r="L664" s="7"/>
      <c r="M664" s="7"/>
      <c r="N664" s="7"/>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c r="A665" s="112"/>
      <c r="B665" s="7" t="str">
        <f>IFERROR(__xludf.DUMMYFUNCTION("IF(A665="""","""",SUM(FILTER(#REF!,YEAR(FinishedData!$A:$A)=YEAR($A665),MONTH(FinishedData!$A:$A)=MONTH($A665),FinishedData!$B:$B=""Game"")))"),"")</f>
        <v/>
      </c>
      <c r="C665" s="7"/>
      <c r="D665" s="7"/>
      <c r="E665" s="7"/>
      <c r="F665" s="7"/>
      <c r="G665" s="7"/>
      <c r="H665" s="7"/>
      <c r="I665" s="7"/>
      <c r="J665" s="7"/>
      <c r="K665" s="7"/>
      <c r="L665" s="7"/>
      <c r="M665" s="7"/>
      <c r="N665" s="7"/>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c r="A666" s="112"/>
      <c r="B666" s="7" t="str">
        <f>IFERROR(__xludf.DUMMYFUNCTION("IF(A666="""","""",SUM(FILTER(#REF!,YEAR(FinishedData!$A:$A)=YEAR($A666),MONTH(FinishedData!$A:$A)=MONTH($A666),FinishedData!$B:$B=""Game"")))"),"")</f>
        <v/>
      </c>
      <c r="C666" s="7"/>
      <c r="D666" s="7"/>
      <c r="E666" s="7"/>
      <c r="F666" s="7"/>
      <c r="G666" s="7"/>
      <c r="H666" s="7"/>
      <c r="I666" s="7"/>
      <c r="J666" s="7"/>
      <c r="K666" s="7"/>
      <c r="L666" s="7"/>
      <c r="M666" s="7"/>
      <c r="N666" s="7"/>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c r="A667" s="112"/>
      <c r="B667" s="7" t="str">
        <f>IFERROR(__xludf.DUMMYFUNCTION("IF(A667="""","""",SUM(FILTER(#REF!,YEAR(FinishedData!$A:$A)=YEAR($A667),MONTH(FinishedData!$A:$A)=MONTH($A667),FinishedData!$B:$B=""Game"")))"),"")</f>
        <v/>
      </c>
      <c r="C667" s="7"/>
      <c r="D667" s="7"/>
      <c r="E667" s="7"/>
      <c r="F667" s="7"/>
      <c r="G667" s="7"/>
      <c r="H667" s="7"/>
      <c r="I667" s="7"/>
      <c r="J667" s="7"/>
      <c r="K667" s="7"/>
      <c r="L667" s="7"/>
      <c r="M667" s="7"/>
      <c r="N667" s="7"/>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c r="A668" s="112"/>
      <c r="B668" s="7" t="str">
        <f>IFERROR(__xludf.DUMMYFUNCTION("IF(A668="""","""",SUM(FILTER(#REF!,YEAR(FinishedData!$A:$A)=YEAR($A668),MONTH(FinishedData!$A:$A)=MONTH($A668),FinishedData!$B:$B=""Game"")))"),"")</f>
        <v/>
      </c>
      <c r="C668" s="7"/>
      <c r="D668" s="7"/>
      <c r="E668" s="7"/>
      <c r="F668" s="7"/>
      <c r="G668" s="7"/>
      <c r="H668" s="7"/>
      <c r="I668" s="7"/>
      <c r="J668" s="7"/>
      <c r="K668" s="7"/>
      <c r="L668" s="7"/>
      <c r="M668" s="7"/>
      <c r="N668" s="7"/>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c r="A669" s="112"/>
      <c r="B669" s="7" t="str">
        <f>IFERROR(__xludf.DUMMYFUNCTION("IF(A669="""","""",SUM(FILTER(#REF!,YEAR(FinishedData!$A:$A)=YEAR($A669),MONTH(FinishedData!$A:$A)=MONTH($A669),FinishedData!$B:$B=""Game"")))"),"")</f>
        <v/>
      </c>
      <c r="C669" s="7"/>
      <c r="D669" s="7"/>
      <c r="E669" s="7"/>
      <c r="F669" s="7"/>
      <c r="G669" s="7"/>
      <c r="H669" s="7"/>
      <c r="I669" s="7"/>
      <c r="J669" s="7"/>
      <c r="K669" s="7"/>
      <c r="L669" s="7"/>
      <c r="M669" s="7"/>
      <c r="N669" s="7"/>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c r="A670" s="112"/>
      <c r="B670" s="7" t="str">
        <f>IFERROR(__xludf.DUMMYFUNCTION("IF(A670="""","""",SUM(FILTER(#REF!,YEAR(FinishedData!$A:$A)=YEAR($A670),MONTH(FinishedData!$A:$A)=MONTH($A670),FinishedData!$B:$B=""Game"")))"),"")</f>
        <v/>
      </c>
      <c r="C670" s="7"/>
      <c r="D670" s="7"/>
      <c r="E670" s="7"/>
      <c r="F670" s="7"/>
      <c r="G670" s="7"/>
      <c r="H670" s="7"/>
      <c r="I670" s="7"/>
      <c r="J670" s="7"/>
      <c r="K670" s="7"/>
      <c r="L670" s="7"/>
      <c r="M670" s="7"/>
      <c r="N670" s="7"/>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c r="A671" s="112"/>
      <c r="B671" s="7" t="str">
        <f>IFERROR(__xludf.DUMMYFUNCTION("IF(A671="""","""",SUM(FILTER(#REF!,YEAR(FinishedData!$A:$A)=YEAR($A671),MONTH(FinishedData!$A:$A)=MONTH($A671),FinishedData!$B:$B=""Game"")))"),"")</f>
        <v/>
      </c>
      <c r="C671" s="7"/>
      <c r="D671" s="7"/>
      <c r="E671" s="7"/>
      <c r="F671" s="7"/>
      <c r="G671" s="7"/>
      <c r="H671" s="7"/>
      <c r="I671" s="7"/>
      <c r="J671" s="7"/>
      <c r="K671" s="7"/>
      <c r="L671" s="7"/>
      <c r="M671" s="7"/>
      <c r="N671" s="7"/>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c r="A672" s="112"/>
      <c r="B672" s="7" t="str">
        <f>IFERROR(__xludf.DUMMYFUNCTION("IF(A672="""","""",SUM(FILTER(#REF!,YEAR(FinishedData!$A:$A)=YEAR($A672),MONTH(FinishedData!$A:$A)=MONTH($A672),FinishedData!$B:$B=""Game"")))"),"")</f>
        <v/>
      </c>
      <c r="C672" s="7"/>
      <c r="D672" s="7"/>
      <c r="E672" s="7"/>
      <c r="F672" s="7"/>
      <c r="G672" s="7"/>
      <c r="H672" s="7"/>
      <c r="I672" s="7"/>
      <c r="J672" s="7"/>
      <c r="K672" s="7"/>
      <c r="L672" s="7"/>
      <c r="M672" s="7"/>
      <c r="N672" s="7"/>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c r="A673" s="112"/>
      <c r="B673" s="7" t="str">
        <f>IFERROR(__xludf.DUMMYFUNCTION("IF(A673="""","""",SUM(FILTER(#REF!,YEAR(FinishedData!$A:$A)=YEAR($A673),MONTH(FinishedData!$A:$A)=MONTH($A673),FinishedData!$B:$B=""Game"")))"),"")</f>
        <v/>
      </c>
      <c r="C673" s="7"/>
      <c r="D673" s="7"/>
      <c r="E673" s="7"/>
      <c r="F673" s="7"/>
      <c r="G673" s="7"/>
      <c r="H673" s="7"/>
      <c r="I673" s="7"/>
      <c r="J673" s="7"/>
      <c r="K673" s="7"/>
      <c r="L673" s="7"/>
      <c r="M673" s="7"/>
      <c r="N673" s="7"/>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c r="A674" s="112"/>
      <c r="B674" s="7" t="str">
        <f>IFERROR(__xludf.DUMMYFUNCTION("IF(A674="""","""",SUM(FILTER(#REF!,YEAR(FinishedData!$A:$A)=YEAR($A674),MONTH(FinishedData!$A:$A)=MONTH($A674),FinishedData!$B:$B=""Game"")))"),"")</f>
        <v/>
      </c>
      <c r="C674" s="7"/>
      <c r="D674" s="7"/>
      <c r="E674" s="7"/>
      <c r="F674" s="7"/>
      <c r="G674" s="7"/>
      <c r="H674" s="7"/>
      <c r="I674" s="7"/>
      <c r="J674" s="7"/>
      <c r="K674" s="7"/>
      <c r="L674" s="7"/>
      <c r="M674" s="7"/>
      <c r="N674" s="7"/>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c r="A675" s="112"/>
      <c r="B675" s="7" t="str">
        <f>IFERROR(__xludf.DUMMYFUNCTION("IF(A675="""","""",SUM(FILTER(#REF!,YEAR(FinishedData!$A:$A)=YEAR($A675),MONTH(FinishedData!$A:$A)=MONTH($A675),FinishedData!$B:$B=""Game"")))"),"")</f>
        <v/>
      </c>
      <c r="C675" s="7"/>
      <c r="D675" s="7"/>
      <c r="E675" s="7"/>
      <c r="F675" s="7"/>
      <c r="G675" s="7"/>
      <c r="H675" s="7"/>
      <c r="I675" s="7"/>
      <c r="J675" s="7"/>
      <c r="K675" s="7"/>
      <c r="L675" s="7"/>
      <c r="M675" s="7"/>
      <c r="N675" s="7"/>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c r="A676" s="112"/>
      <c r="B676" s="7" t="str">
        <f>IFERROR(__xludf.DUMMYFUNCTION("IF(A676="""","""",SUM(FILTER(#REF!,YEAR(FinishedData!$A:$A)=YEAR($A676),MONTH(FinishedData!$A:$A)=MONTH($A676),FinishedData!$B:$B=""Game"")))"),"")</f>
        <v/>
      </c>
      <c r="C676" s="7"/>
      <c r="D676" s="7"/>
      <c r="E676" s="7"/>
      <c r="F676" s="7"/>
      <c r="G676" s="7"/>
      <c r="H676" s="7"/>
      <c r="I676" s="7"/>
      <c r="J676" s="7"/>
      <c r="K676" s="7"/>
      <c r="L676" s="7"/>
      <c r="M676" s="7"/>
      <c r="N676" s="7"/>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c r="A677" s="112"/>
      <c r="B677" s="7" t="str">
        <f>IFERROR(__xludf.DUMMYFUNCTION("IF(A677="""","""",SUM(FILTER(#REF!,YEAR(FinishedData!$A:$A)=YEAR($A677),MONTH(FinishedData!$A:$A)=MONTH($A677),FinishedData!$B:$B=""Game"")))"),"")</f>
        <v/>
      </c>
      <c r="C677" s="7"/>
      <c r="D677" s="7"/>
      <c r="E677" s="7"/>
      <c r="F677" s="7"/>
      <c r="G677" s="7"/>
      <c r="H677" s="7"/>
      <c r="I677" s="7"/>
      <c r="J677" s="7"/>
      <c r="K677" s="7"/>
      <c r="L677" s="7"/>
      <c r="M677" s="7"/>
      <c r="N677" s="7"/>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c r="A678" s="112"/>
      <c r="B678" s="7" t="str">
        <f>IFERROR(__xludf.DUMMYFUNCTION("IF(A678="""","""",SUM(FILTER(#REF!,YEAR(FinishedData!$A:$A)=YEAR($A678),MONTH(FinishedData!$A:$A)=MONTH($A678),FinishedData!$B:$B=""Game"")))"),"")</f>
        <v/>
      </c>
      <c r="C678" s="7"/>
      <c r="D678" s="7"/>
      <c r="E678" s="7"/>
      <c r="F678" s="7"/>
      <c r="G678" s="7"/>
      <c r="H678" s="7"/>
      <c r="I678" s="7"/>
      <c r="J678" s="7"/>
      <c r="K678" s="7"/>
      <c r="L678" s="7"/>
      <c r="M678" s="7"/>
      <c r="N678" s="7"/>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c r="A679" s="112"/>
      <c r="B679" s="7" t="str">
        <f>IFERROR(__xludf.DUMMYFUNCTION("IF(A679="""","""",SUM(FILTER(#REF!,YEAR(FinishedData!$A:$A)=YEAR($A679),MONTH(FinishedData!$A:$A)=MONTH($A679),FinishedData!$B:$B=""Game"")))"),"")</f>
        <v/>
      </c>
      <c r="C679" s="7"/>
      <c r="D679" s="7"/>
      <c r="E679" s="7"/>
      <c r="F679" s="7"/>
      <c r="G679" s="7"/>
      <c r="H679" s="7"/>
      <c r="I679" s="7"/>
      <c r="J679" s="7"/>
      <c r="K679" s="7"/>
      <c r="L679" s="7"/>
      <c r="M679" s="7"/>
      <c r="N679" s="7"/>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c r="A680" s="112"/>
      <c r="B680" s="7" t="str">
        <f>IFERROR(__xludf.DUMMYFUNCTION("IF(A680="""","""",SUM(FILTER(#REF!,YEAR(FinishedData!$A:$A)=YEAR($A680),MONTH(FinishedData!$A:$A)=MONTH($A680),FinishedData!$B:$B=""Game"")))"),"")</f>
        <v/>
      </c>
      <c r="C680" s="7"/>
      <c r="D680" s="7"/>
      <c r="E680" s="7"/>
      <c r="F680" s="7"/>
      <c r="G680" s="7"/>
      <c r="H680" s="7"/>
      <c r="I680" s="7"/>
      <c r="J680" s="7"/>
      <c r="K680" s="7"/>
      <c r="L680" s="7"/>
      <c r="M680" s="7"/>
      <c r="N680" s="7"/>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c r="A681" s="112"/>
      <c r="B681" s="7" t="str">
        <f>IFERROR(__xludf.DUMMYFUNCTION("IF(A681="""","""",SUM(FILTER(#REF!,YEAR(FinishedData!$A:$A)=YEAR($A681),MONTH(FinishedData!$A:$A)=MONTH($A681),FinishedData!$B:$B=""Game"")))"),"")</f>
        <v/>
      </c>
      <c r="C681" s="7"/>
      <c r="D681" s="7"/>
      <c r="E681" s="7"/>
      <c r="F681" s="7"/>
      <c r="G681" s="7"/>
      <c r="H681" s="7"/>
      <c r="I681" s="7"/>
      <c r="J681" s="7"/>
      <c r="K681" s="7"/>
      <c r="L681" s="7"/>
      <c r="M681" s="7"/>
      <c r="N681" s="7"/>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c r="A682" s="112"/>
      <c r="B682" s="7" t="str">
        <f>IFERROR(__xludf.DUMMYFUNCTION("IF(A682="""","""",SUM(FILTER(#REF!,YEAR(FinishedData!$A:$A)=YEAR($A682),MONTH(FinishedData!$A:$A)=MONTH($A682),FinishedData!$B:$B=""Game"")))"),"")</f>
        <v/>
      </c>
      <c r="C682" s="7"/>
      <c r="D682" s="7"/>
      <c r="E682" s="7"/>
      <c r="F682" s="7"/>
      <c r="G682" s="7"/>
      <c r="H682" s="7"/>
      <c r="I682" s="7"/>
      <c r="J682" s="7"/>
      <c r="K682" s="7"/>
      <c r="L682" s="7"/>
      <c r="M682" s="7"/>
      <c r="N682" s="7"/>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c r="A683" s="112"/>
      <c r="B683" s="7" t="str">
        <f>IFERROR(__xludf.DUMMYFUNCTION("IF(A683="""","""",SUM(FILTER(#REF!,YEAR(FinishedData!$A:$A)=YEAR($A683),MONTH(FinishedData!$A:$A)=MONTH($A683),FinishedData!$B:$B=""Game"")))"),"")</f>
        <v/>
      </c>
      <c r="C683" s="7"/>
      <c r="D683" s="7"/>
      <c r="E683" s="7"/>
      <c r="F683" s="7"/>
      <c r="G683" s="7"/>
      <c r="H683" s="7"/>
      <c r="I683" s="7"/>
      <c r="J683" s="7"/>
      <c r="K683" s="7"/>
      <c r="L683" s="7"/>
      <c r="M683" s="7"/>
      <c r="N683" s="7"/>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c r="A684" s="112"/>
      <c r="B684" s="7" t="str">
        <f>IFERROR(__xludf.DUMMYFUNCTION("IF(A684="""","""",SUM(FILTER(#REF!,YEAR(FinishedData!$A:$A)=YEAR($A684),MONTH(FinishedData!$A:$A)=MONTH($A684),FinishedData!$B:$B=""Game"")))"),"")</f>
        <v/>
      </c>
      <c r="C684" s="7"/>
      <c r="D684" s="7"/>
      <c r="E684" s="7"/>
      <c r="F684" s="7"/>
      <c r="G684" s="7"/>
      <c r="H684" s="7"/>
      <c r="I684" s="7"/>
      <c r="J684" s="7"/>
      <c r="K684" s="7"/>
      <c r="L684" s="7"/>
      <c r="M684" s="7"/>
      <c r="N684" s="7"/>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c r="A685" s="112"/>
      <c r="B685" s="7" t="str">
        <f>IFERROR(__xludf.DUMMYFUNCTION("IF(A685="""","""",SUM(FILTER(#REF!,YEAR(FinishedData!$A:$A)=YEAR($A685),MONTH(FinishedData!$A:$A)=MONTH($A685),FinishedData!$B:$B=""Game"")))"),"")</f>
        <v/>
      </c>
      <c r="C685" s="7"/>
      <c r="D685" s="7"/>
      <c r="E685" s="7"/>
      <c r="F685" s="7"/>
      <c r="G685" s="7"/>
      <c r="H685" s="7"/>
      <c r="I685" s="7"/>
      <c r="J685" s="7"/>
      <c r="K685" s="7"/>
      <c r="L685" s="7"/>
      <c r="M685" s="7"/>
      <c r="N685" s="7"/>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c r="A686" s="112"/>
      <c r="B686" s="7" t="str">
        <f>IFERROR(__xludf.DUMMYFUNCTION("IF(A686="""","""",SUM(FILTER(#REF!,YEAR(FinishedData!$A:$A)=YEAR($A686),MONTH(FinishedData!$A:$A)=MONTH($A686),FinishedData!$B:$B=""Game"")))"),"")</f>
        <v/>
      </c>
      <c r="C686" s="7"/>
      <c r="D686" s="7"/>
      <c r="E686" s="7"/>
      <c r="F686" s="7"/>
      <c r="G686" s="7"/>
      <c r="H686" s="7"/>
      <c r="I686" s="7"/>
      <c r="J686" s="7"/>
      <c r="K686" s="7"/>
      <c r="L686" s="7"/>
      <c r="M686" s="7"/>
      <c r="N686" s="7"/>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c r="A687" s="112"/>
      <c r="B687" s="7" t="str">
        <f>IFERROR(__xludf.DUMMYFUNCTION("IF(A687="""","""",SUM(FILTER(#REF!,YEAR(FinishedData!$A:$A)=YEAR($A687),MONTH(FinishedData!$A:$A)=MONTH($A687),FinishedData!$B:$B=""Game"")))"),"")</f>
        <v/>
      </c>
      <c r="C687" s="7"/>
      <c r="D687" s="7"/>
      <c r="E687" s="7"/>
      <c r="F687" s="7"/>
      <c r="G687" s="7"/>
      <c r="H687" s="7"/>
      <c r="I687" s="7"/>
      <c r="J687" s="7"/>
      <c r="K687" s="7"/>
      <c r="L687" s="7"/>
      <c r="M687" s="7"/>
      <c r="N687" s="7"/>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c r="A688" s="112"/>
      <c r="B688" s="7" t="str">
        <f>IFERROR(__xludf.DUMMYFUNCTION("IF(A688="""","""",SUM(FILTER(#REF!,YEAR(FinishedData!$A:$A)=YEAR($A688),MONTH(FinishedData!$A:$A)=MONTH($A688),FinishedData!$B:$B=""Game"")))"),"")</f>
        <v/>
      </c>
      <c r="C688" s="7"/>
      <c r="D688" s="7"/>
      <c r="E688" s="7"/>
      <c r="F688" s="7"/>
      <c r="G688" s="7"/>
      <c r="H688" s="7"/>
      <c r="I688" s="7"/>
      <c r="J688" s="7"/>
      <c r="K688" s="7"/>
      <c r="L688" s="7"/>
      <c r="M688" s="7"/>
      <c r="N688" s="7"/>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c r="A689" s="112"/>
      <c r="B689" s="7" t="str">
        <f>IFERROR(__xludf.DUMMYFUNCTION("IF(A689="""","""",SUM(FILTER(#REF!,YEAR(FinishedData!$A:$A)=YEAR($A689),MONTH(FinishedData!$A:$A)=MONTH($A689),FinishedData!$B:$B=""Game"")))"),"")</f>
        <v/>
      </c>
      <c r="C689" s="7"/>
      <c r="D689" s="7"/>
      <c r="E689" s="7"/>
      <c r="F689" s="7"/>
      <c r="G689" s="7"/>
      <c r="H689" s="7"/>
      <c r="I689" s="7"/>
      <c r="J689" s="7"/>
      <c r="K689" s="7"/>
      <c r="L689" s="7"/>
      <c r="M689" s="7"/>
      <c r="N689" s="7"/>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c r="A690" s="112"/>
      <c r="B690" s="7" t="str">
        <f>IFERROR(__xludf.DUMMYFUNCTION("IF(A690="""","""",SUM(FILTER(#REF!,YEAR(FinishedData!$A:$A)=YEAR($A690),MONTH(FinishedData!$A:$A)=MONTH($A690),FinishedData!$B:$B=""Game"")))"),"")</f>
        <v/>
      </c>
      <c r="C690" s="7"/>
      <c r="D690" s="7"/>
      <c r="E690" s="7"/>
      <c r="F690" s="7"/>
      <c r="G690" s="7"/>
      <c r="H690" s="7"/>
      <c r="I690" s="7"/>
      <c r="J690" s="7"/>
      <c r="K690" s="7"/>
      <c r="L690" s="7"/>
      <c r="M690" s="7"/>
      <c r="N690" s="7"/>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c r="A691" s="112"/>
      <c r="B691" s="7" t="str">
        <f>IFERROR(__xludf.DUMMYFUNCTION("IF(A691="""","""",SUM(FILTER(#REF!,YEAR(FinishedData!$A:$A)=YEAR($A691),MONTH(FinishedData!$A:$A)=MONTH($A691),FinishedData!$B:$B=""Game"")))"),"")</f>
        <v/>
      </c>
      <c r="C691" s="7"/>
      <c r="D691" s="7"/>
      <c r="E691" s="7"/>
      <c r="F691" s="7"/>
      <c r="G691" s="7"/>
      <c r="H691" s="7"/>
      <c r="I691" s="7"/>
      <c r="J691" s="7"/>
      <c r="K691" s="7"/>
      <c r="L691" s="7"/>
      <c r="M691" s="7"/>
      <c r="N691" s="7"/>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c r="A692" s="112"/>
      <c r="B692" s="7" t="str">
        <f>IFERROR(__xludf.DUMMYFUNCTION("IF(A692="""","""",SUM(FILTER(#REF!,YEAR(FinishedData!$A:$A)=YEAR($A692),MONTH(FinishedData!$A:$A)=MONTH($A692),FinishedData!$B:$B=""Game"")))"),"")</f>
        <v/>
      </c>
      <c r="C692" s="7"/>
      <c r="D692" s="7"/>
      <c r="E692" s="7"/>
      <c r="F692" s="7"/>
      <c r="G692" s="7"/>
      <c r="H692" s="7"/>
      <c r="I692" s="7"/>
      <c r="J692" s="7"/>
      <c r="K692" s="7"/>
      <c r="L692" s="7"/>
      <c r="M692" s="7"/>
      <c r="N692" s="7"/>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c r="A693" s="112"/>
      <c r="B693" s="7" t="str">
        <f>IFERROR(__xludf.DUMMYFUNCTION("IF(A693="""","""",SUM(FILTER(#REF!,YEAR(FinishedData!$A:$A)=YEAR($A693),MONTH(FinishedData!$A:$A)=MONTH($A693),FinishedData!$B:$B=""Game"")))"),"")</f>
        <v/>
      </c>
      <c r="C693" s="7"/>
      <c r="D693" s="7"/>
      <c r="E693" s="7"/>
      <c r="F693" s="7"/>
      <c r="G693" s="7"/>
      <c r="H693" s="7"/>
      <c r="I693" s="7"/>
      <c r="J693" s="7"/>
      <c r="K693" s="7"/>
      <c r="L693" s="7"/>
      <c r="M693" s="7"/>
      <c r="N693" s="7"/>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c r="A694" s="112"/>
      <c r="B694" s="7" t="str">
        <f>IFERROR(__xludf.DUMMYFUNCTION("IF(A694="""","""",SUM(FILTER(#REF!,YEAR(FinishedData!$A:$A)=YEAR($A694),MONTH(FinishedData!$A:$A)=MONTH($A694),FinishedData!$B:$B=""Game"")))"),"")</f>
        <v/>
      </c>
      <c r="C694" s="7"/>
      <c r="D694" s="7"/>
      <c r="E694" s="7"/>
      <c r="F694" s="7"/>
      <c r="G694" s="7"/>
      <c r="H694" s="7"/>
      <c r="I694" s="7"/>
      <c r="J694" s="7"/>
      <c r="K694" s="7"/>
      <c r="L694" s="7"/>
      <c r="M694" s="7"/>
      <c r="N694" s="7"/>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c r="A695" s="112"/>
      <c r="B695" s="7" t="str">
        <f>IFERROR(__xludf.DUMMYFUNCTION("IF(A695="""","""",SUM(FILTER(#REF!,YEAR(FinishedData!$A:$A)=YEAR($A695),MONTH(FinishedData!$A:$A)=MONTH($A695),FinishedData!$B:$B=""Game"")))"),"")</f>
        <v/>
      </c>
      <c r="C695" s="7"/>
      <c r="D695" s="7"/>
      <c r="E695" s="7"/>
      <c r="F695" s="7"/>
      <c r="G695" s="7"/>
      <c r="H695" s="7"/>
      <c r="I695" s="7"/>
      <c r="J695" s="7"/>
      <c r="K695" s="7"/>
      <c r="L695" s="7"/>
      <c r="M695" s="7"/>
      <c r="N695" s="7"/>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c r="A696" s="112"/>
      <c r="B696" s="7" t="str">
        <f>IFERROR(__xludf.DUMMYFUNCTION("IF(A696="""","""",SUM(FILTER(#REF!,YEAR(FinishedData!$A:$A)=YEAR($A696),MONTH(FinishedData!$A:$A)=MONTH($A696),FinishedData!$B:$B=""Game"")))"),"")</f>
        <v/>
      </c>
      <c r="C696" s="7"/>
      <c r="D696" s="7"/>
      <c r="E696" s="7"/>
      <c r="F696" s="7"/>
      <c r="G696" s="7"/>
      <c r="H696" s="7"/>
      <c r="I696" s="7"/>
      <c r="J696" s="7"/>
      <c r="K696" s="7"/>
      <c r="L696" s="7"/>
      <c r="M696" s="7"/>
      <c r="N696" s="7"/>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c r="A697" s="112"/>
      <c r="B697" s="7" t="str">
        <f>IFERROR(__xludf.DUMMYFUNCTION("IF(A697="""","""",SUM(FILTER(#REF!,YEAR(FinishedData!$A:$A)=YEAR($A697),MONTH(FinishedData!$A:$A)=MONTH($A697),FinishedData!$B:$B=""Game"")))"),"")</f>
        <v/>
      </c>
      <c r="C697" s="7"/>
      <c r="D697" s="7"/>
      <c r="E697" s="7"/>
      <c r="F697" s="7"/>
      <c r="G697" s="7"/>
      <c r="H697" s="7"/>
      <c r="I697" s="7"/>
      <c r="J697" s="7"/>
      <c r="K697" s="7"/>
      <c r="L697" s="7"/>
      <c r="M697" s="7"/>
      <c r="N697" s="7"/>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c r="A698" s="112"/>
      <c r="B698" s="7" t="str">
        <f>IFERROR(__xludf.DUMMYFUNCTION("IF(A698="""","""",SUM(FILTER(#REF!,YEAR(FinishedData!$A:$A)=YEAR($A698),MONTH(FinishedData!$A:$A)=MONTH($A698),FinishedData!$B:$B=""Game"")))"),"")</f>
        <v/>
      </c>
      <c r="C698" s="7"/>
      <c r="D698" s="7"/>
      <c r="E698" s="7"/>
      <c r="F698" s="7"/>
      <c r="G698" s="7"/>
      <c r="H698" s="7"/>
      <c r="I698" s="7"/>
      <c r="J698" s="7"/>
      <c r="K698" s="7"/>
      <c r="L698" s="7"/>
      <c r="M698" s="7"/>
      <c r="N698" s="7"/>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c r="A699" s="112"/>
      <c r="B699" s="7" t="str">
        <f>IFERROR(__xludf.DUMMYFUNCTION("IF(A699="""","""",SUM(FILTER(#REF!,YEAR(FinishedData!$A:$A)=YEAR($A699),MONTH(FinishedData!$A:$A)=MONTH($A699),FinishedData!$B:$B=""Game"")))"),"")</f>
        <v/>
      </c>
      <c r="C699" s="7"/>
      <c r="D699" s="7"/>
      <c r="E699" s="7"/>
      <c r="F699" s="7"/>
      <c r="G699" s="7"/>
      <c r="H699" s="7"/>
      <c r="I699" s="7"/>
      <c r="J699" s="7"/>
      <c r="K699" s="7"/>
      <c r="L699" s="7"/>
      <c r="M699" s="7"/>
      <c r="N699" s="7"/>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c r="A700" s="112"/>
      <c r="B700" s="7" t="str">
        <f>IFERROR(__xludf.DUMMYFUNCTION("IF(A700="""","""",SUM(FILTER(#REF!,YEAR(FinishedData!$A:$A)=YEAR($A700),MONTH(FinishedData!$A:$A)=MONTH($A700),FinishedData!$B:$B=""Game"")))"),"")</f>
        <v/>
      </c>
      <c r="C700" s="7"/>
      <c r="D700" s="7"/>
      <c r="E700" s="7"/>
      <c r="F700" s="7"/>
      <c r="G700" s="7"/>
      <c r="H700" s="7"/>
      <c r="I700" s="7"/>
      <c r="J700" s="7"/>
      <c r="K700" s="7"/>
      <c r="L700" s="7"/>
      <c r="M700" s="7"/>
      <c r="N700" s="7"/>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c r="A701" s="112"/>
      <c r="B701" s="7" t="str">
        <f>IFERROR(__xludf.DUMMYFUNCTION("IF(A701="""","""",SUM(FILTER(#REF!,YEAR(FinishedData!$A:$A)=YEAR($A701),MONTH(FinishedData!$A:$A)=MONTH($A701),FinishedData!$B:$B=""Game"")))"),"")</f>
        <v/>
      </c>
      <c r="C701" s="7"/>
      <c r="D701" s="7"/>
      <c r="E701" s="7"/>
      <c r="F701" s="7"/>
      <c r="G701" s="7"/>
      <c r="H701" s="7"/>
      <c r="I701" s="7"/>
      <c r="J701" s="7"/>
      <c r="K701" s="7"/>
      <c r="L701" s="7"/>
      <c r="M701" s="7"/>
      <c r="N701" s="7"/>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c r="A702" s="112"/>
      <c r="B702" s="7" t="str">
        <f>IFERROR(__xludf.DUMMYFUNCTION("IF(A702="""","""",SUM(FILTER(#REF!,YEAR(FinishedData!$A:$A)=YEAR($A702),MONTH(FinishedData!$A:$A)=MONTH($A702),FinishedData!$B:$B=""Game"")))"),"")</f>
        <v/>
      </c>
      <c r="C702" s="7"/>
      <c r="D702" s="7"/>
      <c r="E702" s="7"/>
      <c r="F702" s="7"/>
      <c r="G702" s="7"/>
      <c r="H702" s="7"/>
      <c r="I702" s="7"/>
      <c r="J702" s="7"/>
      <c r="K702" s="7"/>
      <c r="L702" s="7"/>
      <c r="M702" s="7"/>
      <c r="N702" s="7"/>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c r="A703" s="112"/>
      <c r="B703" s="7" t="str">
        <f>IFERROR(__xludf.DUMMYFUNCTION("IF(A703="""","""",SUM(FILTER(#REF!,YEAR(FinishedData!$A:$A)=YEAR($A703),MONTH(FinishedData!$A:$A)=MONTH($A703),FinishedData!$B:$B=""Game"")))"),"")</f>
        <v/>
      </c>
      <c r="C703" s="7"/>
      <c r="D703" s="7"/>
      <c r="E703" s="7"/>
      <c r="F703" s="7"/>
      <c r="G703" s="7"/>
      <c r="H703" s="7"/>
      <c r="I703" s="7"/>
      <c r="J703" s="7"/>
      <c r="K703" s="7"/>
      <c r="L703" s="7"/>
      <c r="M703" s="7"/>
      <c r="N703" s="7"/>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c r="A704" s="112"/>
      <c r="B704" s="7" t="str">
        <f>IFERROR(__xludf.DUMMYFUNCTION("IF(A704="""","""",SUM(FILTER(#REF!,YEAR(FinishedData!$A:$A)=YEAR($A704),MONTH(FinishedData!$A:$A)=MONTH($A704),FinishedData!$B:$B=""Game"")))"),"")</f>
        <v/>
      </c>
      <c r="C704" s="7"/>
      <c r="D704" s="7"/>
      <c r="E704" s="7"/>
      <c r="F704" s="7"/>
      <c r="G704" s="7"/>
      <c r="H704" s="7"/>
      <c r="I704" s="7"/>
      <c r="J704" s="7"/>
      <c r="K704" s="7"/>
      <c r="L704" s="7"/>
      <c r="M704" s="7"/>
      <c r="N704" s="7"/>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c r="A705" s="112"/>
      <c r="B705" s="7" t="str">
        <f>IFERROR(__xludf.DUMMYFUNCTION("IF(A705="""","""",SUM(FILTER(#REF!,YEAR(FinishedData!$A:$A)=YEAR($A705),MONTH(FinishedData!$A:$A)=MONTH($A705),FinishedData!$B:$B=""Game"")))"),"")</f>
        <v/>
      </c>
      <c r="C705" s="7"/>
      <c r="D705" s="7"/>
      <c r="E705" s="7"/>
      <c r="F705" s="7"/>
      <c r="G705" s="7"/>
      <c r="H705" s="7"/>
      <c r="I705" s="7"/>
      <c r="J705" s="7"/>
      <c r="K705" s="7"/>
      <c r="L705" s="7"/>
      <c r="M705" s="7"/>
      <c r="N705" s="7"/>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c r="A706" s="112"/>
      <c r="B706" s="7" t="str">
        <f>IFERROR(__xludf.DUMMYFUNCTION("IF(A706="""","""",SUM(FILTER(#REF!,YEAR(FinishedData!$A:$A)=YEAR($A706),MONTH(FinishedData!$A:$A)=MONTH($A706),FinishedData!$B:$B=""Game"")))"),"")</f>
        <v/>
      </c>
      <c r="C706" s="7"/>
      <c r="D706" s="7"/>
      <c r="E706" s="7"/>
      <c r="F706" s="7"/>
      <c r="G706" s="7"/>
      <c r="H706" s="7"/>
      <c r="I706" s="7"/>
      <c r="J706" s="7"/>
      <c r="K706" s="7"/>
      <c r="L706" s="7"/>
      <c r="M706" s="7"/>
      <c r="N706" s="7"/>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c r="A707" s="112"/>
      <c r="B707" s="7" t="str">
        <f>IFERROR(__xludf.DUMMYFUNCTION("IF(A707="""","""",SUM(FILTER(#REF!,YEAR(FinishedData!$A:$A)=YEAR($A707),MONTH(FinishedData!$A:$A)=MONTH($A707),FinishedData!$B:$B=""Game"")))"),"")</f>
        <v/>
      </c>
      <c r="C707" s="7"/>
      <c r="D707" s="7"/>
      <c r="E707" s="7"/>
      <c r="F707" s="7"/>
      <c r="G707" s="7"/>
      <c r="H707" s="7"/>
      <c r="I707" s="7"/>
      <c r="J707" s="7"/>
      <c r="K707" s="7"/>
      <c r="L707" s="7"/>
      <c r="M707" s="7"/>
      <c r="N707" s="7"/>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c r="A708" s="112"/>
      <c r="B708" s="7" t="str">
        <f>IFERROR(__xludf.DUMMYFUNCTION("IF(A708="""","""",SUM(FILTER(#REF!,YEAR(FinishedData!$A:$A)=YEAR($A708),MONTH(FinishedData!$A:$A)=MONTH($A708),FinishedData!$B:$B=""Game"")))"),"")</f>
        <v/>
      </c>
      <c r="C708" s="7"/>
      <c r="D708" s="7"/>
      <c r="E708" s="7"/>
      <c r="F708" s="7"/>
      <c r="G708" s="7"/>
      <c r="H708" s="7"/>
      <c r="I708" s="7"/>
      <c r="J708" s="7"/>
      <c r="K708" s="7"/>
      <c r="L708" s="7"/>
      <c r="M708" s="7"/>
      <c r="N708" s="7"/>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c r="A709" s="112"/>
      <c r="B709" s="7" t="str">
        <f>IFERROR(__xludf.DUMMYFUNCTION("IF(A709="""","""",SUM(FILTER(#REF!,YEAR(FinishedData!$A:$A)=YEAR($A709),MONTH(FinishedData!$A:$A)=MONTH($A709),FinishedData!$B:$B=""Game"")))"),"")</f>
        <v/>
      </c>
      <c r="C709" s="7"/>
      <c r="D709" s="7"/>
      <c r="E709" s="7"/>
      <c r="F709" s="7"/>
      <c r="G709" s="7"/>
      <c r="H709" s="7"/>
      <c r="I709" s="7"/>
      <c r="J709" s="7"/>
      <c r="K709" s="7"/>
      <c r="L709" s="7"/>
      <c r="M709" s="7"/>
      <c r="N709" s="7"/>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c r="A710" s="112"/>
      <c r="B710" s="7" t="str">
        <f>IFERROR(__xludf.DUMMYFUNCTION("IF(A710="""","""",SUM(FILTER(#REF!,YEAR(FinishedData!$A:$A)=YEAR($A710),MONTH(FinishedData!$A:$A)=MONTH($A710),FinishedData!$B:$B=""Game"")))"),"")</f>
        <v/>
      </c>
      <c r="C710" s="7"/>
      <c r="D710" s="7"/>
      <c r="E710" s="7"/>
      <c r="F710" s="7"/>
      <c r="G710" s="7"/>
      <c r="H710" s="7"/>
      <c r="I710" s="7"/>
      <c r="J710" s="7"/>
      <c r="K710" s="7"/>
      <c r="L710" s="7"/>
      <c r="M710" s="7"/>
      <c r="N710" s="7"/>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c r="A711" s="112"/>
      <c r="B711" s="7" t="str">
        <f>IFERROR(__xludf.DUMMYFUNCTION("IF(A711="""","""",SUM(FILTER(#REF!,YEAR(FinishedData!$A:$A)=YEAR($A711),MONTH(FinishedData!$A:$A)=MONTH($A711),FinishedData!$B:$B=""Game"")))"),"")</f>
        <v/>
      </c>
      <c r="C711" s="7"/>
      <c r="D711" s="7"/>
      <c r="E711" s="7"/>
      <c r="F711" s="7"/>
      <c r="G711" s="7"/>
      <c r="H711" s="7"/>
      <c r="I711" s="7"/>
      <c r="J711" s="7"/>
      <c r="K711" s="7"/>
      <c r="L711" s="7"/>
      <c r="M711" s="7"/>
      <c r="N711" s="7"/>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c r="A712" s="112"/>
      <c r="B712" s="7" t="str">
        <f>IFERROR(__xludf.DUMMYFUNCTION("IF(A712="""","""",SUM(FILTER(#REF!,YEAR(FinishedData!$A:$A)=YEAR($A712),MONTH(FinishedData!$A:$A)=MONTH($A712),FinishedData!$B:$B=""Game"")))"),"")</f>
        <v/>
      </c>
      <c r="C712" s="7"/>
      <c r="D712" s="7"/>
      <c r="E712" s="7"/>
      <c r="F712" s="7"/>
      <c r="G712" s="7"/>
      <c r="H712" s="7"/>
      <c r="I712" s="7"/>
      <c r="J712" s="7"/>
      <c r="K712" s="7"/>
      <c r="L712" s="7"/>
      <c r="M712" s="7"/>
      <c r="N712" s="7"/>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c r="A713" s="112"/>
      <c r="B713" s="7" t="str">
        <f>IFERROR(__xludf.DUMMYFUNCTION("IF(A713="""","""",SUM(FILTER(#REF!,YEAR(FinishedData!$A:$A)=YEAR($A713),MONTH(FinishedData!$A:$A)=MONTH($A713),FinishedData!$B:$B=""Game"")))"),"")</f>
        <v/>
      </c>
      <c r="C713" s="7"/>
      <c r="D713" s="7"/>
      <c r="E713" s="7"/>
      <c r="F713" s="7"/>
      <c r="G713" s="7"/>
      <c r="H713" s="7"/>
      <c r="I713" s="7"/>
      <c r="J713" s="7"/>
      <c r="K713" s="7"/>
      <c r="L713" s="7"/>
      <c r="M713" s="7"/>
      <c r="N713" s="7"/>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c r="A714" s="112"/>
      <c r="B714" s="7" t="str">
        <f>IFERROR(__xludf.DUMMYFUNCTION("IF(A714="""","""",SUM(FILTER(#REF!,YEAR(FinishedData!$A:$A)=YEAR($A714),MONTH(FinishedData!$A:$A)=MONTH($A714),FinishedData!$B:$B=""Game"")))"),"")</f>
        <v/>
      </c>
      <c r="C714" s="7"/>
      <c r="D714" s="7"/>
      <c r="E714" s="7"/>
      <c r="F714" s="7"/>
      <c r="G714" s="7"/>
      <c r="H714" s="7"/>
      <c r="I714" s="7"/>
      <c r="J714" s="7"/>
      <c r="K714" s="7"/>
      <c r="L714" s="7"/>
      <c r="M714" s="7"/>
      <c r="N714" s="7"/>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c r="A715" s="112"/>
      <c r="B715" s="7" t="str">
        <f>IFERROR(__xludf.DUMMYFUNCTION("IF(A715="""","""",SUM(FILTER(#REF!,YEAR(FinishedData!$A:$A)=YEAR($A715),MONTH(FinishedData!$A:$A)=MONTH($A715),FinishedData!$B:$B=""Game"")))"),"")</f>
        <v/>
      </c>
      <c r="C715" s="7"/>
      <c r="D715" s="7"/>
      <c r="E715" s="7"/>
      <c r="F715" s="7"/>
      <c r="G715" s="7"/>
      <c r="H715" s="7"/>
      <c r="I715" s="7"/>
      <c r="J715" s="7"/>
      <c r="K715" s="7"/>
      <c r="L715" s="7"/>
      <c r="M715" s="7"/>
      <c r="N715" s="7"/>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c r="A716" s="112"/>
      <c r="B716" s="7" t="str">
        <f>IFERROR(__xludf.DUMMYFUNCTION("IF(A716="""","""",SUM(FILTER(#REF!,YEAR(FinishedData!$A:$A)=YEAR($A716),MONTH(FinishedData!$A:$A)=MONTH($A716),FinishedData!$B:$B=""Game"")))"),"")</f>
        <v/>
      </c>
      <c r="C716" s="7"/>
      <c r="D716" s="7"/>
      <c r="E716" s="7"/>
      <c r="F716" s="7"/>
      <c r="G716" s="7"/>
      <c r="H716" s="7"/>
      <c r="I716" s="7"/>
      <c r="J716" s="7"/>
      <c r="K716" s="7"/>
      <c r="L716" s="7"/>
      <c r="M716" s="7"/>
      <c r="N716" s="7"/>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c r="A717" s="112"/>
      <c r="B717" s="7" t="str">
        <f>IFERROR(__xludf.DUMMYFUNCTION("IF(A717="""","""",SUM(FILTER(#REF!,YEAR(FinishedData!$A:$A)=YEAR($A717),MONTH(FinishedData!$A:$A)=MONTH($A717),FinishedData!$B:$B=""Game"")))"),"")</f>
        <v/>
      </c>
      <c r="C717" s="7"/>
      <c r="D717" s="7"/>
      <c r="E717" s="7"/>
      <c r="F717" s="7"/>
      <c r="G717" s="7"/>
      <c r="H717" s="7"/>
      <c r="I717" s="7"/>
      <c r="J717" s="7"/>
      <c r="K717" s="7"/>
      <c r="L717" s="7"/>
      <c r="M717" s="7"/>
      <c r="N717" s="7"/>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c r="A718" s="112"/>
      <c r="B718" s="7" t="str">
        <f>IFERROR(__xludf.DUMMYFUNCTION("IF(A718="""","""",SUM(FILTER(#REF!,YEAR(FinishedData!$A:$A)=YEAR($A718),MONTH(FinishedData!$A:$A)=MONTH($A718),FinishedData!$B:$B=""Game"")))"),"")</f>
        <v/>
      </c>
      <c r="C718" s="7"/>
      <c r="D718" s="7"/>
      <c r="E718" s="7"/>
      <c r="F718" s="7"/>
      <c r="G718" s="7"/>
      <c r="H718" s="7"/>
      <c r="I718" s="7"/>
      <c r="J718" s="7"/>
      <c r="K718" s="7"/>
      <c r="L718" s="7"/>
      <c r="M718" s="7"/>
      <c r="N718" s="7"/>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c r="A719" s="112"/>
      <c r="B719" s="7" t="str">
        <f>IFERROR(__xludf.DUMMYFUNCTION("IF(A719="""","""",SUM(FILTER(#REF!,YEAR(FinishedData!$A:$A)=YEAR($A719),MONTH(FinishedData!$A:$A)=MONTH($A719),FinishedData!$B:$B=""Game"")))"),"")</f>
        <v/>
      </c>
      <c r="C719" s="7"/>
      <c r="D719" s="7"/>
      <c r="E719" s="7"/>
      <c r="F719" s="7"/>
      <c r="G719" s="7"/>
      <c r="H719" s="7"/>
      <c r="I719" s="7"/>
      <c r="J719" s="7"/>
      <c r="K719" s="7"/>
      <c r="L719" s="7"/>
      <c r="M719" s="7"/>
      <c r="N719" s="7"/>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c r="A720" s="112"/>
      <c r="B720" s="7" t="str">
        <f>IFERROR(__xludf.DUMMYFUNCTION("IF(A720="""","""",SUM(FILTER(#REF!,YEAR(FinishedData!$A:$A)=YEAR($A720),MONTH(FinishedData!$A:$A)=MONTH($A720),FinishedData!$B:$B=""Game"")))"),"")</f>
        <v/>
      </c>
      <c r="C720" s="7"/>
      <c r="D720" s="7"/>
      <c r="E720" s="7"/>
      <c r="F720" s="7"/>
      <c r="G720" s="7"/>
      <c r="H720" s="7"/>
      <c r="I720" s="7"/>
      <c r="J720" s="7"/>
      <c r="K720" s="7"/>
      <c r="L720" s="7"/>
      <c r="M720" s="7"/>
      <c r="N720" s="7"/>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c r="A721" s="112"/>
      <c r="B721" s="7" t="str">
        <f>IFERROR(__xludf.DUMMYFUNCTION("IF(A721="""","""",SUM(FILTER(#REF!,YEAR(FinishedData!$A:$A)=YEAR($A721),MONTH(FinishedData!$A:$A)=MONTH($A721),FinishedData!$B:$B=""Game"")))"),"")</f>
        <v/>
      </c>
      <c r="C721" s="7"/>
      <c r="D721" s="7"/>
      <c r="E721" s="7"/>
      <c r="F721" s="7"/>
      <c r="G721" s="7"/>
      <c r="H721" s="7"/>
      <c r="I721" s="7"/>
      <c r="J721" s="7"/>
      <c r="K721" s="7"/>
      <c r="L721" s="7"/>
      <c r="M721" s="7"/>
      <c r="N721" s="7"/>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c r="A722" s="112"/>
      <c r="B722" s="7" t="str">
        <f>IFERROR(__xludf.DUMMYFUNCTION("IF(A722="""","""",SUM(FILTER(#REF!,YEAR(FinishedData!$A:$A)=YEAR($A722),MONTH(FinishedData!$A:$A)=MONTH($A722),FinishedData!$B:$B=""Game"")))"),"")</f>
        <v/>
      </c>
      <c r="C722" s="7"/>
      <c r="D722" s="7"/>
      <c r="E722" s="7"/>
      <c r="F722" s="7"/>
      <c r="G722" s="7"/>
      <c r="H722" s="7"/>
      <c r="I722" s="7"/>
      <c r="J722" s="7"/>
      <c r="K722" s="7"/>
      <c r="L722" s="7"/>
      <c r="M722" s="7"/>
      <c r="N722" s="7"/>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c r="A723" s="112"/>
      <c r="B723" s="7" t="str">
        <f>IFERROR(__xludf.DUMMYFUNCTION("IF(A723="""","""",SUM(FILTER(#REF!,YEAR(FinishedData!$A:$A)=YEAR($A723),MONTH(FinishedData!$A:$A)=MONTH($A723),FinishedData!$B:$B=""Game"")))"),"")</f>
        <v/>
      </c>
      <c r="C723" s="7"/>
      <c r="D723" s="7"/>
      <c r="E723" s="7"/>
      <c r="F723" s="7"/>
      <c r="G723" s="7"/>
      <c r="H723" s="7"/>
      <c r="I723" s="7"/>
      <c r="J723" s="7"/>
      <c r="K723" s="7"/>
      <c r="L723" s="7"/>
      <c r="M723" s="7"/>
      <c r="N723" s="7"/>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c r="A724" s="112"/>
      <c r="B724" s="7" t="str">
        <f>IFERROR(__xludf.DUMMYFUNCTION("IF(A724="""","""",SUM(FILTER(#REF!,YEAR(FinishedData!$A:$A)=YEAR($A724),MONTH(FinishedData!$A:$A)=MONTH($A724),FinishedData!$B:$B=""Game"")))"),"")</f>
        <v/>
      </c>
      <c r="C724" s="7"/>
      <c r="D724" s="7"/>
      <c r="E724" s="7"/>
      <c r="F724" s="7"/>
      <c r="G724" s="7"/>
      <c r="H724" s="7"/>
      <c r="I724" s="7"/>
      <c r="J724" s="7"/>
      <c r="K724" s="7"/>
      <c r="L724" s="7"/>
      <c r="M724" s="7"/>
      <c r="N724" s="7"/>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c r="A725" s="112"/>
      <c r="B725" s="7" t="str">
        <f>IFERROR(__xludf.DUMMYFUNCTION("IF(A725="""","""",SUM(FILTER(#REF!,YEAR(FinishedData!$A:$A)=YEAR($A725),MONTH(FinishedData!$A:$A)=MONTH($A725),FinishedData!$B:$B=""Game"")))"),"")</f>
        <v/>
      </c>
      <c r="C725" s="7"/>
      <c r="D725" s="7"/>
      <c r="E725" s="7"/>
      <c r="F725" s="7"/>
      <c r="G725" s="7"/>
      <c r="H725" s="7"/>
      <c r="I725" s="7"/>
      <c r="J725" s="7"/>
      <c r="K725" s="7"/>
      <c r="L725" s="7"/>
      <c r="M725" s="7"/>
      <c r="N725" s="7"/>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c r="A726" s="112"/>
      <c r="B726" s="7" t="str">
        <f>IFERROR(__xludf.DUMMYFUNCTION("IF(A726="""","""",SUM(FILTER(#REF!,YEAR(FinishedData!$A:$A)=YEAR($A726),MONTH(FinishedData!$A:$A)=MONTH($A726),FinishedData!$B:$B=""Game"")))"),"")</f>
        <v/>
      </c>
      <c r="C726" s="7"/>
      <c r="D726" s="7"/>
      <c r="E726" s="7"/>
      <c r="F726" s="7"/>
      <c r="G726" s="7"/>
      <c r="H726" s="7"/>
      <c r="I726" s="7"/>
      <c r="J726" s="7"/>
      <c r="K726" s="7"/>
      <c r="L726" s="7"/>
      <c r="M726" s="7"/>
      <c r="N726" s="7"/>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c r="A727" s="112"/>
      <c r="B727" s="7" t="str">
        <f>IFERROR(__xludf.DUMMYFUNCTION("IF(A727="""","""",SUM(FILTER(#REF!,YEAR(FinishedData!$A:$A)=YEAR($A727),MONTH(FinishedData!$A:$A)=MONTH($A727),FinishedData!$B:$B=""Game"")))"),"")</f>
        <v/>
      </c>
      <c r="C727" s="7"/>
      <c r="D727" s="7"/>
      <c r="E727" s="7"/>
      <c r="F727" s="7"/>
      <c r="G727" s="7"/>
      <c r="H727" s="7"/>
      <c r="I727" s="7"/>
      <c r="J727" s="7"/>
      <c r="K727" s="7"/>
      <c r="L727" s="7"/>
      <c r="M727" s="7"/>
      <c r="N727" s="7"/>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c r="A728" s="112"/>
      <c r="B728" s="7" t="str">
        <f>IFERROR(__xludf.DUMMYFUNCTION("IF(A728="""","""",SUM(FILTER(#REF!,YEAR(FinishedData!$A:$A)=YEAR($A728),MONTH(FinishedData!$A:$A)=MONTH($A728),FinishedData!$B:$B=""Game"")))"),"")</f>
        <v/>
      </c>
      <c r="C728" s="7"/>
      <c r="D728" s="7"/>
      <c r="E728" s="7"/>
      <c r="F728" s="7"/>
      <c r="G728" s="7"/>
      <c r="H728" s="7"/>
      <c r="I728" s="7"/>
      <c r="J728" s="7"/>
      <c r="K728" s="7"/>
      <c r="L728" s="7"/>
      <c r="M728" s="7"/>
      <c r="N728" s="7"/>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c r="A729" s="112"/>
      <c r="B729" s="7" t="str">
        <f>IFERROR(__xludf.DUMMYFUNCTION("IF(A729="""","""",SUM(FILTER(#REF!,YEAR(FinishedData!$A:$A)=YEAR($A729),MONTH(FinishedData!$A:$A)=MONTH($A729),FinishedData!$B:$B=""Game"")))"),"")</f>
        <v/>
      </c>
      <c r="C729" s="7"/>
      <c r="D729" s="7"/>
      <c r="E729" s="7"/>
      <c r="F729" s="7"/>
      <c r="G729" s="7"/>
      <c r="H729" s="7"/>
      <c r="I729" s="7"/>
      <c r="J729" s="7"/>
      <c r="K729" s="7"/>
      <c r="L729" s="7"/>
      <c r="M729" s="7"/>
      <c r="N729" s="7"/>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c r="A730" s="112"/>
      <c r="B730" s="7" t="str">
        <f>IFERROR(__xludf.DUMMYFUNCTION("IF(A730="""","""",SUM(FILTER(#REF!,YEAR(FinishedData!$A:$A)=YEAR($A730),MONTH(FinishedData!$A:$A)=MONTH($A730),FinishedData!$B:$B=""Game"")))"),"")</f>
        <v/>
      </c>
      <c r="C730" s="7"/>
      <c r="D730" s="7"/>
      <c r="E730" s="7"/>
      <c r="F730" s="7"/>
      <c r="G730" s="7"/>
      <c r="H730" s="7"/>
      <c r="I730" s="7"/>
      <c r="J730" s="7"/>
      <c r="K730" s="7"/>
      <c r="L730" s="7"/>
      <c r="M730" s="7"/>
      <c r="N730" s="7"/>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c r="A731" s="112"/>
      <c r="B731" s="7" t="str">
        <f>IFERROR(__xludf.DUMMYFUNCTION("IF(A731="""","""",SUM(FILTER(#REF!,YEAR(FinishedData!$A:$A)=YEAR($A731),MONTH(FinishedData!$A:$A)=MONTH($A731),FinishedData!$B:$B=""Game"")))"),"")</f>
        <v/>
      </c>
      <c r="C731" s="7"/>
      <c r="D731" s="7"/>
      <c r="E731" s="7"/>
      <c r="F731" s="7"/>
      <c r="G731" s="7"/>
      <c r="H731" s="7"/>
      <c r="I731" s="7"/>
      <c r="J731" s="7"/>
      <c r="K731" s="7"/>
      <c r="L731" s="7"/>
      <c r="M731" s="7"/>
      <c r="N731" s="7"/>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c r="A732" s="112"/>
      <c r="B732" s="7" t="str">
        <f>IFERROR(__xludf.DUMMYFUNCTION("IF(A732="""","""",SUM(FILTER(#REF!,YEAR(FinishedData!$A:$A)=YEAR($A732),MONTH(FinishedData!$A:$A)=MONTH($A732),FinishedData!$B:$B=""Game"")))"),"")</f>
        <v/>
      </c>
      <c r="C732" s="7"/>
      <c r="D732" s="7"/>
      <c r="E732" s="7"/>
      <c r="F732" s="7"/>
      <c r="G732" s="7"/>
      <c r="H732" s="7"/>
      <c r="I732" s="7"/>
      <c r="J732" s="7"/>
      <c r="K732" s="7"/>
      <c r="L732" s="7"/>
      <c r="M732" s="7"/>
      <c r="N732" s="7"/>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c r="A733" s="112"/>
      <c r="B733" s="7" t="str">
        <f>IFERROR(__xludf.DUMMYFUNCTION("IF(A733="""","""",SUM(FILTER(#REF!,YEAR(FinishedData!$A:$A)=YEAR($A733),MONTH(FinishedData!$A:$A)=MONTH($A733),FinishedData!$B:$B=""Game"")))"),"")</f>
        <v/>
      </c>
      <c r="C733" s="7"/>
      <c r="D733" s="7"/>
      <c r="E733" s="7"/>
      <c r="F733" s="7"/>
      <c r="G733" s="7"/>
      <c r="H733" s="7"/>
      <c r="I733" s="7"/>
      <c r="J733" s="7"/>
      <c r="K733" s="7"/>
      <c r="L733" s="7"/>
      <c r="M733" s="7"/>
      <c r="N733" s="7"/>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c r="A734" s="112"/>
      <c r="B734" s="7" t="str">
        <f>IFERROR(__xludf.DUMMYFUNCTION("IF(A734="""","""",SUM(FILTER(#REF!,YEAR(FinishedData!$A:$A)=YEAR($A734),MONTH(FinishedData!$A:$A)=MONTH($A734),FinishedData!$B:$B=""Game"")))"),"")</f>
        <v/>
      </c>
      <c r="C734" s="7"/>
      <c r="D734" s="7"/>
      <c r="E734" s="7"/>
      <c r="F734" s="7"/>
      <c r="G734" s="7"/>
      <c r="H734" s="7"/>
      <c r="I734" s="7"/>
      <c r="J734" s="7"/>
      <c r="K734" s="7"/>
      <c r="L734" s="7"/>
      <c r="M734" s="7"/>
      <c r="N734" s="7"/>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c r="A735" s="112"/>
      <c r="B735" s="7" t="str">
        <f>IFERROR(__xludf.DUMMYFUNCTION("IF(A735="""","""",SUM(FILTER(#REF!,YEAR(FinishedData!$A:$A)=YEAR($A735),MONTH(FinishedData!$A:$A)=MONTH($A735),FinishedData!$B:$B=""Game"")))"),"")</f>
        <v/>
      </c>
      <c r="C735" s="7"/>
      <c r="D735" s="7"/>
      <c r="E735" s="7"/>
      <c r="F735" s="7"/>
      <c r="G735" s="7"/>
      <c r="H735" s="7"/>
      <c r="I735" s="7"/>
      <c r="J735" s="7"/>
      <c r="K735" s="7"/>
      <c r="L735" s="7"/>
      <c r="M735" s="7"/>
      <c r="N735" s="7"/>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c r="A736" s="112"/>
      <c r="B736" s="7" t="str">
        <f>IFERROR(__xludf.DUMMYFUNCTION("IF(A736="""","""",SUM(FILTER(#REF!,YEAR(FinishedData!$A:$A)=YEAR($A736),MONTH(FinishedData!$A:$A)=MONTH($A736),FinishedData!$B:$B=""Game"")))"),"")</f>
        <v/>
      </c>
      <c r="C736" s="7"/>
      <c r="D736" s="7"/>
      <c r="E736" s="7"/>
      <c r="F736" s="7"/>
      <c r="G736" s="7"/>
      <c r="H736" s="7"/>
      <c r="I736" s="7"/>
      <c r="J736" s="7"/>
      <c r="K736" s="7"/>
      <c r="L736" s="7"/>
      <c r="M736" s="7"/>
      <c r="N736" s="7"/>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c r="A737" s="112"/>
      <c r="B737" s="7" t="str">
        <f>IFERROR(__xludf.DUMMYFUNCTION("IF(A737="""","""",SUM(FILTER(#REF!,YEAR(FinishedData!$A:$A)=YEAR($A737),MONTH(FinishedData!$A:$A)=MONTH($A737),FinishedData!$B:$B=""Game"")))"),"")</f>
        <v/>
      </c>
      <c r="C737" s="7"/>
      <c r="D737" s="7"/>
      <c r="E737" s="7"/>
      <c r="F737" s="7"/>
      <c r="G737" s="7"/>
      <c r="H737" s="7"/>
      <c r="I737" s="7"/>
      <c r="J737" s="7"/>
      <c r="K737" s="7"/>
      <c r="L737" s="7"/>
      <c r="M737" s="7"/>
      <c r="N737" s="7"/>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c r="A738" s="112"/>
      <c r="B738" s="7" t="str">
        <f>IFERROR(__xludf.DUMMYFUNCTION("IF(A738="""","""",SUM(FILTER(#REF!,YEAR(FinishedData!$A:$A)=YEAR($A738),MONTH(FinishedData!$A:$A)=MONTH($A738),FinishedData!$B:$B=""Game"")))"),"")</f>
        <v/>
      </c>
      <c r="C738" s="7"/>
      <c r="D738" s="7"/>
      <c r="E738" s="7"/>
      <c r="F738" s="7"/>
      <c r="G738" s="7"/>
      <c r="H738" s="7"/>
      <c r="I738" s="7"/>
      <c r="J738" s="7"/>
      <c r="K738" s="7"/>
      <c r="L738" s="7"/>
      <c r="M738" s="7"/>
      <c r="N738" s="7"/>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c r="A739" s="112"/>
      <c r="B739" s="7" t="str">
        <f>IFERROR(__xludf.DUMMYFUNCTION("IF(A739="""","""",SUM(FILTER(#REF!,YEAR(FinishedData!$A:$A)=YEAR($A739),MONTH(FinishedData!$A:$A)=MONTH($A739),FinishedData!$B:$B=""Game"")))"),"")</f>
        <v/>
      </c>
      <c r="C739" s="7"/>
      <c r="D739" s="7"/>
      <c r="E739" s="7"/>
      <c r="F739" s="7"/>
      <c r="G739" s="7"/>
      <c r="H739" s="7"/>
      <c r="I739" s="7"/>
      <c r="J739" s="7"/>
      <c r="K739" s="7"/>
      <c r="L739" s="7"/>
      <c r="M739" s="7"/>
      <c r="N739" s="7"/>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c r="A740" s="112"/>
      <c r="B740" s="7" t="str">
        <f>IFERROR(__xludf.DUMMYFUNCTION("IF(A740="""","""",SUM(FILTER(#REF!,YEAR(FinishedData!$A:$A)=YEAR($A740),MONTH(FinishedData!$A:$A)=MONTH($A740),FinishedData!$B:$B=""Game"")))"),"")</f>
        <v/>
      </c>
      <c r="C740" s="7"/>
      <c r="D740" s="7"/>
      <c r="E740" s="7"/>
      <c r="F740" s="7"/>
      <c r="G740" s="7"/>
      <c r="H740" s="7"/>
      <c r="I740" s="7"/>
      <c r="J740" s="7"/>
      <c r="K740" s="7"/>
      <c r="L740" s="7"/>
      <c r="M740" s="7"/>
      <c r="N740" s="7"/>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c r="A741" s="112"/>
      <c r="B741" s="7" t="str">
        <f>IFERROR(__xludf.DUMMYFUNCTION("IF(A741="""","""",SUM(FILTER(#REF!,YEAR(FinishedData!$A:$A)=YEAR($A741),MONTH(FinishedData!$A:$A)=MONTH($A741),FinishedData!$B:$B=""Game"")))"),"")</f>
        <v/>
      </c>
      <c r="C741" s="7"/>
      <c r="D741" s="7"/>
      <c r="E741" s="7"/>
      <c r="F741" s="7"/>
      <c r="G741" s="7"/>
      <c r="H741" s="7"/>
      <c r="I741" s="7"/>
      <c r="J741" s="7"/>
      <c r="K741" s="7"/>
      <c r="L741" s="7"/>
      <c r="M741" s="7"/>
      <c r="N741" s="7"/>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c r="A742" s="112"/>
      <c r="B742" s="7" t="str">
        <f>IFERROR(__xludf.DUMMYFUNCTION("IF(A742="""","""",SUM(FILTER(#REF!,YEAR(FinishedData!$A:$A)=YEAR($A742),MONTH(FinishedData!$A:$A)=MONTH($A742),FinishedData!$B:$B=""Game"")))"),"")</f>
        <v/>
      </c>
      <c r="C742" s="7"/>
      <c r="D742" s="7"/>
      <c r="E742" s="7"/>
      <c r="F742" s="7"/>
      <c r="G742" s="7"/>
      <c r="H742" s="7"/>
      <c r="I742" s="7"/>
      <c r="J742" s="7"/>
      <c r="K742" s="7"/>
      <c r="L742" s="7"/>
      <c r="M742" s="7"/>
      <c r="N742" s="7"/>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c r="A743" s="112"/>
      <c r="B743" s="7" t="str">
        <f>IFERROR(__xludf.DUMMYFUNCTION("IF(A743="""","""",SUM(FILTER(#REF!,YEAR(FinishedData!$A:$A)=YEAR($A743),MONTH(FinishedData!$A:$A)=MONTH($A743),FinishedData!$B:$B=""Game"")))"),"")</f>
        <v/>
      </c>
      <c r="C743" s="7"/>
      <c r="D743" s="7"/>
      <c r="E743" s="7"/>
      <c r="F743" s="7"/>
      <c r="G743" s="7"/>
      <c r="H743" s="7"/>
      <c r="I743" s="7"/>
      <c r="J743" s="7"/>
      <c r="K743" s="7"/>
      <c r="L743" s="7"/>
      <c r="M743" s="7"/>
      <c r="N743" s="7"/>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c r="A744" s="112"/>
      <c r="B744" s="7" t="str">
        <f>IFERROR(__xludf.DUMMYFUNCTION("IF(A744="""","""",SUM(FILTER(#REF!,YEAR(FinishedData!$A:$A)=YEAR($A744),MONTH(FinishedData!$A:$A)=MONTH($A744),FinishedData!$B:$B=""Game"")))"),"")</f>
        <v/>
      </c>
      <c r="C744" s="7"/>
      <c r="D744" s="7"/>
      <c r="E744" s="7"/>
      <c r="F744" s="7"/>
      <c r="G744" s="7"/>
      <c r="H744" s="7"/>
      <c r="I744" s="7"/>
      <c r="J744" s="7"/>
      <c r="K744" s="7"/>
      <c r="L744" s="7"/>
      <c r="M744" s="7"/>
      <c r="N744" s="7"/>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c r="A745" s="112"/>
      <c r="B745" s="7" t="str">
        <f>IFERROR(__xludf.DUMMYFUNCTION("IF(A745="""","""",SUM(FILTER(#REF!,YEAR(FinishedData!$A:$A)=YEAR($A745),MONTH(FinishedData!$A:$A)=MONTH($A745),FinishedData!$B:$B=""Game"")))"),"")</f>
        <v/>
      </c>
      <c r="C745" s="7"/>
      <c r="D745" s="7"/>
      <c r="E745" s="7"/>
      <c r="F745" s="7"/>
      <c r="G745" s="7"/>
      <c r="H745" s="7"/>
      <c r="I745" s="7"/>
      <c r="J745" s="7"/>
      <c r="K745" s="7"/>
      <c r="L745" s="7"/>
      <c r="M745" s="7"/>
      <c r="N745" s="7"/>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c r="A746" s="112"/>
      <c r="B746" s="7" t="str">
        <f>IFERROR(__xludf.DUMMYFUNCTION("IF(A746="""","""",SUM(FILTER(#REF!,YEAR(FinishedData!$A:$A)=YEAR($A746),MONTH(FinishedData!$A:$A)=MONTH($A746),FinishedData!$B:$B=""Game"")))"),"")</f>
        <v/>
      </c>
      <c r="C746" s="7"/>
      <c r="D746" s="7"/>
      <c r="E746" s="7"/>
      <c r="F746" s="7"/>
      <c r="G746" s="7"/>
      <c r="H746" s="7"/>
      <c r="I746" s="7"/>
      <c r="J746" s="7"/>
      <c r="K746" s="7"/>
      <c r="L746" s="7"/>
      <c r="M746" s="7"/>
      <c r="N746" s="7"/>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c r="A747" s="112"/>
      <c r="B747" s="7" t="str">
        <f>IFERROR(__xludf.DUMMYFUNCTION("IF(A747="""","""",SUM(FILTER(#REF!,YEAR(FinishedData!$A:$A)=YEAR($A747),MONTH(FinishedData!$A:$A)=MONTH($A747),FinishedData!$B:$B=""Game"")))"),"")</f>
        <v/>
      </c>
      <c r="C747" s="7"/>
      <c r="D747" s="7"/>
      <c r="E747" s="7"/>
      <c r="F747" s="7"/>
      <c r="G747" s="7"/>
      <c r="H747" s="7"/>
      <c r="I747" s="7"/>
      <c r="J747" s="7"/>
      <c r="K747" s="7"/>
      <c r="L747" s="7"/>
      <c r="M747" s="7"/>
      <c r="N747" s="7"/>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c r="A748" s="112"/>
      <c r="B748" s="7" t="str">
        <f>IFERROR(__xludf.DUMMYFUNCTION("IF(A748="""","""",SUM(FILTER(#REF!,YEAR(FinishedData!$A:$A)=YEAR($A748),MONTH(FinishedData!$A:$A)=MONTH($A748),FinishedData!$B:$B=""Game"")))"),"")</f>
        <v/>
      </c>
      <c r="C748" s="7"/>
      <c r="D748" s="7"/>
      <c r="E748" s="7"/>
      <c r="F748" s="7"/>
      <c r="G748" s="7"/>
      <c r="H748" s="7"/>
      <c r="I748" s="7"/>
      <c r="J748" s="7"/>
      <c r="K748" s="7"/>
      <c r="L748" s="7"/>
      <c r="M748" s="7"/>
      <c r="N748" s="7"/>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c r="A749" s="112"/>
      <c r="B749" s="7" t="str">
        <f>IFERROR(__xludf.DUMMYFUNCTION("IF(A749="""","""",SUM(FILTER(#REF!,YEAR(FinishedData!$A:$A)=YEAR($A749),MONTH(FinishedData!$A:$A)=MONTH($A749),FinishedData!$B:$B=""Game"")))"),"")</f>
        <v/>
      </c>
      <c r="C749" s="7"/>
      <c r="D749" s="7"/>
      <c r="E749" s="7"/>
      <c r="F749" s="7"/>
      <c r="G749" s="7"/>
      <c r="H749" s="7"/>
      <c r="I749" s="7"/>
      <c r="J749" s="7"/>
      <c r="K749" s="7"/>
      <c r="L749" s="7"/>
      <c r="M749" s="7"/>
      <c r="N749" s="7"/>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c r="A750" s="112"/>
      <c r="B750" s="7" t="str">
        <f>IFERROR(__xludf.DUMMYFUNCTION("IF(A750="""","""",SUM(FILTER(#REF!,YEAR(FinishedData!$A:$A)=YEAR($A750),MONTH(FinishedData!$A:$A)=MONTH($A750),FinishedData!$B:$B=""Game"")))"),"")</f>
        <v/>
      </c>
      <c r="C750" s="7"/>
      <c r="D750" s="7"/>
      <c r="E750" s="7"/>
      <c r="F750" s="7"/>
      <c r="G750" s="7"/>
      <c r="H750" s="7"/>
      <c r="I750" s="7"/>
      <c r="J750" s="7"/>
      <c r="K750" s="7"/>
      <c r="L750" s="7"/>
      <c r="M750" s="7"/>
      <c r="N750" s="7"/>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c r="A751" s="112"/>
      <c r="B751" s="7" t="str">
        <f>IFERROR(__xludf.DUMMYFUNCTION("IF(A751="""","""",SUM(FILTER(#REF!,YEAR(FinishedData!$A:$A)=YEAR($A751),MONTH(FinishedData!$A:$A)=MONTH($A751),FinishedData!$B:$B=""Game"")))"),"")</f>
        <v/>
      </c>
      <c r="C751" s="7"/>
      <c r="D751" s="7"/>
      <c r="E751" s="7"/>
      <c r="F751" s="7"/>
      <c r="G751" s="7"/>
      <c r="H751" s="7"/>
      <c r="I751" s="7"/>
      <c r="J751" s="7"/>
      <c r="K751" s="7"/>
      <c r="L751" s="7"/>
      <c r="M751" s="7"/>
      <c r="N751" s="7"/>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c r="A752" s="112"/>
      <c r="B752" s="7" t="str">
        <f>IFERROR(__xludf.DUMMYFUNCTION("IF(A752="""","""",SUM(FILTER(#REF!,YEAR(FinishedData!$A:$A)=YEAR($A752),MONTH(FinishedData!$A:$A)=MONTH($A752),FinishedData!$B:$B=""Game"")))"),"")</f>
        <v/>
      </c>
      <c r="C752" s="7"/>
      <c r="D752" s="7"/>
      <c r="E752" s="7"/>
      <c r="F752" s="7"/>
      <c r="G752" s="7"/>
      <c r="H752" s="7"/>
      <c r="I752" s="7"/>
      <c r="J752" s="7"/>
      <c r="K752" s="7"/>
      <c r="L752" s="7"/>
      <c r="M752" s="7"/>
      <c r="N752" s="7"/>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c r="A753" s="112"/>
      <c r="B753" s="7" t="str">
        <f>IFERROR(__xludf.DUMMYFUNCTION("IF(A753="""","""",SUM(FILTER(#REF!,YEAR(FinishedData!$A:$A)=YEAR($A753),MONTH(FinishedData!$A:$A)=MONTH($A753),FinishedData!$B:$B=""Game"")))"),"")</f>
        <v/>
      </c>
      <c r="C753" s="7"/>
      <c r="D753" s="7"/>
      <c r="E753" s="7"/>
      <c r="F753" s="7"/>
      <c r="G753" s="7"/>
      <c r="H753" s="7"/>
      <c r="I753" s="7"/>
      <c r="J753" s="7"/>
      <c r="K753" s="7"/>
      <c r="L753" s="7"/>
      <c r="M753" s="7"/>
      <c r="N753" s="7"/>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c r="A754" s="112"/>
      <c r="B754" s="7" t="str">
        <f>IFERROR(__xludf.DUMMYFUNCTION("IF(A754="""","""",SUM(FILTER(#REF!,YEAR(FinishedData!$A:$A)=YEAR($A754),MONTH(FinishedData!$A:$A)=MONTH($A754),FinishedData!$B:$B=""Game"")))"),"")</f>
        <v/>
      </c>
      <c r="C754" s="7"/>
      <c r="D754" s="7"/>
      <c r="E754" s="7"/>
      <c r="F754" s="7"/>
      <c r="G754" s="7"/>
      <c r="H754" s="7"/>
      <c r="I754" s="7"/>
      <c r="J754" s="7"/>
      <c r="K754" s="7"/>
      <c r="L754" s="7"/>
      <c r="M754" s="7"/>
      <c r="N754" s="7"/>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c r="A755" s="112"/>
      <c r="B755" s="7" t="str">
        <f>IFERROR(__xludf.DUMMYFUNCTION("IF(A755="""","""",SUM(FILTER(#REF!,YEAR(FinishedData!$A:$A)=YEAR($A755),MONTH(FinishedData!$A:$A)=MONTH($A755),FinishedData!$B:$B=""Game"")))"),"")</f>
        <v/>
      </c>
      <c r="C755" s="7"/>
      <c r="D755" s="7"/>
      <c r="E755" s="7"/>
      <c r="F755" s="7"/>
      <c r="G755" s="7"/>
      <c r="H755" s="7"/>
      <c r="I755" s="7"/>
      <c r="J755" s="7"/>
      <c r="K755" s="7"/>
      <c r="L755" s="7"/>
      <c r="M755" s="7"/>
      <c r="N755" s="7"/>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c r="A756" s="112"/>
      <c r="B756" s="7" t="str">
        <f>IFERROR(__xludf.DUMMYFUNCTION("IF(A756="""","""",SUM(FILTER(#REF!,YEAR(FinishedData!$A:$A)=YEAR($A756),MONTH(FinishedData!$A:$A)=MONTH($A756),FinishedData!$B:$B=""Game"")))"),"")</f>
        <v/>
      </c>
      <c r="C756" s="7"/>
      <c r="D756" s="7"/>
      <c r="E756" s="7"/>
      <c r="F756" s="7"/>
      <c r="G756" s="7"/>
      <c r="H756" s="7"/>
      <c r="I756" s="7"/>
      <c r="J756" s="7"/>
      <c r="K756" s="7"/>
      <c r="L756" s="7"/>
      <c r="M756" s="7"/>
      <c r="N756" s="7"/>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c r="A757" s="112"/>
      <c r="B757" s="7" t="str">
        <f>IFERROR(__xludf.DUMMYFUNCTION("IF(A757="""","""",SUM(FILTER(#REF!,YEAR(FinishedData!$A:$A)=YEAR($A757),MONTH(FinishedData!$A:$A)=MONTH($A757),FinishedData!$B:$B=""Game"")))"),"")</f>
        <v/>
      </c>
      <c r="C757" s="7"/>
      <c r="D757" s="7"/>
      <c r="E757" s="7"/>
      <c r="F757" s="7"/>
      <c r="G757" s="7"/>
      <c r="H757" s="7"/>
      <c r="I757" s="7"/>
      <c r="J757" s="7"/>
      <c r="K757" s="7"/>
      <c r="L757" s="7"/>
      <c r="M757" s="7"/>
      <c r="N757" s="7"/>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c r="A758" s="112"/>
      <c r="B758" s="7" t="str">
        <f>IFERROR(__xludf.DUMMYFUNCTION("IF(A758="""","""",SUM(FILTER(#REF!,YEAR(FinishedData!$A:$A)=YEAR($A758),MONTH(FinishedData!$A:$A)=MONTH($A758),FinishedData!$B:$B=""Game"")))"),"")</f>
        <v/>
      </c>
      <c r="C758" s="7"/>
      <c r="D758" s="7"/>
      <c r="E758" s="7"/>
      <c r="F758" s="7"/>
      <c r="G758" s="7"/>
      <c r="H758" s="7"/>
      <c r="I758" s="7"/>
      <c r="J758" s="7"/>
      <c r="K758" s="7"/>
      <c r="L758" s="7"/>
      <c r="M758" s="7"/>
      <c r="N758" s="7"/>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c r="A759" s="112"/>
      <c r="B759" s="7" t="str">
        <f>IFERROR(__xludf.DUMMYFUNCTION("IF(A759="""","""",SUM(FILTER(#REF!,YEAR(FinishedData!$A:$A)=YEAR($A759),MONTH(FinishedData!$A:$A)=MONTH($A759),FinishedData!$B:$B=""Game"")))"),"")</f>
        <v/>
      </c>
      <c r="C759" s="7"/>
      <c r="D759" s="7"/>
      <c r="E759" s="7"/>
      <c r="F759" s="7"/>
      <c r="G759" s="7"/>
      <c r="H759" s="7"/>
      <c r="I759" s="7"/>
      <c r="J759" s="7"/>
      <c r="K759" s="7"/>
      <c r="L759" s="7"/>
      <c r="M759" s="7"/>
      <c r="N759" s="7"/>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c r="A760" s="112"/>
      <c r="B760" s="7" t="str">
        <f>IFERROR(__xludf.DUMMYFUNCTION("IF(A760="""","""",SUM(FILTER(#REF!,YEAR(FinishedData!$A:$A)=YEAR($A760),MONTH(FinishedData!$A:$A)=MONTH($A760),FinishedData!$B:$B=""Game"")))"),"")</f>
        <v/>
      </c>
      <c r="C760" s="7"/>
      <c r="D760" s="7"/>
      <c r="E760" s="7"/>
      <c r="F760" s="7"/>
      <c r="G760" s="7"/>
      <c r="H760" s="7"/>
      <c r="I760" s="7"/>
      <c r="J760" s="7"/>
      <c r="K760" s="7"/>
      <c r="L760" s="7"/>
      <c r="M760" s="7"/>
      <c r="N760" s="7"/>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c r="A761" s="112"/>
      <c r="B761" s="7" t="str">
        <f>IFERROR(__xludf.DUMMYFUNCTION("IF(A761="""","""",SUM(FILTER(#REF!,YEAR(FinishedData!$A:$A)=YEAR($A761),MONTH(FinishedData!$A:$A)=MONTH($A761),FinishedData!$B:$B=""Game"")))"),"")</f>
        <v/>
      </c>
      <c r="C761" s="7"/>
      <c r="D761" s="7"/>
      <c r="E761" s="7"/>
      <c r="F761" s="7"/>
      <c r="G761" s="7"/>
      <c r="H761" s="7"/>
      <c r="I761" s="7"/>
      <c r="J761" s="7"/>
      <c r="K761" s="7"/>
      <c r="L761" s="7"/>
      <c r="M761" s="7"/>
      <c r="N761" s="7"/>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c r="A762" s="112"/>
      <c r="B762" s="7" t="str">
        <f>IFERROR(__xludf.DUMMYFUNCTION("IF(A762="""","""",SUM(FILTER(#REF!,YEAR(FinishedData!$A:$A)=YEAR($A762),MONTH(FinishedData!$A:$A)=MONTH($A762),FinishedData!$B:$B=""Game"")))"),"")</f>
        <v/>
      </c>
      <c r="C762" s="7"/>
      <c r="D762" s="7"/>
      <c r="E762" s="7"/>
      <c r="F762" s="7"/>
      <c r="G762" s="7"/>
      <c r="H762" s="7"/>
      <c r="I762" s="7"/>
      <c r="J762" s="7"/>
      <c r="K762" s="7"/>
      <c r="L762" s="7"/>
      <c r="M762" s="7"/>
      <c r="N762" s="7"/>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c r="A763" s="112"/>
      <c r="B763" s="7" t="str">
        <f>IFERROR(__xludf.DUMMYFUNCTION("IF(A763="""","""",SUM(FILTER(#REF!,YEAR(FinishedData!$A:$A)=YEAR($A763),MONTH(FinishedData!$A:$A)=MONTH($A763),FinishedData!$B:$B=""Game"")))"),"")</f>
        <v/>
      </c>
      <c r="C763" s="7"/>
      <c r="D763" s="7"/>
      <c r="E763" s="7"/>
      <c r="F763" s="7"/>
      <c r="G763" s="7"/>
      <c r="H763" s="7"/>
      <c r="I763" s="7"/>
      <c r="J763" s="7"/>
      <c r="K763" s="7"/>
      <c r="L763" s="7"/>
      <c r="M763" s="7"/>
      <c r="N763" s="7"/>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c r="A764" s="112"/>
      <c r="B764" s="7" t="str">
        <f>IFERROR(__xludf.DUMMYFUNCTION("IF(A764="""","""",SUM(FILTER(#REF!,YEAR(FinishedData!$A:$A)=YEAR($A764),MONTH(FinishedData!$A:$A)=MONTH($A764),FinishedData!$B:$B=""Game"")))"),"")</f>
        <v/>
      </c>
      <c r="C764" s="7"/>
      <c r="D764" s="7"/>
      <c r="E764" s="7"/>
      <c r="F764" s="7"/>
      <c r="G764" s="7"/>
      <c r="H764" s="7"/>
      <c r="I764" s="7"/>
      <c r="J764" s="7"/>
      <c r="K764" s="7"/>
      <c r="L764" s="7"/>
      <c r="M764" s="7"/>
      <c r="N764" s="7"/>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c r="A765" s="112"/>
      <c r="B765" s="7" t="str">
        <f>IFERROR(__xludf.DUMMYFUNCTION("IF(A765="""","""",SUM(FILTER(#REF!,YEAR(FinishedData!$A:$A)=YEAR($A765),MONTH(FinishedData!$A:$A)=MONTH($A765),FinishedData!$B:$B=""Game"")))"),"")</f>
        <v/>
      </c>
      <c r="C765" s="7"/>
      <c r="D765" s="7"/>
      <c r="E765" s="7"/>
      <c r="F765" s="7"/>
      <c r="G765" s="7"/>
      <c r="H765" s="7"/>
      <c r="I765" s="7"/>
      <c r="J765" s="7"/>
      <c r="K765" s="7"/>
      <c r="L765" s="7"/>
      <c r="M765" s="7"/>
      <c r="N765" s="7"/>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c r="A766" s="112"/>
      <c r="B766" s="7" t="str">
        <f>IFERROR(__xludf.DUMMYFUNCTION("IF(A766="""","""",SUM(FILTER(#REF!,YEAR(FinishedData!$A:$A)=YEAR($A766),MONTH(FinishedData!$A:$A)=MONTH($A766),FinishedData!$B:$B=""Game"")))"),"")</f>
        <v/>
      </c>
      <c r="C766" s="7"/>
      <c r="D766" s="7"/>
      <c r="E766" s="7"/>
      <c r="F766" s="7"/>
      <c r="G766" s="7"/>
      <c r="H766" s="7"/>
      <c r="I766" s="7"/>
      <c r="J766" s="7"/>
      <c r="K766" s="7"/>
      <c r="L766" s="7"/>
      <c r="M766" s="7"/>
      <c r="N766" s="7"/>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c r="A767" s="112"/>
      <c r="B767" s="7" t="str">
        <f>IFERROR(__xludf.DUMMYFUNCTION("IF(A767="""","""",SUM(FILTER(#REF!,YEAR(FinishedData!$A:$A)=YEAR($A767),MONTH(FinishedData!$A:$A)=MONTH($A767),FinishedData!$B:$B=""Game"")))"),"")</f>
        <v/>
      </c>
      <c r="C767" s="7"/>
      <c r="D767" s="7"/>
      <c r="E767" s="7"/>
      <c r="F767" s="7"/>
      <c r="G767" s="7"/>
      <c r="H767" s="7"/>
      <c r="I767" s="7"/>
      <c r="J767" s="7"/>
      <c r="K767" s="7"/>
      <c r="L767" s="7"/>
      <c r="M767" s="7"/>
      <c r="N767" s="7"/>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c r="A768" s="112"/>
      <c r="B768" s="7" t="str">
        <f>IFERROR(__xludf.DUMMYFUNCTION("IF(A768="""","""",SUM(FILTER(#REF!,YEAR(FinishedData!$A:$A)=YEAR($A768),MONTH(FinishedData!$A:$A)=MONTH($A768),FinishedData!$B:$B=""Game"")))"),"")</f>
        <v/>
      </c>
      <c r="C768" s="7"/>
      <c r="D768" s="7"/>
      <c r="E768" s="7"/>
      <c r="F768" s="7"/>
      <c r="G768" s="7"/>
      <c r="H768" s="7"/>
      <c r="I768" s="7"/>
      <c r="J768" s="7"/>
      <c r="K768" s="7"/>
      <c r="L768" s="7"/>
      <c r="M768" s="7"/>
      <c r="N768" s="7"/>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c r="A769" s="112"/>
      <c r="B769" s="7" t="str">
        <f>IFERROR(__xludf.DUMMYFUNCTION("IF(A769="""","""",SUM(FILTER(#REF!,YEAR(FinishedData!$A:$A)=YEAR($A769),MONTH(FinishedData!$A:$A)=MONTH($A769),FinishedData!$B:$B=""Game"")))"),"")</f>
        <v/>
      </c>
      <c r="C769" s="7"/>
      <c r="D769" s="7"/>
      <c r="E769" s="7"/>
      <c r="F769" s="7"/>
      <c r="G769" s="7"/>
      <c r="H769" s="7"/>
      <c r="I769" s="7"/>
      <c r="J769" s="7"/>
      <c r="K769" s="7"/>
      <c r="L769" s="7"/>
      <c r="M769" s="7"/>
      <c r="N769" s="7"/>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c r="A770" s="112"/>
      <c r="B770" s="7" t="str">
        <f>IFERROR(__xludf.DUMMYFUNCTION("IF(A770="""","""",SUM(FILTER(#REF!,YEAR(FinishedData!$A:$A)=YEAR($A770),MONTH(FinishedData!$A:$A)=MONTH($A770),FinishedData!$B:$B=""Game"")))"),"")</f>
        <v/>
      </c>
      <c r="C770" s="7"/>
      <c r="D770" s="7"/>
      <c r="E770" s="7"/>
      <c r="F770" s="7"/>
      <c r="G770" s="7"/>
      <c r="H770" s="7"/>
      <c r="I770" s="7"/>
      <c r="J770" s="7"/>
      <c r="K770" s="7"/>
      <c r="L770" s="7"/>
      <c r="M770" s="7"/>
      <c r="N770" s="7"/>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c r="A771" s="112"/>
      <c r="B771" s="7" t="str">
        <f>IFERROR(__xludf.DUMMYFUNCTION("IF(A771="""","""",SUM(FILTER(#REF!,YEAR(FinishedData!$A:$A)=YEAR($A771),MONTH(FinishedData!$A:$A)=MONTH($A771),FinishedData!$B:$B=""Game"")))"),"")</f>
        <v/>
      </c>
      <c r="C771" s="7"/>
      <c r="D771" s="7"/>
      <c r="E771" s="7"/>
      <c r="F771" s="7"/>
      <c r="G771" s="7"/>
      <c r="H771" s="7"/>
      <c r="I771" s="7"/>
      <c r="J771" s="7"/>
      <c r="K771" s="7"/>
      <c r="L771" s="7"/>
      <c r="M771" s="7"/>
      <c r="N771" s="7"/>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c r="A772" s="112"/>
      <c r="B772" s="7" t="str">
        <f>IFERROR(__xludf.DUMMYFUNCTION("IF(A772="""","""",SUM(FILTER(#REF!,YEAR(FinishedData!$A:$A)=YEAR($A772),MONTH(FinishedData!$A:$A)=MONTH($A772),FinishedData!$B:$B=""Game"")))"),"")</f>
        <v/>
      </c>
      <c r="C772" s="7"/>
      <c r="D772" s="7"/>
      <c r="E772" s="7"/>
      <c r="F772" s="7"/>
      <c r="G772" s="7"/>
      <c r="H772" s="7"/>
      <c r="I772" s="7"/>
      <c r="J772" s="7"/>
      <c r="K772" s="7"/>
      <c r="L772" s="7"/>
      <c r="M772" s="7"/>
      <c r="N772" s="7"/>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c r="A773" s="112"/>
      <c r="B773" s="7" t="str">
        <f>IFERROR(__xludf.DUMMYFUNCTION("IF(A773="""","""",SUM(FILTER(#REF!,YEAR(FinishedData!$A:$A)=YEAR($A773),MONTH(FinishedData!$A:$A)=MONTH($A773),FinishedData!$B:$B=""Game"")))"),"")</f>
        <v/>
      </c>
      <c r="C773" s="7"/>
      <c r="D773" s="7"/>
      <c r="E773" s="7"/>
      <c r="F773" s="7"/>
      <c r="G773" s="7"/>
      <c r="H773" s="7"/>
      <c r="I773" s="7"/>
      <c r="J773" s="7"/>
      <c r="K773" s="7"/>
      <c r="L773" s="7"/>
      <c r="M773" s="7"/>
      <c r="N773" s="7"/>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c r="A774" s="112"/>
      <c r="B774" s="7" t="str">
        <f>IFERROR(__xludf.DUMMYFUNCTION("IF(A774="""","""",SUM(FILTER(#REF!,YEAR(FinishedData!$A:$A)=YEAR($A774),MONTH(FinishedData!$A:$A)=MONTH($A774),FinishedData!$B:$B=""Game"")))"),"")</f>
        <v/>
      </c>
      <c r="C774" s="7"/>
      <c r="D774" s="7"/>
      <c r="E774" s="7"/>
      <c r="F774" s="7"/>
      <c r="G774" s="7"/>
      <c r="H774" s="7"/>
      <c r="I774" s="7"/>
      <c r="J774" s="7"/>
      <c r="K774" s="7"/>
      <c r="L774" s="7"/>
      <c r="M774" s="7"/>
      <c r="N774" s="7"/>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c r="A775" s="112"/>
      <c r="B775" s="7" t="str">
        <f>IFERROR(__xludf.DUMMYFUNCTION("IF(A775="""","""",SUM(FILTER(#REF!,YEAR(FinishedData!$A:$A)=YEAR($A775),MONTH(FinishedData!$A:$A)=MONTH($A775),FinishedData!$B:$B=""Game"")))"),"")</f>
        <v/>
      </c>
      <c r="C775" s="7"/>
      <c r="D775" s="7"/>
      <c r="E775" s="7"/>
      <c r="F775" s="7"/>
      <c r="G775" s="7"/>
      <c r="H775" s="7"/>
      <c r="I775" s="7"/>
      <c r="J775" s="7"/>
      <c r="K775" s="7"/>
      <c r="L775" s="7"/>
      <c r="M775" s="7"/>
      <c r="N775" s="7"/>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c r="A776" s="112"/>
      <c r="B776" s="7" t="str">
        <f>IFERROR(__xludf.DUMMYFUNCTION("IF(A776="""","""",SUM(FILTER(#REF!,YEAR(FinishedData!$A:$A)=YEAR($A776),MONTH(FinishedData!$A:$A)=MONTH($A776),FinishedData!$B:$B=""Game"")))"),"")</f>
        <v/>
      </c>
      <c r="C776" s="7"/>
      <c r="D776" s="7"/>
      <c r="E776" s="7"/>
      <c r="F776" s="7"/>
      <c r="G776" s="7"/>
      <c r="H776" s="7"/>
      <c r="I776" s="7"/>
      <c r="J776" s="7"/>
      <c r="K776" s="7"/>
      <c r="L776" s="7"/>
      <c r="M776" s="7"/>
      <c r="N776" s="7"/>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c r="A777" s="112"/>
      <c r="B777" s="7" t="str">
        <f>IFERROR(__xludf.DUMMYFUNCTION("IF(A777="""","""",SUM(FILTER(#REF!,YEAR(FinishedData!$A:$A)=YEAR($A777),MONTH(FinishedData!$A:$A)=MONTH($A777),FinishedData!$B:$B=""Game"")))"),"")</f>
        <v/>
      </c>
      <c r="C777" s="7"/>
      <c r="D777" s="7"/>
      <c r="E777" s="7"/>
      <c r="F777" s="7"/>
      <c r="G777" s="7"/>
      <c r="H777" s="7"/>
      <c r="I777" s="7"/>
      <c r="J777" s="7"/>
      <c r="K777" s="7"/>
      <c r="L777" s="7"/>
      <c r="M777" s="7"/>
      <c r="N777" s="7"/>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c r="A778" s="112"/>
      <c r="B778" s="7" t="str">
        <f>IFERROR(__xludf.DUMMYFUNCTION("IF(A778="""","""",SUM(FILTER(#REF!,YEAR(FinishedData!$A:$A)=YEAR($A778),MONTH(FinishedData!$A:$A)=MONTH($A778),FinishedData!$B:$B=""Game"")))"),"")</f>
        <v/>
      </c>
      <c r="C778" s="7"/>
      <c r="D778" s="7"/>
      <c r="E778" s="7"/>
      <c r="F778" s="7"/>
      <c r="G778" s="7"/>
      <c r="H778" s="7"/>
      <c r="I778" s="7"/>
      <c r="J778" s="7"/>
      <c r="K778" s="7"/>
      <c r="L778" s="7"/>
      <c r="M778" s="7"/>
      <c r="N778" s="7"/>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c r="A779" s="112"/>
      <c r="B779" s="7" t="str">
        <f>IFERROR(__xludf.DUMMYFUNCTION("IF(A779="""","""",SUM(FILTER(#REF!,YEAR(FinishedData!$A:$A)=YEAR($A779),MONTH(FinishedData!$A:$A)=MONTH($A779),FinishedData!$B:$B=""Game"")))"),"")</f>
        <v/>
      </c>
      <c r="C779" s="7"/>
      <c r="D779" s="7"/>
      <c r="E779" s="7"/>
      <c r="F779" s="7"/>
      <c r="G779" s="7"/>
      <c r="H779" s="7"/>
      <c r="I779" s="7"/>
      <c r="J779" s="7"/>
      <c r="K779" s="7"/>
      <c r="L779" s="7"/>
      <c r="M779" s="7"/>
      <c r="N779" s="7"/>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c r="A780" s="112"/>
      <c r="B780" s="7" t="str">
        <f>IFERROR(__xludf.DUMMYFUNCTION("IF(A780="""","""",SUM(FILTER(#REF!,YEAR(FinishedData!$A:$A)=YEAR($A780),MONTH(FinishedData!$A:$A)=MONTH($A780),FinishedData!$B:$B=""Game"")))"),"")</f>
        <v/>
      </c>
      <c r="C780" s="7"/>
      <c r="D780" s="7"/>
      <c r="E780" s="7"/>
      <c r="F780" s="7"/>
      <c r="G780" s="7"/>
      <c r="H780" s="7"/>
      <c r="I780" s="7"/>
      <c r="J780" s="7"/>
      <c r="K780" s="7"/>
      <c r="L780" s="7"/>
      <c r="M780" s="7"/>
      <c r="N780" s="7"/>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c r="A781" s="112"/>
      <c r="B781" s="7" t="str">
        <f>IFERROR(__xludf.DUMMYFUNCTION("IF(A781="""","""",SUM(FILTER(#REF!,YEAR(FinishedData!$A:$A)=YEAR($A781),MONTH(FinishedData!$A:$A)=MONTH($A781),FinishedData!$B:$B=""Game"")))"),"")</f>
        <v/>
      </c>
      <c r="C781" s="7"/>
      <c r="D781" s="7"/>
      <c r="E781" s="7"/>
      <c r="F781" s="7"/>
      <c r="G781" s="7"/>
      <c r="H781" s="7"/>
      <c r="I781" s="7"/>
      <c r="J781" s="7"/>
      <c r="K781" s="7"/>
      <c r="L781" s="7"/>
      <c r="M781" s="7"/>
      <c r="N781" s="7"/>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c r="A782" s="112"/>
      <c r="B782" s="7" t="str">
        <f>IFERROR(__xludf.DUMMYFUNCTION("IF(A782="""","""",SUM(FILTER(#REF!,YEAR(FinishedData!$A:$A)=YEAR($A782),MONTH(FinishedData!$A:$A)=MONTH($A782),FinishedData!$B:$B=""Game"")))"),"")</f>
        <v/>
      </c>
      <c r="C782" s="7"/>
      <c r="D782" s="7"/>
      <c r="E782" s="7"/>
      <c r="F782" s="7"/>
      <c r="G782" s="7"/>
      <c r="H782" s="7"/>
      <c r="I782" s="7"/>
      <c r="J782" s="7"/>
      <c r="K782" s="7"/>
      <c r="L782" s="7"/>
      <c r="M782" s="7"/>
      <c r="N782" s="7"/>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c r="A783" s="112"/>
      <c r="B783" s="7" t="str">
        <f>IFERROR(__xludf.DUMMYFUNCTION("IF(A783="""","""",SUM(FILTER(#REF!,YEAR(FinishedData!$A:$A)=YEAR($A783),MONTH(FinishedData!$A:$A)=MONTH($A783),FinishedData!$B:$B=""Game"")))"),"")</f>
        <v/>
      </c>
      <c r="C783" s="7"/>
      <c r="D783" s="7"/>
      <c r="E783" s="7"/>
      <c r="F783" s="7"/>
      <c r="G783" s="7"/>
      <c r="H783" s="7"/>
      <c r="I783" s="7"/>
      <c r="J783" s="7"/>
      <c r="K783" s="7"/>
      <c r="L783" s="7"/>
      <c r="M783" s="7"/>
      <c r="N783" s="7"/>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c r="A784" s="112"/>
      <c r="B784" s="7" t="str">
        <f>IFERROR(__xludf.DUMMYFUNCTION("IF(A784="""","""",SUM(FILTER(#REF!,YEAR(FinishedData!$A:$A)=YEAR($A784),MONTH(FinishedData!$A:$A)=MONTH($A784),FinishedData!$B:$B=""Game"")))"),"")</f>
        <v/>
      </c>
      <c r="C784" s="7"/>
      <c r="D784" s="7"/>
      <c r="E784" s="7"/>
      <c r="F784" s="7"/>
      <c r="G784" s="7"/>
      <c r="H784" s="7"/>
      <c r="I784" s="7"/>
      <c r="J784" s="7"/>
      <c r="K784" s="7"/>
      <c r="L784" s="7"/>
      <c r="M784" s="7"/>
      <c r="N784" s="7"/>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c r="A785" s="112"/>
      <c r="B785" s="7" t="str">
        <f>IFERROR(__xludf.DUMMYFUNCTION("IF(A785="""","""",SUM(FILTER(#REF!,YEAR(FinishedData!$A:$A)=YEAR($A785),MONTH(FinishedData!$A:$A)=MONTH($A785),FinishedData!$B:$B=""Game"")))"),"")</f>
        <v/>
      </c>
      <c r="C785" s="7"/>
      <c r="D785" s="7"/>
      <c r="E785" s="7"/>
      <c r="F785" s="7"/>
      <c r="G785" s="7"/>
      <c r="H785" s="7"/>
      <c r="I785" s="7"/>
      <c r="J785" s="7"/>
      <c r="K785" s="7"/>
      <c r="L785" s="7"/>
      <c r="M785" s="7"/>
      <c r="N785" s="7"/>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c r="A786" s="112"/>
      <c r="B786" s="7" t="str">
        <f>IFERROR(__xludf.DUMMYFUNCTION("IF(A786="""","""",SUM(FILTER(#REF!,YEAR(FinishedData!$A:$A)=YEAR($A786),MONTH(FinishedData!$A:$A)=MONTH($A786),FinishedData!$B:$B=""Game"")))"),"")</f>
        <v/>
      </c>
      <c r="C786" s="7"/>
      <c r="D786" s="7"/>
      <c r="E786" s="7"/>
      <c r="F786" s="7"/>
      <c r="G786" s="7"/>
      <c r="H786" s="7"/>
      <c r="I786" s="7"/>
      <c r="J786" s="7"/>
      <c r="K786" s="7"/>
      <c r="L786" s="7"/>
      <c r="M786" s="7"/>
      <c r="N786" s="7"/>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c r="A787" s="112"/>
      <c r="B787" s="7" t="str">
        <f>IFERROR(__xludf.DUMMYFUNCTION("IF(A787="""","""",SUM(FILTER(#REF!,YEAR(FinishedData!$A:$A)=YEAR($A787),MONTH(FinishedData!$A:$A)=MONTH($A787),FinishedData!$B:$B=""Game"")))"),"")</f>
        <v/>
      </c>
      <c r="C787" s="7"/>
      <c r="D787" s="7"/>
      <c r="E787" s="7"/>
      <c r="F787" s="7"/>
      <c r="G787" s="7"/>
      <c r="H787" s="7"/>
      <c r="I787" s="7"/>
      <c r="J787" s="7"/>
      <c r="K787" s="7"/>
      <c r="L787" s="7"/>
      <c r="M787" s="7"/>
      <c r="N787" s="7"/>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c r="A788" s="112"/>
      <c r="B788" s="7" t="str">
        <f>IFERROR(__xludf.DUMMYFUNCTION("IF(A788="""","""",SUM(FILTER(#REF!,YEAR(FinishedData!$A:$A)=YEAR($A788),MONTH(FinishedData!$A:$A)=MONTH($A788),FinishedData!$B:$B=""Game"")))"),"")</f>
        <v/>
      </c>
      <c r="C788" s="7"/>
      <c r="D788" s="7"/>
      <c r="E788" s="7"/>
      <c r="F788" s="7"/>
      <c r="G788" s="7"/>
      <c r="H788" s="7"/>
      <c r="I788" s="7"/>
      <c r="J788" s="7"/>
      <c r="K788" s="7"/>
      <c r="L788" s="7"/>
      <c r="M788" s="7"/>
      <c r="N788" s="7"/>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c r="A789" s="112"/>
      <c r="B789" s="7" t="str">
        <f>IFERROR(__xludf.DUMMYFUNCTION("IF(A789="""","""",SUM(FILTER(#REF!,YEAR(FinishedData!$A:$A)=YEAR($A789),MONTH(FinishedData!$A:$A)=MONTH($A789),FinishedData!$B:$B=""Game"")))"),"")</f>
        <v/>
      </c>
      <c r="C789" s="7"/>
      <c r="D789" s="7"/>
      <c r="E789" s="7"/>
      <c r="F789" s="7"/>
      <c r="G789" s="7"/>
      <c r="H789" s="7"/>
      <c r="I789" s="7"/>
      <c r="J789" s="7"/>
      <c r="K789" s="7"/>
      <c r="L789" s="7"/>
      <c r="M789" s="7"/>
      <c r="N789" s="7"/>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c r="A790" s="112"/>
      <c r="B790" s="7" t="str">
        <f>IFERROR(__xludf.DUMMYFUNCTION("IF(A790="""","""",SUM(FILTER(#REF!,YEAR(FinishedData!$A:$A)=YEAR($A790),MONTH(FinishedData!$A:$A)=MONTH($A790),FinishedData!$B:$B=""Game"")))"),"")</f>
        <v/>
      </c>
      <c r="C790" s="7"/>
      <c r="D790" s="7"/>
      <c r="E790" s="7"/>
      <c r="F790" s="7"/>
      <c r="G790" s="7"/>
      <c r="H790" s="7"/>
      <c r="I790" s="7"/>
      <c r="J790" s="7"/>
      <c r="K790" s="7"/>
      <c r="L790" s="7"/>
      <c r="M790" s="7"/>
      <c r="N790" s="7"/>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c r="A791" s="112"/>
      <c r="B791" s="7" t="str">
        <f>IFERROR(__xludf.DUMMYFUNCTION("IF(A791="""","""",SUM(FILTER(#REF!,YEAR(FinishedData!$A:$A)=YEAR($A791),MONTH(FinishedData!$A:$A)=MONTH($A791),FinishedData!$B:$B=""Game"")))"),"")</f>
        <v/>
      </c>
      <c r="C791" s="7"/>
      <c r="D791" s="7"/>
      <c r="E791" s="7"/>
      <c r="F791" s="7"/>
      <c r="G791" s="7"/>
      <c r="H791" s="7"/>
      <c r="I791" s="7"/>
      <c r="J791" s="7"/>
      <c r="K791" s="7"/>
      <c r="L791" s="7"/>
      <c r="M791" s="7"/>
      <c r="N791" s="7"/>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c r="A792" s="112"/>
      <c r="B792" s="7" t="str">
        <f>IFERROR(__xludf.DUMMYFUNCTION("IF(A792="""","""",SUM(FILTER(#REF!,YEAR(FinishedData!$A:$A)=YEAR($A792),MONTH(FinishedData!$A:$A)=MONTH($A792),FinishedData!$B:$B=""Game"")))"),"")</f>
        <v/>
      </c>
      <c r="C792" s="7"/>
      <c r="D792" s="7"/>
      <c r="E792" s="7"/>
      <c r="F792" s="7"/>
      <c r="G792" s="7"/>
      <c r="H792" s="7"/>
      <c r="I792" s="7"/>
      <c r="J792" s="7"/>
      <c r="K792" s="7"/>
      <c r="L792" s="7"/>
      <c r="M792" s="7"/>
      <c r="N792" s="7"/>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c r="A793" s="112"/>
      <c r="B793" s="7" t="str">
        <f>IFERROR(__xludf.DUMMYFUNCTION("IF(A793="""","""",SUM(FILTER(#REF!,YEAR(FinishedData!$A:$A)=YEAR($A793),MONTH(FinishedData!$A:$A)=MONTH($A793),FinishedData!$B:$B=""Game"")))"),"")</f>
        <v/>
      </c>
      <c r="C793" s="7"/>
      <c r="D793" s="7"/>
      <c r="E793" s="7"/>
      <c r="F793" s="7"/>
      <c r="G793" s="7"/>
      <c r="H793" s="7"/>
      <c r="I793" s="7"/>
      <c r="J793" s="7"/>
      <c r="K793" s="7"/>
      <c r="L793" s="7"/>
      <c r="M793" s="7"/>
      <c r="N793" s="7"/>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c r="A794" s="112"/>
      <c r="B794" s="7" t="str">
        <f>IFERROR(__xludf.DUMMYFUNCTION("IF(A794="""","""",SUM(FILTER(#REF!,YEAR(FinishedData!$A:$A)=YEAR($A794),MONTH(FinishedData!$A:$A)=MONTH($A794),FinishedData!$B:$B=""Game"")))"),"")</f>
        <v/>
      </c>
      <c r="C794" s="7"/>
      <c r="D794" s="7"/>
      <c r="E794" s="7"/>
      <c r="F794" s="7"/>
      <c r="G794" s="7"/>
      <c r="H794" s="7"/>
      <c r="I794" s="7"/>
      <c r="J794" s="7"/>
      <c r="K794" s="7"/>
      <c r="L794" s="7"/>
      <c r="M794" s="7"/>
      <c r="N794" s="7"/>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c r="A795" s="112"/>
      <c r="B795" s="7" t="str">
        <f>IFERROR(__xludf.DUMMYFUNCTION("IF(A795="""","""",SUM(FILTER(#REF!,YEAR(FinishedData!$A:$A)=YEAR($A795),MONTH(FinishedData!$A:$A)=MONTH($A795),FinishedData!$B:$B=""Game"")))"),"")</f>
        <v/>
      </c>
      <c r="C795" s="7"/>
      <c r="D795" s="7"/>
      <c r="E795" s="7"/>
      <c r="F795" s="7"/>
      <c r="G795" s="7"/>
      <c r="H795" s="7"/>
      <c r="I795" s="7"/>
      <c r="J795" s="7"/>
      <c r="K795" s="7"/>
      <c r="L795" s="7"/>
      <c r="M795" s="7"/>
      <c r="N795" s="7"/>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c r="A796" s="112"/>
      <c r="B796" s="7" t="str">
        <f>IFERROR(__xludf.DUMMYFUNCTION("IF(A796="""","""",SUM(FILTER(#REF!,YEAR(FinishedData!$A:$A)=YEAR($A796),MONTH(FinishedData!$A:$A)=MONTH($A796),FinishedData!$B:$B=""Game"")))"),"")</f>
        <v/>
      </c>
      <c r="C796" s="7"/>
      <c r="D796" s="7"/>
      <c r="E796" s="7"/>
      <c r="F796" s="7"/>
      <c r="G796" s="7"/>
      <c r="H796" s="7"/>
      <c r="I796" s="7"/>
      <c r="J796" s="7"/>
      <c r="K796" s="7"/>
      <c r="L796" s="7"/>
      <c r="M796" s="7"/>
      <c r="N796" s="7"/>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c r="A797" s="112"/>
      <c r="B797" s="7" t="str">
        <f>IFERROR(__xludf.DUMMYFUNCTION("IF(A797="""","""",SUM(FILTER(#REF!,YEAR(FinishedData!$A:$A)=YEAR($A797),MONTH(FinishedData!$A:$A)=MONTH($A797),FinishedData!$B:$B=""Game"")))"),"")</f>
        <v/>
      </c>
      <c r="C797" s="7"/>
      <c r="D797" s="7"/>
      <c r="E797" s="7"/>
      <c r="F797" s="7"/>
      <c r="G797" s="7"/>
      <c r="H797" s="7"/>
      <c r="I797" s="7"/>
      <c r="J797" s="7"/>
      <c r="K797" s="7"/>
      <c r="L797" s="7"/>
      <c r="M797" s="7"/>
      <c r="N797" s="7"/>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c r="A798" s="112"/>
      <c r="B798" s="7" t="str">
        <f>IFERROR(__xludf.DUMMYFUNCTION("IF(A798="""","""",SUM(FILTER(#REF!,YEAR(FinishedData!$A:$A)=YEAR($A798),MONTH(FinishedData!$A:$A)=MONTH($A798),FinishedData!$B:$B=""Game"")))"),"")</f>
        <v/>
      </c>
      <c r="C798" s="7"/>
      <c r="D798" s="7"/>
      <c r="E798" s="7"/>
      <c r="F798" s="7"/>
      <c r="G798" s="7"/>
      <c r="H798" s="7"/>
      <c r="I798" s="7"/>
      <c r="J798" s="7"/>
      <c r="K798" s="7"/>
      <c r="L798" s="7"/>
      <c r="M798" s="7"/>
      <c r="N798" s="7"/>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c r="A799" s="112"/>
      <c r="B799" s="7" t="str">
        <f>IFERROR(__xludf.DUMMYFUNCTION("IF(A799="""","""",SUM(FILTER(#REF!,YEAR(FinishedData!$A:$A)=YEAR($A799),MONTH(FinishedData!$A:$A)=MONTH($A799),FinishedData!$B:$B=""Game"")))"),"")</f>
        <v/>
      </c>
      <c r="C799" s="7"/>
      <c r="D799" s="7"/>
      <c r="E799" s="7"/>
      <c r="F799" s="7"/>
      <c r="G799" s="7"/>
      <c r="H799" s="7"/>
      <c r="I799" s="7"/>
      <c r="J799" s="7"/>
      <c r="K799" s="7"/>
      <c r="L799" s="7"/>
      <c r="M799" s="7"/>
      <c r="N799" s="7"/>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c r="A800" s="112"/>
      <c r="B800" s="7" t="str">
        <f>IFERROR(__xludf.DUMMYFUNCTION("IF(A800="""","""",SUM(FILTER(#REF!,YEAR(FinishedData!$A:$A)=YEAR($A800),MONTH(FinishedData!$A:$A)=MONTH($A800),FinishedData!$B:$B=""Game"")))"),"")</f>
        <v/>
      </c>
      <c r="C800" s="7"/>
      <c r="D800" s="7"/>
      <c r="E800" s="7"/>
      <c r="F800" s="7"/>
      <c r="G800" s="7"/>
      <c r="H800" s="7"/>
      <c r="I800" s="7"/>
      <c r="J800" s="7"/>
      <c r="K800" s="7"/>
      <c r="L800" s="7"/>
      <c r="M800" s="7"/>
      <c r="N800" s="7"/>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c r="A801" s="112"/>
      <c r="B801" s="7" t="str">
        <f>IFERROR(__xludf.DUMMYFUNCTION("IF(A801="""","""",SUM(FILTER(#REF!,YEAR(FinishedData!$A:$A)=YEAR($A801),MONTH(FinishedData!$A:$A)=MONTH($A801),FinishedData!$B:$B=""Game"")))"),"")</f>
        <v/>
      </c>
      <c r="C801" s="7"/>
      <c r="D801" s="7"/>
      <c r="E801" s="7"/>
      <c r="F801" s="7"/>
      <c r="G801" s="7"/>
      <c r="H801" s="7"/>
      <c r="I801" s="7"/>
      <c r="J801" s="7"/>
      <c r="K801" s="7"/>
      <c r="L801" s="7"/>
      <c r="M801" s="7"/>
      <c r="N801" s="7"/>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c r="A802" s="112"/>
      <c r="B802" s="7" t="str">
        <f>IFERROR(__xludf.DUMMYFUNCTION("IF(A802="""","""",SUM(FILTER(#REF!,YEAR(FinishedData!$A:$A)=YEAR($A802),MONTH(FinishedData!$A:$A)=MONTH($A802),FinishedData!$B:$B=""Game"")))"),"")</f>
        <v/>
      </c>
      <c r="C802" s="7"/>
      <c r="D802" s="7"/>
      <c r="E802" s="7"/>
      <c r="F802" s="7"/>
      <c r="G802" s="7"/>
      <c r="H802" s="7"/>
      <c r="I802" s="7"/>
      <c r="J802" s="7"/>
      <c r="K802" s="7"/>
      <c r="L802" s="7"/>
      <c r="M802" s="7"/>
      <c r="N802" s="7"/>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c r="A803" s="112"/>
      <c r="B803" s="7" t="str">
        <f>IFERROR(__xludf.DUMMYFUNCTION("IF(A803="""","""",SUM(FILTER(#REF!,YEAR(FinishedData!$A:$A)=YEAR($A803),MONTH(FinishedData!$A:$A)=MONTH($A803),FinishedData!$B:$B=""Game"")))"),"")</f>
        <v/>
      </c>
      <c r="C803" s="7"/>
      <c r="D803" s="7"/>
      <c r="E803" s="7"/>
      <c r="F803" s="7"/>
      <c r="G803" s="7"/>
      <c r="H803" s="7"/>
      <c r="I803" s="7"/>
      <c r="J803" s="7"/>
      <c r="K803" s="7"/>
      <c r="L803" s="7"/>
      <c r="M803" s="7"/>
      <c r="N803" s="7"/>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c r="A804" s="112"/>
      <c r="B804" s="7" t="str">
        <f>IFERROR(__xludf.DUMMYFUNCTION("IF(A804="""","""",SUM(FILTER(#REF!,YEAR(FinishedData!$A:$A)=YEAR($A804),MONTH(FinishedData!$A:$A)=MONTH($A804),FinishedData!$B:$B=""Game"")))"),"")</f>
        <v/>
      </c>
      <c r="C804" s="7"/>
      <c r="D804" s="7"/>
      <c r="E804" s="7"/>
      <c r="F804" s="7"/>
      <c r="G804" s="7"/>
      <c r="H804" s="7"/>
      <c r="I804" s="7"/>
      <c r="J804" s="7"/>
      <c r="K804" s="7"/>
      <c r="L804" s="7"/>
      <c r="M804" s="7"/>
      <c r="N804" s="7"/>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c r="A805" s="112"/>
      <c r="B805" s="7" t="str">
        <f>IFERROR(__xludf.DUMMYFUNCTION("IF(A805="""","""",SUM(FILTER(#REF!,YEAR(FinishedData!$A:$A)=YEAR($A805),MONTH(FinishedData!$A:$A)=MONTH($A805),FinishedData!$B:$B=""Game"")))"),"")</f>
        <v/>
      </c>
      <c r="C805" s="7"/>
      <c r="D805" s="7"/>
      <c r="E805" s="7"/>
      <c r="F805" s="7"/>
      <c r="G805" s="7"/>
      <c r="H805" s="7"/>
      <c r="I805" s="7"/>
      <c r="J805" s="7"/>
      <c r="K805" s="7"/>
      <c r="L805" s="7"/>
      <c r="M805" s="7"/>
      <c r="N805" s="7"/>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c r="A806" s="112"/>
      <c r="B806" s="7" t="str">
        <f>IFERROR(__xludf.DUMMYFUNCTION("IF(A806="""","""",SUM(FILTER(#REF!,YEAR(FinishedData!$A:$A)=YEAR($A806),MONTH(FinishedData!$A:$A)=MONTH($A806),FinishedData!$B:$B=""Game"")))"),"")</f>
        <v/>
      </c>
      <c r="C806" s="7"/>
      <c r="D806" s="7"/>
      <c r="E806" s="7"/>
      <c r="F806" s="7"/>
      <c r="G806" s="7"/>
      <c r="H806" s="7"/>
      <c r="I806" s="7"/>
      <c r="J806" s="7"/>
      <c r="K806" s="7"/>
      <c r="L806" s="7"/>
      <c r="M806" s="7"/>
      <c r="N806" s="7"/>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c r="A807" s="112"/>
      <c r="B807" s="7" t="str">
        <f>IFERROR(__xludf.DUMMYFUNCTION("IF(A807="""","""",SUM(FILTER(#REF!,YEAR(FinishedData!$A:$A)=YEAR($A807),MONTH(FinishedData!$A:$A)=MONTH($A807),FinishedData!$B:$B=""Game"")))"),"")</f>
        <v/>
      </c>
      <c r="C807" s="7"/>
      <c r="D807" s="7"/>
      <c r="E807" s="7"/>
      <c r="F807" s="7"/>
      <c r="G807" s="7"/>
      <c r="H807" s="7"/>
      <c r="I807" s="7"/>
      <c r="J807" s="7"/>
      <c r="K807" s="7"/>
      <c r="L807" s="7"/>
      <c r="M807" s="7"/>
      <c r="N807" s="7"/>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c r="A808" s="112"/>
      <c r="B808" s="7" t="str">
        <f>IFERROR(__xludf.DUMMYFUNCTION("IF(A808="""","""",SUM(FILTER(#REF!,YEAR(FinishedData!$A:$A)=YEAR($A808),MONTH(FinishedData!$A:$A)=MONTH($A808),FinishedData!$B:$B=""Game"")))"),"")</f>
        <v/>
      </c>
      <c r="C808" s="7"/>
      <c r="D808" s="7"/>
      <c r="E808" s="7"/>
      <c r="F808" s="7"/>
      <c r="G808" s="7"/>
      <c r="H808" s="7"/>
      <c r="I808" s="7"/>
      <c r="J808" s="7"/>
      <c r="K808" s="7"/>
      <c r="L808" s="7"/>
      <c r="M808" s="7"/>
      <c r="N808" s="7"/>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c r="A809" s="112"/>
      <c r="B809" s="7" t="str">
        <f>IFERROR(__xludf.DUMMYFUNCTION("IF(A809="""","""",SUM(FILTER(#REF!,YEAR(FinishedData!$A:$A)=YEAR($A809),MONTH(FinishedData!$A:$A)=MONTH($A809),FinishedData!$B:$B=""Game"")))"),"")</f>
        <v/>
      </c>
      <c r="C809" s="7"/>
      <c r="D809" s="7"/>
      <c r="E809" s="7"/>
      <c r="F809" s="7"/>
      <c r="G809" s="7"/>
      <c r="H809" s="7"/>
      <c r="I809" s="7"/>
      <c r="J809" s="7"/>
      <c r="K809" s="7"/>
      <c r="L809" s="7"/>
      <c r="M809" s="7"/>
      <c r="N809" s="7"/>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c r="A810" s="112"/>
      <c r="B810" s="7" t="str">
        <f>IFERROR(__xludf.DUMMYFUNCTION("IF(A810="""","""",SUM(FILTER(#REF!,YEAR(FinishedData!$A:$A)=YEAR($A810),MONTH(FinishedData!$A:$A)=MONTH($A810),FinishedData!$B:$B=""Game"")))"),"")</f>
        <v/>
      </c>
      <c r="C810" s="7"/>
      <c r="D810" s="7"/>
      <c r="E810" s="7"/>
      <c r="F810" s="7"/>
      <c r="G810" s="7"/>
      <c r="H810" s="7"/>
      <c r="I810" s="7"/>
      <c r="J810" s="7"/>
      <c r="K810" s="7"/>
      <c r="L810" s="7"/>
      <c r="M810" s="7"/>
      <c r="N810" s="7"/>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c r="A811" s="112"/>
      <c r="B811" s="7" t="str">
        <f>IFERROR(__xludf.DUMMYFUNCTION("IF(A811="""","""",SUM(FILTER(#REF!,YEAR(FinishedData!$A:$A)=YEAR($A811),MONTH(FinishedData!$A:$A)=MONTH($A811),FinishedData!$B:$B=""Game"")))"),"")</f>
        <v/>
      </c>
      <c r="C811" s="7"/>
      <c r="D811" s="7"/>
      <c r="E811" s="7"/>
      <c r="F811" s="7"/>
      <c r="G811" s="7"/>
      <c r="H811" s="7"/>
      <c r="I811" s="7"/>
      <c r="J811" s="7"/>
      <c r="K811" s="7"/>
      <c r="L811" s="7"/>
      <c r="M811" s="7"/>
      <c r="N811" s="7"/>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c r="A812" s="112"/>
      <c r="B812" s="7" t="str">
        <f>IFERROR(__xludf.DUMMYFUNCTION("IF(A812="""","""",SUM(FILTER(#REF!,YEAR(FinishedData!$A:$A)=YEAR($A812),MONTH(FinishedData!$A:$A)=MONTH($A812),FinishedData!$B:$B=""Game"")))"),"")</f>
        <v/>
      </c>
      <c r="C812" s="7"/>
      <c r="D812" s="7"/>
      <c r="E812" s="7"/>
      <c r="F812" s="7"/>
      <c r="G812" s="7"/>
      <c r="H812" s="7"/>
      <c r="I812" s="7"/>
      <c r="J812" s="7"/>
      <c r="K812" s="7"/>
      <c r="L812" s="7"/>
      <c r="M812" s="7"/>
      <c r="N812" s="7"/>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c r="A813" s="112"/>
      <c r="B813" s="7" t="str">
        <f>IFERROR(__xludf.DUMMYFUNCTION("IF(A813="""","""",SUM(FILTER(#REF!,YEAR(FinishedData!$A:$A)=YEAR($A813),MONTH(FinishedData!$A:$A)=MONTH($A813),FinishedData!$B:$B=""Game"")))"),"")</f>
        <v/>
      </c>
      <c r="C813" s="7"/>
      <c r="D813" s="7"/>
      <c r="E813" s="7"/>
      <c r="F813" s="7"/>
      <c r="G813" s="7"/>
      <c r="H813" s="7"/>
      <c r="I813" s="7"/>
      <c r="J813" s="7"/>
      <c r="K813" s="7"/>
      <c r="L813" s="7"/>
      <c r="M813" s="7"/>
      <c r="N813" s="7"/>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c r="A814" s="112"/>
      <c r="B814" s="7" t="str">
        <f>IFERROR(__xludf.DUMMYFUNCTION("IF(A814="""","""",SUM(FILTER(#REF!,YEAR(FinishedData!$A:$A)=YEAR($A814),MONTH(FinishedData!$A:$A)=MONTH($A814),FinishedData!$B:$B=""Game"")))"),"")</f>
        <v/>
      </c>
      <c r="C814" s="7"/>
      <c r="D814" s="7"/>
      <c r="E814" s="7"/>
      <c r="F814" s="7"/>
      <c r="G814" s="7"/>
      <c r="H814" s="7"/>
      <c r="I814" s="7"/>
      <c r="J814" s="7"/>
      <c r="K814" s="7"/>
      <c r="L814" s="7"/>
      <c r="M814" s="7"/>
      <c r="N814" s="7"/>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c r="A815" s="112"/>
      <c r="B815" s="7" t="str">
        <f>IFERROR(__xludf.DUMMYFUNCTION("IF(A815="""","""",SUM(FILTER(#REF!,YEAR(FinishedData!$A:$A)=YEAR($A815),MONTH(FinishedData!$A:$A)=MONTH($A815),FinishedData!$B:$B=""Game"")))"),"")</f>
        <v/>
      </c>
      <c r="C815" s="7"/>
      <c r="D815" s="7"/>
      <c r="E815" s="7"/>
      <c r="F815" s="7"/>
      <c r="G815" s="7"/>
      <c r="H815" s="7"/>
      <c r="I815" s="7"/>
      <c r="J815" s="7"/>
      <c r="K815" s="7"/>
      <c r="L815" s="7"/>
      <c r="M815" s="7"/>
      <c r="N815" s="7"/>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c r="A816" s="112"/>
      <c r="B816" s="7" t="str">
        <f>IFERROR(__xludf.DUMMYFUNCTION("IF(A816="""","""",SUM(FILTER(#REF!,YEAR(FinishedData!$A:$A)=YEAR($A816),MONTH(FinishedData!$A:$A)=MONTH($A816),FinishedData!$B:$B=""Game"")))"),"")</f>
        <v/>
      </c>
      <c r="C816" s="7"/>
      <c r="D816" s="7"/>
      <c r="E816" s="7"/>
      <c r="F816" s="7"/>
      <c r="G816" s="7"/>
      <c r="H816" s="7"/>
      <c r="I816" s="7"/>
      <c r="J816" s="7"/>
      <c r="K816" s="7"/>
      <c r="L816" s="7"/>
      <c r="M816" s="7"/>
      <c r="N816" s="7"/>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c r="A817" s="112"/>
      <c r="B817" s="7" t="str">
        <f>IFERROR(__xludf.DUMMYFUNCTION("IF(A817="""","""",SUM(FILTER(#REF!,YEAR(FinishedData!$A:$A)=YEAR($A817),MONTH(FinishedData!$A:$A)=MONTH($A817),FinishedData!$B:$B=""Game"")))"),"")</f>
        <v/>
      </c>
      <c r="C817" s="7"/>
      <c r="D817" s="7"/>
      <c r="E817" s="7"/>
      <c r="F817" s="7"/>
      <c r="G817" s="7"/>
      <c r="H817" s="7"/>
      <c r="I817" s="7"/>
      <c r="J817" s="7"/>
      <c r="K817" s="7"/>
      <c r="L817" s="7"/>
      <c r="M817" s="7"/>
      <c r="N817" s="7"/>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c r="A818" s="112"/>
      <c r="B818" s="7" t="str">
        <f>IFERROR(__xludf.DUMMYFUNCTION("IF(A818="""","""",SUM(FILTER(#REF!,YEAR(FinishedData!$A:$A)=YEAR($A818),MONTH(FinishedData!$A:$A)=MONTH($A818),FinishedData!$B:$B=""Game"")))"),"")</f>
        <v/>
      </c>
      <c r="C818" s="7"/>
      <c r="D818" s="7"/>
      <c r="E818" s="7"/>
      <c r="F818" s="7"/>
      <c r="G818" s="7"/>
      <c r="H818" s="7"/>
      <c r="I818" s="7"/>
      <c r="J818" s="7"/>
      <c r="K818" s="7"/>
      <c r="L818" s="7"/>
      <c r="M818" s="7"/>
      <c r="N818" s="7"/>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c r="A819" s="112"/>
      <c r="B819" s="7" t="str">
        <f>IFERROR(__xludf.DUMMYFUNCTION("IF(A819="""","""",SUM(FILTER(#REF!,YEAR(FinishedData!$A:$A)=YEAR($A819),MONTH(FinishedData!$A:$A)=MONTH($A819),FinishedData!$B:$B=""Game"")))"),"")</f>
        <v/>
      </c>
      <c r="C819" s="7"/>
      <c r="D819" s="7"/>
      <c r="E819" s="7"/>
      <c r="F819" s="7"/>
      <c r="G819" s="7"/>
      <c r="H819" s="7"/>
      <c r="I819" s="7"/>
      <c r="J819" s="7"/>
      <c r="K819" s="7"/>
      <c r="L819" s="7"/>
      <c r="M819" s="7"/>
      <c r="N819" s="7"/>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c r="A820" s="112"/>
      <c r="B820" s="7" t="str">
        <f>IFERROR(__xludf.DUMMYFUNCTION("IF(A820="""","""",SUM(FILTER(#REF!,YEAR(FinishedData!$A:$A)=YEAR($A820),MONTH(FinishedData!$A:$A)=MONTH($A820),FinishedData!$B:$B=""Game"")))"),"")</f>
        <v/>
      </c>
      <c r="C820" s="7"/>
      <c r="D820" s="7"/>
      <c r="E820" s="7"/>
      <c r="F820" s="7"/>
      <c r="G820" s="7"/>
      <c r="H820" s="7"/>
      <c r="I820" s="7"/>
      <c r="J820" s="7"/>
      <c r="K820" s="7"/>
      <c r="L820" s="7"/>
      <c r="M820" s="7"/>
      <c r="N820" s="7"/>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c r="A821" s="112"/>
      <c r="B821" s="7" t="str">
        <f>IFERROR(__xludf.DUMMYFUNCTION("IF(A821="""","""",SUM(FILTER(#REF!,YEAR(FinishedData!$A:$A)=YEAR($A821),MONTH(FinishedData!$A:$A)=MONTH($A821),FinishedData!$B:$B=""Game"")))"),"")</f>
        <v/>
      </c>
      <c r="C821" s="7"/>
      <c r="D821" s="7"/>
      <c r="E821" s="7"/>
      <c r="F821" s="7"/>
      <c r="G821" s="7"/>
      <c r="H821" s="7"/>
      <c r="I821" s="7"/>
      <c r="J821" s="7"/>
      <c r="K821" s="7"/>
      <c r="L821" s="7"/>
      <c r="M821" s="7"/>
      <c r="N821" s="7"/>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c r="A822" s="112"/>
      <c r="B822" s="7" t="str">
        <f>IFERROR(__xludf.DUMMYFUNCTION("IF(A822="""","""",SUM(FILTER(#REF!,YEAR(FinishedData!$A:$A)=YEAR($A822),MONTH(FinishedData!$A:$A)=MONTH($A822),FinishedData!$B:$B=""Game"")))"),"")</f>
        <v/>
      </c>
      <c r="C822" s="7"/>
      <c r="D822" s="7"/>
      <c r="E822" s="7"/>
      <c r="F822" s="7"/>
      <c r="G822" s="7"/>
      <c r="H822" s="7"/>
      <c r="I822" s="7"/>
      <c r="J822" s="7"/>
      <c r="K822" s="7"/>
      <c r="L822" s="7"/>
      <c r="M822" s="7"/>
      <c r="N822" s="7"/>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c r="A823" s="112"/>
      <c r="B823" s="7" t="str">
        <f>IFERROR(__xludf.DUMMYFUNCTION("IF(A823="""","""",SUM(FILTER(#REF!,YEAR(FinishedData!$A:$A)=YEAR($A823),MONTH(FinishedData!$A:$A)=MONTH($A823),FinishedData!$B:$B=""Game"")))"),"")</f>
        <v/>
      </c>
      <c r="C823" s="7"/>
      <c r="D823" s="7"/>
      <c r="E823" s="7"/>
      <c r="F823" s="7"/>
      <c r="G823" s="7"/>
      <c r="H823" s="7"/>
      <c r="I823" s="7"/>
      <c r="J823" s="7"/>
      <c r="K823" s="7"/>
      <c r="L823" s="7"/>
      <c r="M823" s="7"/>
      <c r="N823" s="7"/>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c r="A824" s="112"/>
      <c r="B824" s="7" t="str">
        <f>IFERROR(__xludf.DUMMYFUNCTION("IF(A824="""","""",SUM(FILTER(#REF!,YEAR(FinishedData!$A:$A)=YEAR($A824),MONTH(FinishedData!$A:$A)=MONTH($A824),FinishedData!$B:$B=""Game"")))"),"")</f>
        <v/>
      </c>
      <c r="C824" s="7"/>
      <c r="D824" s="7"/>
      <c r="E824" s="7"/>
      <c r="F824" s="7"/>
      <c r="G824" s="7"/>
      <c r="H824" s="7"/>
      <c r="I824" s="7"/>
      <c r="J824" s="7"/>
      <c r="K824" s="7"/>
      <c r="L824" s="7"/>
      <c r="M824" s="7"/>
      <c r="N824" s="7"/>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c r="A825" s="112"/>
      <c r="B825" s="7" t="str">
        <f>IFERROR(__xludf.DUMMYFUNCTION("IF(A825="""","""",SUM(FILTER(#REF!,YEAR(FinishedData!$A:$A)=YEAR($A825),MONTH(FinishedData!$A:$A)=MONTH($A825),FinishedData!$B:$B=""Game"")))"),"")</f>
        <v/>
      </c>
      <c r="C825" s="7"/>
      <c r="D825" s="7"/>
      <c r="E825" s="7"/>
      <c r="F825" s="7"/>
      <c r="G825" s="7"/>
      <c r="H825" s="7"/>
      <c r="I825" s="7"/>
      <c r="J825" s="7"/>
      <c r="K825" s="7"/>
      <c r="L825" s="7"/>
      <c r="M825" s="7"/>
      <c r="N825" s="7"/>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c r="A826" s="112"/>
      <c r="B826" s="7" t="str">
        <f>IFERROR(__xludf.DUMMYFUNCTION("IF(A826="""","""",SUM(FILTER(#REF!,YEAR(FinishedData!$A:$A)=YEAR($A826),MONTH(FinishedData!$A:$A)=MONTH($A826),FinishedData!$B:$B=""Game"")))"),"")</f>
        <v/>
      </c>
      <c r="C826" s="7"/>
      <c r="D826" s="7"/>
      <c r="E826" s="7"/>
      <c r="F826" s="7"/>
      <c r="G826" s="7"/>
      <c r="H826" s="7"/>
      <c r="I826" s="7"/>
      <c r="J826" s="7"/>
      <c r="K826" s="7"/>
      <c r="L826" s="7"/>
      <c r="M826" s="7"/>
      <c r="N826" s="7"/>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c r="A827" s="112"/>
      <c r="B827" s="7" t="str">
        <f>IFERROR(__xludf.DUMMYFUNCTION("IF(A827="""","""",SUM(FILTER(#REF!,YEAR(FinishedData!$A:$A)=YEAR($A827),MONTH(FinishedData!$A:$A)=MONTH($A827),FinishedData!$B:$B=""Game"")))"),"")</f>
        <v/>
      </c>
      <c r="C827" s="7"/>
      <c r="D827" s="7"/>
      <c r="E827" s="7"/>
      <c r="F827" s="7"/>
      <c r="G827" s="7"/>
      <c r="H827" s="7"/>
      <c r="I827" s="7"/>
      <c r="J827" s="7"/>
      <c r="K827" s="7"/>
      <c r="L827" s="7"/>
      <c r="M827" s="7"/>
      <c r="N827" s="7"/>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c r="A828" s="112"/>
      <c r="B828" s="7" t="str">
        <f>IFERROR(__xludf.DUMMYFUNCTION("IF(A828="""","""",SUM(FILTER(#REF!,YEAR(FinishedData!$A:$A)=YEAR($A828),MONTH(FinishedData!$A:$A)=MONTH($A828),FinishedData!$B:$B=""Game"")))"),"")</f>
        <v/>
      </c>
      <c r="C828" s="7"/>
      <c r="D828" s="7"/>
      <c r="E828" s="7"/>
      <c r="F828" s="7"/>
      <c r="G828" s="7"/>
      <c r="H828" s="7"/>
      <c r="I828" s="7"/>
      <c r="J828" s="7"/>
      <c r="K828" s="7"/>
      <c r="L828" s="7"/>
      <c r="M828" s="7"/>
      <c r="N828" s="7"/>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c r="A829" s="112"/>
      <c r="B829" s="7" t="str">
        <f>IFERROR(__xludf.DUMMYFUNCTION("IF(A829="""","""",SUM(FILTER(#REF!,YEAR(FinishedData!$A:$A)=YEAR($A829),MONTH(FinishedData!$A:$A)=MONTH($A829),FinishedData!$B:$B=""Game"")))"),"")</f>
        <v/>
      </c>
      <c r="C829" s="7"/>
      <c r="D829" s="7"/>
      <c r="E829" s="7"/>
      <c r="F829" s="7"/>
      <c r="G829" s="7"/>
      <c r="H829" s="7"/>
      <c r="I829" s="7"/>
      <c r="J829" s="7"/>
      <c r="K829" s="7"/>
      <c r="L829" s="7"/>
      <c r="M829" s="7"/>
      <c r="N829" s="7"/>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c r="A830" s="112"/>
      <c r="B830" s="7" t="str">
        <f>IFERROR(__xludf.DUMMYFUNCTION("IF(A830="""","""",SUM(FILTER(#REF!,YEAR(FinishedData!$A:$A)=YEAR($A830),MONTH(FinishedData!$A:$A)=MONTH($A830),FinishedData!$B:$B=""Game"")))"),"")</f>
        <v/>
      </c>
      <c r="C830" s="7"/>
      <c r="D830" s="7"/>
      <c r="E830" s="7"/>
      <c r="F830" s="7"/>
      <c r="G830" s="7"/>
      <c r="H830" s="7"/>
      <c r="I830" s="7"/>
      <c r="J830" s="7"/>
      <c r="K830" s="7"/>
      <c r="L830" s="7"/>
      <c r="M830" s="7"/>
      <c r="N830" s="7"/>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c r="A831" s="112"/>
      <c r="B831" s="7" t="str">
        <f>IFERROR(__xludf.DUMMYFUNCTION("IF(A831="""","""",SUM(FILTER(#REF!,YEAR(FinishedData!$A:$A)=YEAR($A831),MONTH(FinishedData!$A:$A)=MONTH($A831),FinishedData!$B:$B=""Game"")))"),"")</f>
        <v/>
      </c>
      <c r="C831" s="7"/>
      <c r="D831" s="7"/>
      <c r="E831" s="7"/>
      <c r="F831" s="7"/>
      <c r="G831" s="7"/>
      <c r="H831" s="7"/>
      <c r="I831" s="7"/>
      <c r="J831" s="7"/>
      <c r="K831" s="7"/>
      <c r="L831" s="7"/>
      <c r="M831" s="7"/>
      <c r="N831" s="7"/>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c r="A832" s="112"/>
      <c r="B832" s="7" t="str">
        <f>IFERROR(__xludf.DUMMYFUNCTION("IF(A832="""","""",SUM(FILTER(#REF!,YEAR(FinishedData!$A:$A)=YEAR($A832),MONTH(FinishedData!$A:$A)=MONTH($A832),FinishedData!$B:$B=""Game"")))"),"")</f>
        <v/>
      </c>
      <c r="C832" s="7"/>
      <c r="D832" s="7"/>
      <c r="E832" s="7"/>
      <c r="F832" s="7"/>
      <c r="G832" s="7"/>
      <c r="H832" s="7"/>
      <c r="I832" s="7"/>
      <c r="J832" s="7"/>
      <c r="K832" s="7"/>
      <c r="L832" s="7"/>
      <c r="M832" s="7"/>
      <c r="N832" s="7"/>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c r="A833" s="112"/>
      <c r="B833" s="7" t="str">
        <f>IFERROR(__xludf.DUMMYFUNCTION("IF(A833="""","""",SUM(FILTER(#REF!,YEAR(FinishedData!$A:$A)=YEAR($A833),MONTH(FinishedData!$A:$A)=MONTH($A833),FinishedData!$B:$B=""Game"")))"),"")</f>
        <v/>
      </c>
      <c r="C833" s="7"/>
      <c r="D833" s="7"/>
      <c r="E833" s="7"/>
      <c r="F833" s="7"/>
      <c r="G833" s="7"/>
      <c r="H833" s="7"/>
      <c r="I833" s="7"/>
      <c r="J833" s="7"/>
      <c r="K833" s="7"/>
      <c r="L833" s="7"/>
      <c r="M833" s="7"/>
      <c r="N833" s="7"/>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c r="A834" s="112"/>
      <c r="B834" s="7" t="str">
        <f>IFERROR(__xludf.DUMMYFUNCTION("IF(A834="""","""",SUM(FILTER(#REF!,YEAR(FinishedData!$A:$A)=YEAR($A834),MONTH(FinishedData!$A:$A)=MONTH($A834),FinishedData!$B:$B=""Game"")))"),"")</f>
        <v/>
      </c>
      <c r="C834" s="7"/>
      <c r="D834" s="7"/>
      <c r="E834" s="7"/>
      <c r="F834" s="7"/>
      <c r="G834" s="7"/>
      <c r="H834" s="7"/>
      <c r="I834" s="7"/>
      <c r="J834" s="7"/>
      <c r="K834" s="7"/>
      <c r="L834" s="7"/>
      <c r="M834" s="7"/>
      <c r="N834" s="7"/>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c r="A835" s="112"/>
      <c r="B835" s="7" t="str">
        <f>IFERROR(__xludf.DUMMYFUNCTION("IF(A835="""","""",SUM(FILTER(#REF!,YEAR(FinishedData!$A:$A)=YEAR($A835),MONTH(FinishedData!$A:$A)=MONTH($A835),FinishedData!$B:$B=""Game"")))"),"")</f>
        <v/>
      </c>
      <c r="C835" s="7"/>
      <c r="D835" s="7"/>
      <c r="E835" s="7"/>
      <c r="F835" s="7"/>
      <c r="G835" s="7"/>
      <c r="H835" s="7"/>
      <c r="I835" s="7"/>
      <c r="J835" s="7"/>
      <c r="K835" s="7"/>
      <c r="L835" s="7"/>
      <c r="M835" s="7"/>
      <c r="N835" s="7"/>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c r="A836" s="112"/>
      <c r="B836" s="7" t="str">
        <f>IFERROR(__xludf.DUMMYFUNCTION("IF(A836="""","""",SUM(FILTER(#REF!,YEAR(FinishedData!$A:$A)=YEAR($A836),MONTH(FinishedData!$A:$A)=MONTH($A836),FinishedData!$B:$B=""Game"")))"),"")</f>
        <v/>
      </c>
      <c r="C836" s="7"/>
      <c r="D836" s="7"/>
      <c r="E836" s="7"/>
      <c r="F836" s="7"/>
      <c r="G836" s="7"/>
      <c r="H836" s="7"/>
      <c r="I836" s="7"/>
      <c r="J836" s="7"/>
      <c r="K836" s="7"/>
      <c r="L836" s="7"/>
      <c r="M836" s="7"/>
      <c r="N836" s="7"/>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c r="A837" s="112"/>
      <c r="B837" s="7" t="str">
        <f>IFERROR(__xludf.DUMMYFUNCTION("IF(A837="""","""",SUM(FILTER(#REF!,YEAR(FinishedData!$A:$A)=YEAR($A837),MONTH(FinishedData!$A:$A)=MONTH($A837),FinishedData!$B:$B=""Game"")))"),"")</f>
        <v/>
      </c>
      <c r="C837" s="7"/>
      <c r="D837" s="7"/>
      <c r="E837" s="7"/>
      <c r="F837" s="7"/>
      <c r="G837" s="7"/>
      <c r="H837" s="7"/>
      <c r="I837" s="7"/>
      <c r="J837" s="7"/>
      <c r="K837" s="7"/>
      <c r="L837" s="7"/>
      <c r="M837" s="7"/>
      <c r="N837" s="7"/>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c r="A838" s="112"/>
      <c r="B838" s="7" t="str">
        <f>IFERROR(__xludf.DUMMYFUNCTION("IF(A838="""","""",SUM(FILTER(#REF!,YEAR(FinishedData!$A:$A)=YEAR($A838),MONTH(FinishedData!$A:$A)=MONTH($A838),FinishedData!$B:$B=""Game"")))"),"")</f>
        <v/>
      </c>
      <c r="C838" s="7"/>
      <c r="D838" s="7"/>
      <c r="E838" s="7"/>
      <c r="F838" s="7"/>
      <c r="G838" s="7"/>
      <c r="H838" s="7"/>
      <c r="I838" s="7"/>
      <c r="J838" s="7"/>
      <c r="K838" s="7"/>
      <c r="L838" s="7"/>
      <c r="M838" s="7"/>
      <c r="N838" s="7"/>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c r="A839" s="112"/>
      <c r="B839" s="7" t="str">
        <f>IFERROR(__xludf.DUMMYFUNCTION("IF(A839="""","""",SUM(FILTER(#REF!,YEAR(FinishedData!$A:$A)=YEAR($A839),MONTH(FinishedData!$A:$A)=MONTH($A839),FinishedData!$B:$B=""Game"")))"),"")</f>
        <v/>
      </c>
      <c r="C839" s="7"/>
      <c r="D839" s="7"/>
      <c r="E839" s="7"/>
      <c r="F839" s="7"/>
      <c r="G839" s="7"/>
      <c r="H839" s="7"/>
      <c r="I839" s="7"/>
      <c r="J839" s="7"/>
      <c r="K839" s="7"/>
      <c r="L839" s="7"/>
      <c r="M839" s="7"/>
      <c r="N839" s="7"/>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c r="A840" s="112"/>
      <c r="B840" s="7" t="str">
        <f>IFERROR(__xludf.DUMMYFUNCTION("IF(A840="""","""",SUM(FILTER(#REF!,YEAR(FinishedData!$A:$A)=YEAR($A840),MONTH(FinishedData!$A:$A)=MONTH($A840),FinishedData!$B:$B=""Game"")))"),"")</f>
        <v/>
      </c>
      <c r="C840" s="7"/>
      <c r="D840" s="7"/>
      <c r="E840" s="7"/>
      <c r="F840" s="7"/>
      <c r="G840" s="7"/>
      <c r="H840" s="7"/>
      <c r="I840" s="7"/>
      <c r="J840" s="7"/>
      <c r="K840" s="7"/>
      <c r="L840" s="7"/>
      <c r="M840" s="7"/>
      <c r="N840" s="7"/>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c r="A841" s="112"/>
      <c r="B841" s="7" t="str">
        <f>IFERROR(__xludf.DUMMYFUNCTION("IF(A841="""","""",SUM(FILTER(#REF!,YEAR(FinishedData!$A:$A)=YEAR($A841),MONTH(FinishedData!$A:$A)=MONTH($A841),FinishedData!$B:$B=""Game"")))"),"")</f>
        <v/>
      </c>
      <c r="C841" s="7"/>
      <c r="D841" s="7"/>
      <c r="E841" s="7"/>
      <c r="F841" s="7"/>
      <c r="G841" s="7"/>
      <c r="H841" s="7"/>
      <c r="I841" s="7"/>
      <c r="J841" s="7"/>
      <c r="K841" s="7"/>
      <c r="L841" s="7"/>
      <c r="M841" s="7"/>
      <c r="N841" s="7"/>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c r="A842" s="112"/>
      <c r="B842" s="7" t="str">
        <f>IFERROR(__xludf.DUMMYFUNCTION("IF(A842="""","""",SUM(FILTER(#REF!,YEAR(FinishedData!$A:$A)=YEAR($A842),MONTH(FinishedData!$A:$A)=MONTH($A842),FinishedData!$B:$B=""Game"")))"),"")</f>
        <v/>
      </c>
      <c r="C842" s="7"/>
      <c r="D842" s="7"/>
      <c r="E842" s="7"/>
      <c r="F842" s="7"/>
      <c r="G842" s="7"/>
      <c r="H842" s="7"/>
      <c r="I842" s="7"/>
      <c r="J842" s="7"/>
      <c r="K842" s="7"/>
      <c r="L842" s="7"/>
      <c r="M842" s="7"/>
      <c r="N842" s="7"/>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c r="A843" s="112"/>
      <c r="B843" s="7" t="str">
        <f>IFERROR(__xludf.DUMMYFUNCTION("IF(A843="""","""",SUM(FILTER(#REF!,YEAR(FinishedData!$A:$A)=YEAR($A843),MONTH(FinishedData!$A:$A)=MONTH($A843),FinishedData!$B:$B=""Game"")))"),"")</f>
        <v/>
      </c>
      <c r="C843" s="7"/>
      <c r="D843" s="7"/>
      <c r="E843" s="7"/>
      <c r="F843" s="7"/>
      <c r="G843" s="7"/>
      <c r="H843" s="7"/>
      <c r="I843" s="7"/>
      <c r="J843" s="7"/>
      <c r="K843" s="7"/>
      <c r="L843" s="7"/>
      <c r="M843" s="7"/>
      <c r="N843" s="7"/>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c r="A844" s="112"/>
      <c r="B844" s="7" t="str">
        <f>IFERROR(__xludf.DUMMYFUNCTION("IF(A844="""","""",SUM(FILTER(#REF!,YEAR(FinishedData!$A:$A)=YEAR($A844),MONTH(FinishedData!$A:$A)=MONTH($A844),FinishedData!$B:$B=""Game"")))"),"")</f>
        <v/>
      </c>
      <c r="C844" s="7"/>
      <c r="D844" s="7"/>
      <c r="E844" s="7"/>
      <c r="F844" s="7"/>
      <c r="G844" s="7"/>
      <c r="H844" s="7"/>
      <c r="I844" s="7"/>
      <c r="J844" s="7"/>
      <c r="K844" s="7"/>
      <c r="L844" s="7"/>
      <c r="M844" s="7"/>
      <c r="N844" s="7"/>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c r="A845" s="112"/>
      <c r="B845" s="7" t="str">
        <f>IFERROR(__xludf.DUMMYFUNCTION("IF(A845="""","""",SUM(FILTER(#REF!,YEAR(FinishedData!$A:$A)=YEAR($A845),MONTH(FinishedData!$A:$A)=MONTH($A845),FinishedData!$B:$B=""Game"")))"),"")</f>
        <v/>
      </c>
      <c r="C845" s="7"/>
      <c r="D845" s="7"/>
      <c r="E845" s="7"/>
      <c r="F845" s="7"/>
      <c r="G845" s="7"/>
      <c r="H845" s="7"/>
      <c r="I845" s="7"/>
      <c r="J845" s="7"/>
      <c r="K845" s="7"/>
      <c r="L845" s="7"/>
      <c r="M845" s="7"/>
      <c r="N845" s="7"/>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c r="A846" s="112"/>
      <c r="B846" s="7" t="str">
        <f>IFERROR(__xludf.DUMMYFUNCTION("IF(A846="""","""",SUM(FILTER(#REF!,YEAR(FinishedData!$A:$A)=YEAR($A846),MONTH(FinishedData!$A:$A)=MONTH($A846),FinishedData!$B:$B=""Game"")))"),"")</f>
        <v/>
      </c>
      <c r="C846" s="7"/>
      <c r="D846" s="7"/>
      <c r="E846" s="7"/>
      <c r="F846" s="7"/>
      <c r="G846" s="7"/>
      <c r="H846" s="7"/>
      <c r="I846" s="7"/>
      <c r="J846" s="7"/>
      <c r="K846" s="7"/>
      <c r="L846" s="7"/>
      <c r="M846" s="7"/>
      <c r="N846" s="7"/>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c r="A847" s="112"/>
      <c r="B847" s="7" t="str">
        <f>IFERROR(__xludf.DUMMYFUNCTION("IF(A847="""","""",SUM(FILTER(#REF!,YEAR(FinishedData!$A:$A)=YEAR($A847),MONTH(FinishedData!$A:$A)=MONTH($A847),FinishedData!$B:$B=""Game"")))"),"")</f>
        <v/>
      </c>
      <c r="C847" s="7"/>
      <c r="D847" s="7"/>
      <c r="E847" s="7"/>
      <c r="F847" s="7"/>
      <c r="G847" s="7"/>
      <c r="H847" s="7"/>
      <c r="I847" s="7"/>
      <c r="J847" s="7"/>
      <c r="K847" s="7"/>
      <c r="L847" s="7"/>
      <c r="M847" s="7"/>
      <c r="N847" s="7"/>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c r="A848" s="112"/>
      <c r="B848" s="7" t="str">
        <f>IFERROR(__xludf.DUMMYFUNCTION("IF(A848="""","""",SUM(FILTER(#REF!,YEAR(FinishedData!$A:$A)=YEAR($A848),MONTH(FinishedData!$A:$A)=MONTH($A848),FinishedData!$B:$B=""Game"")))"),"")</f>
        <v/>
      </c>
      <c r="C848" s="7"/>
      <c r="D848" s="7"/>
      <c r="E848" s="7"/>
      <c r="F848" s="7"/>
      <c r="G848" s="7"/>
      <c r="H848" s="7"/>
      <c r="I848" s="7"/>
      <c r="J848" s="7"/>
      <c r="K848" s="7"/>
      <c r="L848" s="7"/>
      <c r="M848" s="7"/>
      <c r="N848" s="7"/>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c r="A849" s="112"/>
      <c r="B849" s="7" t="str">
        <f>IFERROR(__xludf.DUMMYFUNCTION("IF(A849="""","""",SUM(FILTER(#REF!,YEAR(FinishedData!$A:$A)=YEAR($A849),MONTH(FinishedData!$A:$A)=MONTH($A849),FinishedData!$B:$B=""Game"")))"),"")</f>
        <v/>
      </c>
      <c r="C849" s="7"/>
      <c r="D849" s="7"/>
      <c r="E849" s="7"/>
      <c r="F849" s="7"/>
      <c r="G849" s="7"/>
      <c r="H849" s="7"/>
      <c r="I849" s="7"/>
      <c r="J849" s="7"/>
      <c r="K849" s="7"/>
      <c r="L849" s="7"/>
      <c r="M849" s="7"/>
      <c r="N849" s="7"/>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c r="A850" s="112"/>
      <c r="B850" s="7" t="str">
        <f>IFERROR(__xludf.DUMMYFUNCTION("IF(A850="""","""",SUM(FILTER(#REF!,YEAR(FinishedData!$A:$A)=YEAR($A850),MONTH(FinishedData!$A:$A)=MONTH($A850),FinishedData!$B:$B=""Game"")))"),"")</f>
        <v/>
      </c>
      <c r="C850" s="7"/>
      <c r="D850" s="7"/>
      <c r="E850" s="7"/>
      <c r="F850" s="7"/>
      <c r="G850" s="7"/>
      <c r="H850" s="7"/>
      <c r="I850" s="7"/>
      <c r="J850" s="7"/>
      <c r="K850" s="7"/>
      <c r="L850" s="7"/>
      <c r="M850" s="7"/>
      <c r="N850" s="7"/>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c r="A851" s="112"/>
      <c r="B851" s="7" t="str">
        <f>IFERROR(__xludf.DUMMYFUNCTION("IF(A851="""","""",SUM(FILTER(#REF!,YEAR(FinishedData!$A:$A)=YEAR($A851),MONTH(FinishedData!$A:$A)=MONTH($A851),FinishedData!$B:$B=""Game"")))"),"")</f>
        <v/>
      </c>
      <c r="C851" s="7"/>
      <c r="D851" s="7"/>
      <c r="E851" s="7"/>
      <c r="F851" s="7"/>
      <c r="G851" s="7"/>
      <c r="H851" s="7"/>
      <c r="I851" s="7"/>
      <c r="J851" s="7"/>
      <c r="K851" s="7"/>
      <c r="L851" s="7"/>
      <c r="M851" s="7"/>
      <c r="N851" s="7"/>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c r="A852" s="112"/>
      <c r="B852" s="7" t="str">
        <f>IFERROR(__xludf.DUMMYFUNCTION("IF(A852="""","""",SUM(FILTER(#REF!,YEAR(FinishedData!$A:$A)=YEAR($A852),MONTH(FinishedData!$A:$A)=MONTH($A852),FinishedData!$B:$B=""Game"")))"),"")</f>
        <v/>
      </c>
      <c r="C852" s="7"/>
      <c r="D852" s="7"/>
      <c r="E852" s="7"/>
      <c r="F852" s="7"/>
      <c r="G852" s="7"/>
      <c r="H852" s="7"/>
      <c r="I852" s="7"/>
      <c r="J852" s="7"/>
      <c r="K852" s="7"/>
      <c r="L852" s="7"/>
      <c r="M852" s="7"/>
      <c r="N852" s="7"/>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c r="A853" s="112"/>
      <c r="B853" s="7" t="str">
        <f>IFERROR(__xludf.DUMMYFUNCTION("IF(A853="""","""",SUM(FILTER(#REF!,YEAR(FinishedData!$A:$A)=YEAR($A853),MONTH(FinishedData!$A:$A)=MONTH($A853),FinishedData!$B:$B=""Game"")))"),"")</f>
        <v/>
      </c>
      <c r="C853" s="7"/>
      <c r="D853" s="7"/>
      <c r="E853" s="7"/>
      <c r="F853" s="7"/>
      <c r="G853" s="7"/>
      <c r="H853" s="7"/>
      <c r="I853" s="7"/>
      <c r="J853" s="7"/>
      <c r="K853" s="7"/>
      <c r="L853" s="7"/>
      <c r="M853" s="7"/>
      <c r="N853" s="7"/>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c r="A854" s="112"/>
      <c r="B854" s="7" t="str">
        <f>IFERROR(__xludf.DUMMYFUNCTION("IF(A854="""","""",SUM(FILTER(#REF!,YEAR(FinishedData!$A:$A)=YEAR($A854),MONTH(FinishedData!$A:$A)=MONTH($A854),FinishedData!$B:$B=""Game"")))"),"")</f>
        <v/>
      </c>
      <c r="C854" s="7"/>
      <c r="D854" s="7"/>
      <c r="E854" s="7"/>
      <c r="F854" s="7"/>
      <c r="G854" s="7"/>
      <c r="H854" s="7"/>
      <c r="I854" s="7"/>
      <c r="J854" s="7"/>
      <c r="K854" s="7"/>
      <c r="L854" s="7"/>
      <c r="M854" s="7"/>
      <c r="N854" s="7"/>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c r="A855" s="112"/>
      <c r="B855" s="7" t="str">
        <f>IFERROR(__xludf.DUMMYFUNCTION("IF(A855="""","""",SUM(FILTER(#REF!,YEAR(FinishedData!$A:$A)=YEAR($A855),MONTH(FinishedData!$A:$A)=MONTH($A855),FinishedData!$B:$B=""Game"")))"),"")</f>
        <v/>
      </c>
      <c r="C855" s="7"/>
      <c r="D855" s="7"/>
      <c r="E855" s="7"/>
      <c r="F855" s="7"/>
      <c r="G855" s="7"/>
      <c r="H855" s="7"/>
      <c r="I855" s="7"/>
      <c r="J855" s="7"/>
      <c r="K855" s="7"/>
      <c r="L855" s="7"/>
      <c r="M855" s="7"/>
      <c r="N855" s="7"/>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c r="A856" s="112"/>
      <c r="B856" s="7" t="str">
        <f>IFERROR(__xludf.DUMMYFUNCTION("IF(A856="""","""",SUM(FILTER(#REF!,YEAR(FinishedData!$A:$A)=YEAR($A856),MONTH(FinishedData!$A:$A)=MONTH($A856),FinishedData!$B:$B=""Game"")))"),"")</f>
        <v/>
      </c>
      <c r="C856" s="7"/>
      <c r="D856" s="7"/>
      <c r="E856" s="7"/>
      <c r="F856" s="7"/>
      <c r="G856" s="7"/>
      <c r="H856" s="7"/>
      <c r="I856" s="7"/>
      <c r="J856" s="7"/>
      <c r="K856" s="7"/>
      <c r="L856" s="7"/>
      <c r="M856" s="7"/>
      <c r="N856" s="7"/>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c r="A857" s="112"/>
      <c r="B857" s="7" t="str">
        <f>IFERROR(__xludf.DUMMYFUNCTION("IF(A857="""","""",SUM(FILTER(#REF!,YEAR(FinishedData!$A:$A)=YEAR($A857),MONTH(FinishedData!$A:$A)=MONTH($A857),FinishedData!$B:$B=""Game"")))"),"")</f>
        <v/>
      </c>
      <c r="C857" s="7"/>
      <c r="D857" s="7"/>
      <c r="E857" s="7"/>
      <c r="F857" s="7"/>
      <c r="G857" s="7"/>
      <c r="H857" s="7"/>
      <c r="I857" s="7"/>
      <c r="J857" s="7"/>
      <c r="K857" s="7"/>
      <c r="L857" s="7"/>
      <c r="M857" s="7"/>
      <c r="N857" s="7"/>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c r="A858" s="112"/>
      <c r="B858" s="7" t="str">
        <f>IFERROR(__xludf.DUMMYFUNCTION("IF(A858="""","""",SUM(FILTER(#REF!,YEAR(FinishedData!$A:$A)=YEAR($A858),MONTH(FinishedData!$A:$A)=MONTH($A858),FinishedData!$B:$B=""Game"")))"),"")</f>
        <v/>
      </c>
      <c r="C858" s="7"/>
      <c r="D858" s="7"/>
      <c r="E858" s="7"/>
      <c r="F858" s="7"/>
      <c r="G858" s="7"/>
      <c r="H858" s="7"/>
      <c r="I858" s="7"/>
      <c r="J858" s="7"/>
      <c r="K858" s="7"/>
      <c r="L858" s="7"/>
      <c r="M858" s="7"/>
      <c r="N858" s="7"/>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c r="A859" s="112"/>
      <c r="B859" s="7" t="str">
        <f>IFERROR(__xludf.DUMMYFUNCTION("IF(A859="""","""",SUM(FILTER(#REF!,YEAR(FinishedData!$A:$A)=YEAR($A859),MONTH(FinishedData!$A:$A)=MONTH($A859),FinishedData!$B:$B=""Game"")))"),"")</f>
        <v/>
      </c>
      <c r="C859" s="7"/>
      <c r="D859" s="7"/>
      <c r="E859" s="7"/>
      <c r="F859" s="7"/>
      <c r="G859" s="7"/>
      <c r="H859" s="7"/>
      <c r="I859" s="7"/>
      <c r="J859" s="7"/>
      <c r="K859" s="7"/>
      <c r="L859" s="7"/>
      <c r="M859" s="7"/>
      <c r="N859" s="7"/>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c r="A860" s="112"/>
      <c r="B860" s="7" t="str">
        <f>IFERROR(__xludf.DUMMYFUNCTION("IF(A860="""","""",SUM(FILTER(#REF!,YEAR(FinishedData!$A:$A)=YEAR($A860),MONTH(FinishedData!$A:$A)=MONTH($A860),FinishedData!$B:$B=""Game"")))"),"")</f>
        <v/>
      </c>
      <c r="C860" s="7"/>
      <c r="D860" s="7"/>
      <c r="E860" s="7"/>
      <c r="F860" s="7"/>
      <c r="G860" s="7"/>
      <c r="H860" s="7"/>
      <c r="I860" s="7"/>
      <c r="J860" s="7"/>
      <c r="K860" s="7"/>
      <c r="L860" s="7"/>
      <c r="M860" s="7"/>
      <c r="N860" s="7"/>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c r="A861" s="112"/>
      <c r="B861" s="7" t="str">
        <f>IFERROR(__xludf.DUMMYFUNCTION("IF(A861="""","""",SUM(FILTER(#REF!,YEAR(FinishedData!$A:$A)=YEAR($A861),MONTH(FinishedData!$A:$A)=MONTH($A861),FinishedData!$B:$B=""Game"")))"),"")</f>
        <v/>
      </c>
      <c r="C861" s="7"/>
      <c r="D861" s="7"/>
      <c r="E861" s="7"/>
      <c r="F861" s="7"/>
      <c r="G861" s="7"/>
      <c r="H861" s="7"/>
      <c r="I861" s="7"/>
      <c r="J861" s="7"/>
      <c r="K861" s="7"/>
      <c r="L861" s="7"/>
      <c r="M861" s="7"/>
      <c r="N861" s="7"/>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c r="A862" s="112"/>
      <c r="B862" s="7" t="str">
        <f>IFERROR(__xludf.DUMMYFUNCTION("IF(A862="""","""",SUM(FILTER(#REF!,YEAR(FinishedData!$A:$A)=YEAR($A862),MONTH(FinishedData!$A:$A)=MONTH($A862),FinishedData!$B:$B=""Game"")))"),"")</f>
        <v/>
      </c>
      <c r="C862" s="7"/>
      <c r="D862" s="7"/>
      <c r="E862" s="7"/>
      <c r="F862" s="7"/>
      <c r="G862" s="7"/>
      <c r="H862" s="7"/>
      <c r="I862" s="7"/>
      <c r="J862" s="7"/>
      <c r="K862" s="7"/>
      <c r="L862" s="7"/>
      <c r="M862" s="7"/>
      <c r="N862" s="7"/>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c r="A863" s="112"/>
      <c r="B863" s="7" t="str">
        <f>IFERROR(__xludf.DUMMYFUNCTION("IF(A863="""","""",SUM(FILTER(#REF!,YEAR(FinishedData!$A:$A)=YEAR($A863),MONTH(FinishedData!$A:$A)=MONTH($A863),FinishedData!$B:$B=""Game"")))"),"")</f>
        <v/>
      </c>
      <c r="C863" s="7"/>
      <c r="D863" s="7"/>
      <c r="E863" s="7"/>
      <c r="F863" s="7"/>
      <c r="G863" s="7"/>
      <c r="H863" s="7"/>
      <c r="I863" s="7"/>
      <c r="J863" s="7"/>
      <c r="K863" s="7"/>
      <c r="L863" s="7"/>
      <c r="M863" s="7"/>
      <c r="N863" s="7"/>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c r="A864" s="112"/>
      <c r="B864" s="7" t="str">
        <f>IFERROR(__xludf.DUMMYFUNCTION("IF(A864="""","""",SUM(FILTER(#REF!,YEAR(FinishedData!$A:$A)=YEAR($A864),MONTH(FinishedData!$A:$A)=MONTH($A864),FinishedData!$B:$B=""Game"")))"),"")</f>
        <v/>
      </c>
      <c r="C864" s="7"/>
      <c r="D864" s="7"/>
      <c r="E864" s="7"/>
      <c r="F864" s="7"/>
      <c r="G864" s="7"/>
      <c r="H864" s="7"/>
      <c r="I864" s="7"/>
      <c r="J864" s="7"/>
      <c r="K864" s="7"/>
      <c r="L864" s="7"/>
      <c r="M864" s="7"/>
      <c r="N864" s="7"/>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c r="A865" s="112"/>
      <c r="B865" s="7" t="str">
        <f>IFERROR(__xludf.DUMMYFUNCTION("IF(A865="""","""",SUM(FILTER(#REF!,YEAR(FinishedData!$A:$A)=YEAR($A865),MONTH(FinishedData!$A:$A)=MONTH($A865),FinishedData!$B:$B=""Game"")))"),"")</f>
        <v/>
      </c>
      <c r="C865" s="7"/>
      <c r="D865" s="7"/>
      <c r="E865" s="7"/>
      <c r="F865" s="7"/>
      <c r="G865" s="7"/>
      <c r="H865" s="7"/>
      <c r="I865" s="7"/>
      <c r="J865" s="7"/>
      <c r="K865" s="7"/>
      <c r="L865" s="7"/>
      <c r="M865" s="7"/>
      <c r="N865" s="7"/>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c r="A866" s="112"/>
      <c r="B866" s="7" t="str">
        <f>IFERROR(__xludf.DUMMYFUNCTION("IF(A866="""","""",SUM(FILTER(#REF!,YEAR(FinishedData!$A:$A)=YEAR($A866),MONTH(FinishedData!$A:$A)=MONTH($A866),FinishedData!$B:$B=""Game"")))"),"")</f>
        <v/>
      </c>
      <c r="C866" s="7"/>
      <c r="D866" s="7"/>
      <c r="E866" s="7"/>
      <c r="F866" s="7"/>
      <c r="G866" s="7"/>
      <c r="H866" s="7"/>
      <c r="I866" s="7"/>
      <c r="J866" s="7"/>
      <c r="K866" s="7"/>
      <c r="L866" s="7"/>
      <c r="M866" s="7"/>
      <c r="N866" s="7"/>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c r="A867" s="112"/>
      <c r="B867" s="7" t="str">
        <f>IFERROR(__xludf.DUMMYFUNCTION("IF(A867="""","""",SUM(FILTER(#REF!,YEAR(FinishedData!$A:$A)=YEAR($A867),MONTH(FinishedData!$A:$A)=MONTH($A867),FinishedData!$B:$B=""Game"")))"),"")</f>
        <v/>
      </c>
      <c r="C867" s="7"/>
      <c r="D867" s="7"/>
      <c r="E867" s="7"/>
      <c r="F867" s="7"/>
      <c r="G867" s="7"/>
      <c r="H867" s="7"/>
      <c r="I867" s="7"/>
      <c r="J867" s="7"/>
      <c r="K867" s="7"/>
      <c r="L867" s="7"/>
      <c r="M867" s="7"/>
      <c r="N867" s="7"/>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c r="A868" s="112"/>
      <c r="B868" s="7" t="str">
        <f>IFERROR(__xludf.DUMMYFUNCTION("IF(A868="""","""",SUM(FILTER(#REF!,YEAR(FinishedData!$A:$A)=YEAR($A868),MONTH(FinishedData!$A:$A)=MONTH($A868),FinishedData!$B:$B=""Game"")))"),"")</f>
        <v/>
      </c>
      <c r="C868" s="7"/>
      <c r="D868" s="7"/>
      <c r="E868" s="7"/>
      <c r="F868" s="7"/>
      <c r="G868" s="7"/>
      <c r="H868" s="7"/>
      <c r="I868" s="7"/>
      <c r="J868" s="7"/>
      <c r="K868" s="7"/>
      <c r="L868" s="7"/>
      <c r="M868" s="7"/>
      <c r="N868" s="7"/>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c r="A869" s="112"/>
      <c r="B869" s="7" t="str">
        <f>IFERROR(__xludf.DUMMYFUNCTION("IF(A869="""","""",SUM(FILTER(#REF!,YEAR(FinishedData!$A:$A)=YEAR($A869),MONTH(FinishedData!$A:$A)=MONTH($A869),FinishedData!$B:$B=""Game"")))"),"")</f>
        <v/>
      </c>
      <c r="C869" s="7"/>
      <c r="D869" s="7"/>
      <c r="E869" s="7"/>
      <c r="F869" s="7"/>
      <c r="G869" s="7"/>
      <c r="H869" s="7"/>
      <c r="I869" s="7"/>
      <c r="J869" s="7"/>
      <c r="K869" s="7"/>
      <c r="L869" s="7"/>
      <c r="M869" s="7"/>
      <c r="N869" s="7"/>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c r="A870" s="112"/>
      <c r="B870" s="7" t="str">
        <f>IFERROR(__xludf.DUMMYFUNCTION("IF(A870="""","""",SUM(FILTER(#REF!,YEAR(FinishedData!$A:$A)=YEAR($A870),MONTH(FinishedData!$A:$A)=MONTH($A870),FinishedData!$B:$B=""Game"")))"),"")</f>
        <v/>
      </c>
      <c r="C870" s="7"/>
      <c r="D870" s="7"/>
      <c r="E870" s="7"/>
      <c r="F870" s="7"/>
      <c r="G870" s="7"/>
      <c r="H870" s="7"/>
      <c r="I870" s="7"/>
      <c r="J870" s="7"/>
      <c r="K870" s="7"/>
      <c r="L870" s="7"/>
      <c r="M870" s="7"/>
      <c r="N870" s="7"/>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c r="A871" s="112"/>
      <c r="B871" s="7" t="str">
        <f>IFERROR(__xludf.DUMMYFUNCTION("IF(A871="""","""",SUM(FILTER(#REF!,YEAR(FinishedData!$A:$A)=YEAR($A871),MONTH(FinishedData!$A:$A)=MONTH($A871),FinishedData!$B:$B=""Game"")))"),"")</f>
        <v/>
      </c>
      <c r="C871" s="7"/>
      <c r="D871" s="7"/>
      <c r="E871" s="7"/>
      <c r="F871" s="7"/>
      <c r="G871" s="7"/>
      <c r="H871" s="7"/>
      <c r="I871" s="7"/>
      <c r="J871" s="7"/>
      <c r="K871" s="7"/>
      <c r="L871" s="7"/>
      <c r="M871" s="7"/>
      <c r="N871" s="7"/>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c r="A872" s="112"/>
      <c r="B872" s="7" t="str">
        <f>IFERROR(__xludf.DUMMYFUNCTION("IF(A872="""","""",SUM(FILTER(#REF!,YEAR(FinishedData!$A:$A)=YEAR($A872),MONTH(FinishedData!$A:$A)=MONTH($A872),FinishedData!$B:$B=""Game"")))"),"")</f>
        <v/>
      </c>
      <c r="C872" s="7"/>
      <c r="D872" s="7"/>
      <c r="E872" s="7"/>
      <c r="F872" s="7"/>
      <c r="G872" s="7"/>
      <c r="H872" s="7"/>
      <c r="I872" s="7"/>
      <c r="J872" s="7"/>
      <c r="K872" s="7"/>
      <c r="L872" s="7"/>
      <c r="M872" s="7"/>
      <c r="N872" s="7"/>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c r="A873" s="112"/>
      <c r="B873" s="7" t="str">
        <f>IFERROR(__xludf.DUMMYFUNCTION("IF(A873="""","""",SUM(FILTER(#REF!,YEAR(FinishedData!$A:$A)=YEAR($A873),MONTH(FinishedData!$A:$A)=MONTH($A873),FinishedData!$B:$B=""Game"")))"),"")</f>
        <v/>
      </c>
      <c r="C873" s="7"/>
      <c r="D873" s="7"/>
      <c r="E873" s="7"/>
      <c r="F873" s="7"/>
      <c r="G873" s="7"/>
      <c r="H873" s="7"/>
      <c r="I873" s="7"/>
      <c r="J873" s="7"/>
      <c r="K873" s="7"/>
      <c r="L873" s="7"/>
      <c r="M873" s="7"/>
      <c r="N873" s="7"/>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c r="A874" s="112"/>
      <c r="B874" s="7" t="str">
        <f>IFERROR(__xludf.DUMMYFUNCTION("IF(A874="""","""",SUM(FILTER(#REF!,YEAR(FinishedData!$A:$A)=YEAR($A874),MONTH(FinishedData!$A:$A)=MONTH($A874),FinishedData!$B:$B=""Game"")))"),"")</f>
        <v/>
      </c>
      <c r="C874" s="7"/>
      <c r="D874" s="7"/>
      <c r="E874" s="7"/>
      <c r="F874" s="7"/>
      <c r="G874" s="7"/>
      <c r="H874" s="7"/>
      <c r="I874" s="7"/>
      <c r="J874" s="7"/>
      <c r="K874" s="7"/>
      <c r="L874" s="7"/>
      <c r="M874" s="7"/>
      <c r="N874" s="7"/>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c r="A875" s="112"/>
      <c r="B875" s="7" t="str">
        <f>IFERROR(__xludf.DUMMYFUNCTION("IF(A875="""","""",SUM(FILTER(#REF!,YEAR(FinishedData!$A:$A)=YEAR($A875),MONTH(FinishedData!$A:$A)=MONTH($A875),FinishedData!$B:$B=""Game"")))"),"")</f>
        <v/>
      </c>
      <c r="C875" s="7"/>
      <c r="D875" s="7"/>
      <c r="E875" s="7"/>
      <c r="F875" s="7"/>
      <c r="G875" s="7"/>
      <c r="H875" s="7"/>
      <c r="I875" s="7"/>
      <c r="J875" s="7"/>
      <c r="K875" s="7"/>
      <c r="L875" s="7"/>
      <c r="M875" s="7"/>
      <c r="N875" s="7"/>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c r="A876" s="112"/>
      <c r="B876" s="7" t="str">
        <f>IFERROR(__xludf.DUMMYFUNCTION("IF(A876="""","""",SUM(FILTER(#REF!,YEAR(FinishedData!$A:$A)=YEAR($A876),MONTH(FinishedData!$A:$A)=MONTH($A876),FinishedData!$B:$B=""Game"")))"),"")</f>
        <v/>
      </c>
      <c r="C876" s="7"/>
      <c r="D876" s="7"/>
      <c r="E876" s="7"/>
      <c r="F876" s="7"/>
      <c r="G876" s="7"/>
      <c r="H876" s="7"/>
      <c r="I876" s="7"/>
      <c r="J876" s="7"/>
      <c r="K876" s="7"/>
      <c r="L876" s="7"/>
      <c r="M876" s="7"/>
      <c r="N876" s="7"/>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c r="A877" s="112"/>
      <c r="B877" s="7" t="str">
        <f>IFERROR(__xludf.DUMMYFUNCTION("IF(A877="""","""",SUM(FILTER(#REF!,YEAR(FinishedData!$A:$A)=YEAR($A877),MONTH(FinishedData!$A:$A)=MONTH($A877),FinishedData!$B:$B=""Game"")))"),"")</f>
        <v/>
      </c>
      <c r="C877" s="7"/>
      <c r="D877" s="7"/>
      <c r="E877" s="7"/>
      <c r="F877" s="7"/>
      <c r="G877" s="7"/>
      <c r="H877" s="7"/>
      <c r="I877" s="7"/>
      <c r="J877" s="7"/>
      <c r="K877" s="7"/>
      <c r="L877" s="7"/>
      <c r="M877" s="7"/>
      <c r="N877" s="7"/>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c r="A878" s="112"/>
      <c r="B878" s="7" t="str">
        <f>IFERROR(__xludf.DUMMYFUNCTION("IF(A878="""","""",SUM(FILTER(#REF!,YEAR(FinishedData!$A:$A)=YEAR($A878),MONTH(FinishedData!$A:$A)=MONTH($A878),FinishedData!$B:$B=""Game"")))"),"")</f>
        <v/>
      </c>
      <c r="C878" s="7"/>
      <c r="D878" s="7"/>
      <c r="E878" s="7"/>
      <c r="F878" s="7"/>
      <c r="G878" s="7"/>
      <c r="H878" s="7"/>
      <c r="I878" s="7"/>
      <c r="J878" s="7"/>
      <c r="K878" s="7"/>
      <c r="L878" s="7"/>
      <c r="M878" s="7"/>
      <c r="N878" s="7"/>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c r="A879" s="112"/>
      <c r="B879" s="7" t="str">
        <f>IFERROR(__xludf.DUMMYFUNCTION("IF(A879="""","""",SUM(FILTER(#REF!,YEAR(FinishedData!$A:$A)=YEAR($A879),MONTH(FinishedData!$A:$A)=MONTH($A879),FinishedData!$B:$B=""Game"")))"),"")</f>
        <v/>
      </c>
      <c r="C879" s="7"/>
      <c r="D879" s="7"/>
      <c r="E879" s="7"/>
      <c r="F879" s="7"/>
      <c r="G879" s="7"/>
      <c r="H879" s="7"/>
      <c r="I879" s="7"/>
      <c r="J879" s="7"/>
      <c r="K879" s="7"/>
      <c r="L879" s="7"/>
      <c r="M879" s="7"/>
      <c r="N879" s="7"/>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c r="A880" s="112"/>
      <c r="B880" s="7" t="str">
        <f>IFERROR(__xludf.DUMMYFUNCTION("IF(A880="""","""",SUM(FILTER(#REF!,YEAR(FinishedData!$A:$A)=YEAR($A880),MONTH(FinishedData!$A:$A)=MONTH($A880),FinishedData!$B:$B=""Game"")))"),"")</f>
        <v/>
      </c>
      <c r="C880" s="7"/>
      <c r="D880" s="7"/>
      <c r="E880" s="7"/>
      <c r="F880" s="7"/>
      <c r="G880" s="7"/>
      <c r="H880" s="7"/>
      <c r="I880" s="7"/>
      <c r="J880" s="7"/>
      <c r="K880" s="7"/>
      <c r="L880" s="7"/>
      <c r="M880" s="7"/>
      <c r="N880" s="7"/>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c r="A881" s="112"/>
      <c r="B881" s="7" t="str">
        <f>IFERROR(__xludf.DUMMYFUNCTION("IF(A881="""","""",SUM(FILTER(#REF!,YEAR(FinishedData!$A:$A)=YEAR($A881),MONTH(FinishedData!$A:$A)=MONTH($A881),FinishedData!$B:$B=""Game"")))"),"")</f>
        <v/>
      </c>
      <c r="C881" s="7"/>
      <c r="D881" s="7"/>
      <c r="E881" s="7"/>
      <c r="F881" s="7"/>
      <c r="G881" s="7"/>
      <c r="H881" s="7"/>
      <c r="I881" s="7"/>
      <c r="J881" s="7"/>
      <c r="K881" s="7"/>
      <c r="L881" s="7"/>
      <c r="M881" s="7"/>
      <c r="N881" s="7"/>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c r="A882" s="112"/>
      <c r="B882" s="7" t="str">
        <f>IFERROR(__xludf.DUMMYFUNCTION("IF(A882="""","""",SUM(FILTER(#REF!,YEAR(FinishedData!$A:$A)=YEAR($A882),MONTH(FinishedData!$A:$A)=MONTH($A882),FinishedData!$B:$B=""Game"")))"),"")</f>
        <v/>
      </c>
      <c r="C882" s="7"/>
      <c r="D882" s="7"/>
      <c r="E882" s="7"/>
      <c r="F882" s="7"/>
      <c r="G882" s="7"/>
      <c r="H882" s="7"/>
      <c r="I882" s="7"/>
      <c r="J882" s="7"/>
      <c r="K882" s="7"/>
      <c r="L882" s="7"/>
      <c r="M882" s="7"/>
      <c r="N882" s="7"/>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c r="A883" s="112"/>
      <c r="B883" s="7" t="str">
        <f>IFERROR(__xludf.DUMMYFUNCTION("IF(A883="""","""",SUM(FILTER(#REF!,YEAR(FinishedData!$A:$A)=YEAR($A883),MONTH(FinishedData!$A:$A)=MONTH($A883),FinishedData!$B:$B=""Game"")))"),"")</f>
        <v/>
      </c>
      <c r="C883" s="7"/>
      <c r="D883" s="7"/>
      <c r="E883" s="7"/>
      <c r="F883" s="7"/>
      <c r="G883" s="7"/>
      <c r="H883" s="7"/>
      <c r="I883" s="7"/>
      <c r="J883" s="7"/>
      <c r="K883" s="7"/>
      <c r="L883" s="7"/>
      <c r="M883" s="7"/>
      <c r="N883" s="7"/>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c r="A884" s="112"/>
      <c r="B884" s="7" t="str">
        <f>IFERROR(__xludf.DUMMYFUNCTION("IF(A884="""","""",SUM(FILTER(#REF!,YEAR(FinishedData!$A:$A)=YEAR($A884),MONTH(FinishedData!$A:$A)=MONTH($A884),FinishedData!$B:$B=""Game"")))"),"")</f>
        <v/>
      </c>
      <c r="C884" s="7"/>
      <c r="D884" s="7"/>
      <c r="E884" s="7"/>
      <c r="F884" s="7"/>
      <c r="G884" s="7"/>
      <c r="H884" s="7"/>
      <c r="I884" s="7"/>
      <c r="J884" s="7"/>
      <c r="K884" s="7"/>
      <c r="L884" s="7"/>
      <c r="M884" s="7"/>
      <c r="N884" s="7"/>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c r="A885" s="112"/>
      <c r="B885" s="7" t="str">
        <f>IFERROR(__xludf.DUMMYFUNCTION("IF(A885="""","""",SUM(FILTER(#REF!,YEAR(FinishedData!$A:$A)=YEAR($A885),MONTH(FinishedData!$A:$A)=MONTH($A885),FinishedData!$B:$B=""Game"")))"),"")</f>
        <v/>
      </c>
      <c r="C885" s="7"/>
      <c r="D885" s="7"/>
      <c r="E885" s="7"/>
      <c r="F885" s="7"/>
      <c r="G885" s="7"/>
      <c r="H885" s="7"/>
      <c r="I885" s="7"/>
      <c r="J885" s="7"/>
      <c r="K885" s="7"/>
      <c r="L885" s="7"/>
      <c r="M885" s="7"/>
      <c r="N885" s="7"/>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c r="A886" s="112"/>
      <c r="B886" s="7" t="str">
        <f>IFERROR(__xludf.DUMMYFUNCTION("IF(A886="""","""",SUM(FILTER(#REF!,YEAR(FinishedData!$A:$A)=YEAR($A886),MONTH(FinishedData!$A:$A)=MONTH($A886),FinishedData!$B:$B=""Game"")))"),"")</f>
        <v/>
      </c>
      <c r="C886" s="7"/>
      <c r="D886" s="7"/>
      <c r="E886" s="7"/>
      <c r="F886" s="7"/>
      <c r="G886" s="7"/>
      <c r="H886" s="7"/>
      <c r="I886" s="7"/>
      <c r="J886" s="7"/>
      <c r="K886" s="7"/>
      <c r="L886" s="7"/>
      <c r="M886" s="7"/>
      <c r="N886" s="7"/>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c r="A887" s="112"/>
      <c r="B887" s="7" t="str">
        <f>IFERROR(__xludf.DUMMYFUNCTION("IF(A887="""","""",SUM(FILTER(#REF!,YEAR(FinishedData!$A:$A)=YEAR($A887),MONTH(FinishedData!$A:$A)=MONTH($A887),FinishedData!$B:$B=""Game"")))"),"")</f>
        <v/>
      </c>
      <c r="C887" s="7"/>
      <c r="D887" s="7"/>
      <c r="E887" s="7"/>
      <c r="F887" s="7"/>
      <c r="G887" s="7"/>
      <c r="H887" s="7"/>
      <c r="I887" s="7"/>
      <c r="J887" s="7"/>
      <c r="K887" s="7"/>
      <c r="L887" s="7"/>
      <c r="M887" s="7"/>
      <c r="N887" s="7"/>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c r="A888" s="112"/>
      <c r="B888" s="7" t="str">
        <f>IFERROR(__xludf.DUMMYFUNCTION("IF(A888="""","""",SUM(FILTER(#REF!,YEAR(FinishedData!$A:$A)=YEAR($A888),MONTH(FinishedData!$A:$A)=MONTH($A888),FinishedData!$B:$B=""Game"")))"),"")</f>
        <v/>
      </c>
      <c r="C888" s="7"/>
      <c r="D888" s="7"/>
      <c r="E888" s="7"/>
      <c r="F888" s="7"/>
      <c r="G888" s="7"/>
      <c r="H888" s="7"/>
      <c r="I888" s="7"/>
      <c r="J888" s="7"/>
      <c r="K888" s="7"/>
      <c r="L888" s="7"/>
      <c r="M888" s="7"/>
      <c r="N888" s="7"/>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c r="A889" s="112"/>
      <c r="B889" s="7" t="str">
        <f>IFERROR(__xludf.DUMMYFUNCTION("IF(A889="""","""",SUM(FILTER(#REF!,YEAR(FinishedData!$A:$A)=YEAR($A889),MONTH(FinishedData!$A:$A)=MONTH($A889),FinishedData!$B:$B=""Game"")))"),"")</f>
        <v/>
      </c>
      <c r="C889" s="7"/>
      <c r="D889" s="7"/>
      <c r="E889" s="7"/>
      <c r="F889" s="7"/>
      <c r="G889" s="7"/>
      <c r="H889" s="7"/>
      <c r="I889" s="7"/>
      <c r="J889" s="7"/>
      <c r="K889" s="7"/>
      <c r="L889" s="7"/>
      <c r="M889" s="7"/>
      <c r="N889" s="7"/>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c r="A890" s="112"/>
      <c r="B890" s="7" t="str">
        <f>IFERROR(__xludf.DUMMYFUNCTION("IF(A890="""","""",SUM(FILTER(#REF!,YEAR(FinishedData!$A:$A)=YEAR($A890),MONTH(FinishedData!$A:$A)=MONTH($A890),FinishedData!$B:$B=""Game"")))"),"")</f>
        <v/>
      </c>
      <c r="C890" s="7"/>
      <c r="D890" s="7"/>
      <c r="E890" s="7"/>
      <c r="F890" s="7"/>
      <c r="G890" s="7"/>
      <c r="H890" s="7"/>
      <c r="I890" s="7"/>
      <c r="J890" s="7"/>
      <c r="K890" s="7"/>
      <c r="L890" s="7"/>
      <c r="M890" s="7"/>
      <c r="N890" s="7"/>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c r="A891" s="112"/>
      <c r="B891" s="7" t="str">
        <f>IFERROR(__xludf.DUMMYFUNCTION("IF(A891="""","""",SUM(FILTER(#REF!,YEAR(FinishedData!$A:$A)=YEAR($A891),MONTH(FinishedData!$A:$A)=MONTH($A891),FinishedData!$B:$B=""Game"")))"),"")</f>
        <v/>
      </c>
      <c r="C891" s="7"/>
      <c r="D891" s="7"/>
      <c r="E891" s="7"/>
      <c r="F891" s="7"/>
      <c r="G891" s="7"/>
      <c r="H891" s="7"/>
      <c r="I891" s="7"/>
      <c r="J891" s="7"/>
      <c r="K891" s="7"/>
      <c r="L891" s="7"/>
      <c r="M891" s="7"/>
      <c r="N891" s="7"/>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c r="A892" s="112"/>
      <c r="B892" s="7" t="str">
        <f>IFERROR(__xludf.DUMMYFUNCTION("IF(A892="""","""",SUM(FILTER(#REF!,YEAR(FinishedData!$A:$A)=YEAR($A892),MONTH(FinishedData!$A:$A)=MONTH($A892),FinishedData!$B:$B=""Game"")))"),"")</f>
        <v/>
      </c>
      <c r="C892" s="7"/>
      <c r="D892" s="7"/>
      <c r="E892" s="7"/>
      <c r="F892" s="7"/>
      <c r="G892" s="7"/>
      <c r="H892" s="7"/>
      <c r="I892" s="7"/>
      <c r="J892" s="7"/>
      <c r="K892" s="7"/>
      <c r="L892" s="7"/>
      <c r="M892" s="7"/>
      <c r="N892" s="7"/>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c r="A893" s="112"/>
      <c r="B893" s="7" t="str">
        <f>IFERROR(__xludf.DUMMYFUNCTION("IF(A893="""","""",SUM(FILTER(#REF!,YEAR(FinishedData!$A:$A)=YEAR($A893),MONTH(FinishedData!$A:$A)=MONTH($A893),FinishedData!$B:$B=""Game"")))"),"")</f>
        <v/>
      </c>
      <c r="C893" s="7"/>
      <c r="D893" s="7"/>
      <c r="E893" s="7"/>
      <c r="F893" s="7"/>
      <c r="G893" s="7"/>
      <c r="H893" s="7"/>
      <c r="I893" s="7"/>
      <c r="J893" s="7"/>
      <c r="K893" s="7"/>
      <c r="L893" s="7"/>
      <c r="M893" s="7"/>
      <c r="N893" s="7"/>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c r="A894" s="112"/>
      <c r="B894" s="7" t="str">
        <f>IFERROR(__xludf.DUMMYFUNCTION("IF(A894="""","""",SUM(FILTER(#REF!,YEAR(FinishedData!$A:$A)=YEAR($A894),MONTH(FinishedData!$A:$A)=MONTH($A894),FinishedData!$B:$B=""Game"")))"),"")</f>
        <v/>
      </c>
      <c r="C894" s="7"/>
      <c r="D894" s="7"/>
      <c r="E894" s="7"/>
      <c r="F894" s="7"/>
      <c r="G894" s="7"/>
      <c r="H894" s="7"/>
      <c r="I894" s="7"/>
      <c r="J894" s="7"/>
      <c r="K894" s="7"/>
      <c r="L894" s="7"/>
      <c r="M894" s="7"/>
      <c r="N894" s="7"/>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c r="A895" s="112"/>
      <c r="B895" s="7" t="str">
        <f>IFERROR(__xludf.DUMMYFUNCTION("IF(A895="""","""",SUM(FILTER(#REF!,YEAR(FinishedData!$A:$A)=YEAR($A895),MONTH(FinishedData!$A:$A)=MONTH($A895),FinishedData!$B:$B=""Game"")))"),"")</f>
        <v/>
      </c>
      <c r="C895" s="7"/>
      <c r="D895" s="7"/>
      <c r="E895" s="7"/>
      <c r="F895" s="7"/>
      <c r="G895" s="7"/>
      <c r="H895" s="7"/>
      <c r="I895" s="7"/>
      <c r="J895" s="7"/>
      <c r="K895" s="7"/>
      <c r="L895" s="7"/>
      <c r="M895" s="7"/>
      <c r="N895" s="7"/>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c r="A896" s="112"/>
      <c r="B896" s="7" t="str">
        <f>IFERROR(__xludf.DUMMYFUNCTION("IF(A896="""","""",SUM(FILTER(#REF!,YEAR(FinishedData!$A:$A)=YEAR($A896),MONTH(FinishedData!$A:$A)=MONTH($A896),FinishedData!$B:$B=""Game"")))"),"")</f>
        <v/>
      </c>
      <c r="C896" s="7"/>
      <c r="D896" s="7"/>
      <c r="E896" s="7"/>
      <c r="F896" s="7"/>
      <c r="G896" s="7"/>
      <c r="H896" s="7"/>
      <c r="I896" s="7"/>
      <c r="J896" s="7"/>
      <c r="K896" s="7"/>
      <c r="L896" s="7"/>
      <c r="M896" s="7"/>
      <c r="N896" s="7"/>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c r="A897" s="112"/>
      <c r="B897" s="7" t="str">
        <f>IFERROR(__xludf.DUMMYFUNCTION("IF(A897="""","""",SUM(FILTER(#REF!,YEAR(FinishedData!$A:$A)=YEAR($A897),MONTH(FinishedData!$A:$A)=MONTH($A897),FinishedData!$B:$B=""Game"")))"),"")</f>
        <v/>
      </c>
      <c r="C897" s="7"/>
      <c r="D897" s="7"/>
      <c r="E897" s="7"/>
      <c r="F897" s="7"/>
      <c r="G897" s="7"/>
      <c r="H897" s="7"/>
      <c r="I897" s="7"/>
      <c r="J897" s="7"/>
      <c r="K897" s="7"/>
      <c r="L897" s="7"/>
      <c r="M897" s="7"/>
      <c r="N897" s="7"/>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c r="A898" s="112"/>
      <c r="B898" s="7" t="str">
        <f>IFERROR(__xludf.DUMMYFUNCTION("IF(A898="""","""",SUM(FILTER(#REF!,YEAR(FinishedData!$A:$A)=YEAR($A898),MONTH(FinishedData!$A:$A)=MONTH($A898),FinishedData!$B:$B=""Game"")))"),"")</f>
        <v/>
      </c>
      <c r="C898" s="7"/>
      <c r="D898" s="7"/>
      <c r="E898" s="7"/>
      <c r="F898" s="7"/>
      <c r="G898" s="7"/>
      <c r="H898" s="7"/>
      <c r="I898" s="7"/>
      <c r="J898" s="7"/>
      <c r="K898" s="7"/>
      <c r="L898" s="7"/>
      <c r="M898" s="7"/>
      <c r="N898" s="7"/>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c r="A899" s="112"/>
      <c r="B899" s="7" t="str">
        <f>IFERROR(__xludf.DUMMYFUNCTION("IF(A899="""","""",SUM(FILTER(#REF!,YEAR(FinishedData!$A:$A)=YEAR($A899),MONTH(FinishedData!$A:$A)=MONTH($A899),FinishedData!$B:$B=""Game"")))"),"")</f>
        <v/>
      </c>
      <c r="C899" s="7"/>
      <c r="D899" s="7"/>
      <c r="E899" s="7"/>
      <c r="F899" s="7"/>
      <c r="G899" s="7"/>
      <c r="H899" s="7"/>
      <c r="I899" s="7"/>
      <c r="J899" s="7"/>
      <c r="K899" s="7"/>
      <c r="L899" s="7"/>
      <c r="M899" s="7"/>
      <c r="N899" s="7"/>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c r="A900" s="112"/>
      <c r="B900" s="7" t="str">
        <f>IFERROR(__xludf.DUMMYFUNCTION("IF(A900="""","""",SUM(FILTER(#REF!,YEAR(FinishedData!$A:$A)=YEAR($A900),MONTH(FinishedData!$A:$A)=MONTH($A900),FinishedData!$B:$B=""Game"")))"),"")</f>
        <v/>
      </c>
      <c r="C900" s="7"/>
      <c r="D900" s="7"/>
      <c r="E900" s="7"/>
      <c r="F900" s="7"/>
      <c r="G900" s="7"/>
      <c r="H900" s="7"/>
      <c r="I900" s="7"/>
      <c r="J900" s="7"/>
      <c r="K900" s="7"/>
      <c r="L900" s="7"/>
      <c r="M900" s="7"/>
      <c r="N900" s="7"/>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c r="A901" s="112"/>
      <c r="B901" s="7" t="str">
        <f>IFERROR(__xludf.DUMMYFUNCTION("IF(A901="""","""",SUM(FILTER(#REF!,YEAR(FinishedData!$A:$A)=YEAR($A901),MONTH(FinishedData!$A:$A)=MONTH($A901),FinishedData!$B:$B=""Game"")))"),"")</f>
        <v/>
      </c>
      <c r="C901" s="7"/>
      <c r="D901" s="7"/>
      <c r="E901" s="7"/>
      <c r="F901" s="7"/>
      <c r="G901" s="7"/>
      <c r="H901" s="7"/>
      <c r="I901" s="7"/>
      <c r="J901" s="7"/>
      <c r="K901" s="7"/>
      <c r="L901" s="7"/>
      <c r="M901" s="7"/>
      <c r="N901" s="7"/>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c r="A902" s="112"/>
      <c r="B902" s="7" t="str">
        <f>IFERROR(__xludf.DUMMYFUNCTION("IF(A902="""","""",SUM(FILTER(#REF!,YEAR(FinishedData!$A:$A)=YEAR($A902),MONTH(FinishedData!$A:$A)=MONTH($A902),FinishedData!$B:$B=""Game"")))"),"")</f>
        <v/>
      </c>
      <c r="C902" s="7"/>
      <c r="D902" s="7"/>
      <c r="E902" s="7"/>
      <c r="F902" s="7"/>
      <c r="G902" s="7"/>
      <c r="H902" s="7"/>
      <c r="I902" s="7"/>
      <c r="J902" s="7"/>
      <c r="K902" s="7"/>
      <c r="L902" s="7"/>
      <c r="M902" s="7"/>
      <c r="N902" s="7"/>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c r="A903" s="112"/>
      <c r="B903" s="7" t="str">
        <f>IFERROR(__xludf.DUMMYFUNCTION("IF(A903="""","""",SUM(FILTER(#REF!,YEAR(FinishedData!$A:$A)=YEAR($A903),MONTH(FinishedData!$A:$A)=MONTH($A903),FinishedData!$B:$B=""Game"")))"),"")</f>
        <v/>
      </c>
      <c r="C903" s="7"/>
      <c r="D903" s="7"/>
      <c r="E903" s="7"/>
      <c r="F903" s="7"/>
      <c r="G903" s="7"/>
      <c r="H903" s="7"/>
      <c r="I903" s="7"/>
      <c r="J903" s="7"/>
      <c r="K903" s="7"/>
      <c r="L903" s="7"/>
      <c r="M903" s="7"/>
      <c r="N903" s="7"/>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c r="A904" s="112"/>
      <c r="B904" s="7" t="str">
        <f>IFERROR(__xludf.DUMMYFUNCTION("IF(A904="""","""",SUM(FILTER(#REF!,YEAR(FinishedData!$A:$A)=YEAR($A904),MONTH(FinishedData!$A:$A)=MONTH($A904),FinishedData!$B:$B=""Game"")))"),"")</f>
        <v/>
      </c>
      <c r="C904" s="7"/>
      <c r="D904" s="7"/>
      <c r="E904" s="7"/>
      <c r="F904" s="7"/>
      <c r="G904" s="7"/>
      <c r="H904" s="7"/>
      <c r="I904" s="7"/>
      <c r="J904" s="7"/>
      <c r="K904" s="7"/>
      <c r="L904" s="7"/>
      <c r="M904" s="7"/>
      <c r="N904" s="7"/>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c r="A905" s="112"/>
      <c r="B905" s="7" t="str">
        <f>IFERROR(__xludf.DUMMYFUNCTION("IF(A905="""","""",SUM(FILTER(#REF!,YEAR(FinishedData!$A:$A)=YEAR($A905),MONTH(FinishedData!$A:$A)=MONTH($A905),FinishedData!$B:$B=""Game"")))"),"")</f>
        <v/>
      </c>
      <c r="C905" s="7"/>
      <c r="D905" s="7"/>
      <c r="E905" s="7"/>
      <c r="F905" s="7"/>
      <c r="G905" s="7"/>
      <c r="H905" s="7"/>
      <c r="I905" s="7"/>
      <c r="J905" s="7"/>
      <c r="K905" s="7"/>
      <c r="L905" s="7"/>
      <c r="M905" s="7"/>
      <c r="N905" s="7"/>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c r="A906" s="112"/>
      <c r="B906" s="7" t="str">
        <f>IFERROR(__xludf.DUMMYFUNCTION("IF(A906="""","""",SUM(FILTER(#REF!,YEAR(FinishedData!$A:$A)=YEAR($A906),MONTH(FinishedData!$A:$A)=MONTH($A906),FinishedData!$B:$B=""Game"")))"),"")</f>
        <v/>
      </c>
      <c r="C906" s="7"/>
      <c r="D906" s="7"/>
      <c r="E906" s="7"/>
      <c r="F906" s="7"/>
      <c r="G906" s="7"/>
      <c r="H906" s="7"/>
      <c r="I906" s="7"/>
      <c r="J906" s="7"/>
      <c r="K906" s="7"/>
      <c r="L906" s="7"/>
      <c r="M906" s="7"/>
      <c r="N906" s="7"/>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c r="A907" s="112"/>
      <c r="B907" s="7" t="str">
        <f>IFERROR(__xludf.DUMMYFUNCTION("IF(A907="""","""",SUM(FILTER(#REF!,YEAR(FinishedData!$A:$A)=YEAR($A907),MONTH(FinishedData!$A:$A)=MONTH($A907),FinishedData!$B:$B=""Game"")))"),"")</f>
        <v/>
      </c>
      <c r="C907" s="7"/>
      <c r="D907" s="7"/>
      <c r="E907" s="7"/>
      <c r="F907" s="7"/>
      <c r="G907" s="7"/>
      <c r="H907" s="7"/>
      <c r="I907" s="7"/>
      <c r="J907" s="7"/>
      <c r="K907" s="7"/>
      <c r="L907" s="7"/>
      <c r="M907" s="7"/>
      <c r="N907" s="7"/>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c r="A908" s="112"/>
      <c r="B908" s="7" t="str">
        <f>IFERROR(__xludf.DUMMYFUNCTION("IF(A908="""","""",SUM(FILTER(#REF!,YEAR(FinishedData!$A:$A)=YEAR($A908),MONTH(FinishedData!$A:$A)=MONTH($A908),FinishedData!$B:$B=""Game"")))"),"")</f>
        <v/>
      </c>
      <c r="C908" s="7"/>
      <c r="D908" s="7"/>
      <c r="E908" s="7"/>
      <c r="F908" s="7"/>
      <c r="G908" s="7"/>
      <c r="H908" s="7"/>
      <c r="I908" s="7"/>
      <c r="J908" s="7"/>
      <c r="K908" s="7"/>
      <c r="L908" s="7"/>
      <c r="M908" s="7"/>
      <c r="N908" s="7"/>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c r="A909" s="112"/>
      <c r="B909" s="7" t="str">
        <f>IFERROR(__xludf.DUMMYFUNCTION("IF(A909="""","""",SUM(FILTER(#REF!,YEAR(FinishedData!$A:$A)=YEAR($A909),MONTH(FinishedData!$A:$A)=MONTH($A909),FinishedData!$B:$B=""Game"")))"),"")</f>
        <v/>
      </c>
      <c r="C909" s="7"/>
      <c r="D909" s="7"/>
      <c r="E909" s="7"/>
      <c r="F909" s="7"/>
      <c r="G909" s="7"/>
      <c r="H909" s="7"/>
      <c r="I909" s="7"/>
      <c r="J909" s="7"/>
      <c r="K909" s="7"/>
      <c r="L909" s="7"/>
      <c r="M909" s="7"/>
      <c r="N909" s="7"/>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c r="A910" s="112"/>
      <c r="B910" s="7" t="str">
        <f>IFERROR(__xludf.DUMMYFUNCTION("IF(A910="""","""",SUM(FILTER(#REF!,YEAR(FinishedData!$A:$A)=YEAR($A910),MONTH(FinishedData!$A:$A)=MONTH($A910),FinishedData!$B:$B=""Game"")))"),"")</f>
        <v/>
      </c>
      <c r="C910" s="7"/>
      <c r="D910" s="7"/>
      <c r="E910" s="7"/>
      <c r="F910" s="7"/>
      <c r="G910" s="7"/>
      <c r="H910" s="7"/>
      <c r="I910" s="7"/>
      <c r="J910" s="7"/>
      <c r="K910" s="7"/>
      <c r="L910" s="7"/>
      <c r="M910" s="7"/>
      <c r="N910" s="7"/>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c r="A911" s="112"/>
      <c r="B911" s="7" t="str">
        <f>IFERROR(__xludf.DUMMYFUNCTION("IF(A911="""","""",SUM(FILTER(#REF!,YEAR(FinishedData!$A:$A)=YEAR($A911),MONTH(FinishedData!$A:$A)=MONTH($A911),FinishedData!$B:$B=""Game"")))"),"")</f>
        <v/>
      </c>
      <c r="C911" s="7"/>
      <c r="D911" s="7"/>
      <c r="E911" s="7"/>
      <c r="F911" s="7"/>
      <c r="G911" s="7"/>
      <c r="H911" s="7"/>
      <c r="I911" s="7"/>
      <c r="J911" s="7"/>
      <c r="K911" s="7"/>
      <c r="L911" s="7"/>
      <c r="M911" s="7"/>
      <c r="N911" s="7"/>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c r="A912" s="112"/>
      <c r="B912" s="7" t="str">
        <f>IFERROR(__xludf.DUMMYFUNCTION("IF(A912="""","""",SUM(FILTER(#REF!,YEAR(FinishedData!$A:$A)=YEAR($A912),MONTH(FinishedData!$A:$A)=MONTH($A912),FinishedData!$B:$B=""Game"")))"),"")</f>
        <v/>
      </c>
      <c r="C912" s="7"/>
      <c r="D912" s="7"/>
      <c r="E912" s="7"/>
      <c r="F912" s="7"/>
      <c r="G912" s="7"/>
      <c r="H912" s="7"/>
      <c r="I912" s="7"/>
      <c r="J912" s="7"/>
      <c r="K912" s="7"/>
      <c r="L912" s="7"/>
      <c r="M912" s="7"/>
      <c r="N912" s="7"/>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c r="A913" s="112"/>
      <c r="B913" s="7" t="str">
        <f>IFERROR(__xludf.DUMMYFUNCTION("IF(A913="""","""",SUM(FILTER(#REF!,YEAR(FinishedData!$A:$A)=YEAR($A913),MONTH(FinishedData!$A:$A)=MONTH($A913),FinishedData!$B:$B=""Game"")))"),"")</f>
        <v/>
      </c>
      <c r="C913" s="7"/>
      <c r="D913" s="7"/>
      <c r="E913" s="7"/>
      <c r="F913" s="7"/>
      <c r="G913" s="7"/>
      <c r="H913" s="7"/>
      <c r="I913" s="7"/>
      <c r="J913" s="7"/>
      <c r="K913" s="7"/>
      <c r="L913" s="7"/>
      <c r="M913" s="7"/>
      <c r="N913" s="7"/>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c r="A914" s="112"/>
      <c r="B914" s="7" t="str">
        <f>IFERROR(__xludf.DUMMYFUNCTION("IF(A914="""","""",SUM(FILTER(#REF!,YEAR(FinishedData!$A:$A)=YEAR($A914),MONTH(FinishedData!$A:$A)=MONTH($A914),FinishedData!$B:$B=""Game"")))"),"")</f>
        <v/>
      </c>
      <c r="C914" s="7"/>
      <c r="D914" s="7"/>
      <c r="E914" s="7"/>
      <c r="F914" s="7"/>
      <c r="G914" s="7"/>
      <c r="H914" s="7"/>
      <c r="I914" s="7"/>
      <c r="J914" s="7"/>
      <c r="K914" s="7"/>
      <c r="L914" s="7"/>
      <c r="M914" s="7"/>
      <c r="N914" s="7"/>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c r="A915" s="112"/>
      <c r="B915" s="7" t="str">
        <f>IFERROR(__xludf.DUMMYFUNCTION("IF(A915="""","""",SUM(FILTER(#REF!,YEAR(FinishedData!$A:$A)=YEAR($A915),MONTH(FinishedData!$A:$A)=MONTH($A915),FinishedData!$B:$B=""Game"")))"),"")</f>
        <v/>
      </c>
      <c r="C915" s="7"/>
      <c r="D915" s="7"/>
      <c r="E915" s="7"/>
      <c r="F915" s="7"/>
      <c r="G915" s="7"/>
      <c r="H915" s="7"/>
      <c r="I915" s="7"/>
      <c r="J915" s="7"/>
      <c r="K915" s="7"/>
      <c r="L915" s="7"/>
      <c r="M915" s="7"/>
      <c r="N915" s="7"/>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c r="A916" s="112"/>
      <c r="B916" s="7" t="str">
        <f>IFERROR(__xludf.DUMMYFUNCTION("IF(A916="""","""",SUM(FILTER(#REF!,YEAR(FinishedData!$A:$A)=YEAR($A916),MONTH(FinishedData!$A:$A)=MONTH($A916),FinishedData!$B:$B=""Game"")))"),"")</f>
        <v/>
      </c>
      <c r="C916" s="7"/>
      <c r="D916" s="7"/>
      <c r="E916" s="7"/>
      <c r="F916" s="7"/>
      <c r="G916" s="7"/>
      <c r="H916" s="7"/>
      <c r="I916" s="7"/>
      <c r="J916" s="7"/>
      <c r="K916" s="7"/>
      <c r="L916" s="7"/>
      <c r="M916" s="7"/>
      <c r="N916" s="7"/>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c r="A917" s="112"/>
      <c r="B917" s="7" t="str">
        <f>IFERROR(__xludf.DUMMYFUNCTION("IF(A917="""","""",SUM(FILTER(#REF!,YEAR(FinishedData!$A:$A)=YEAR($A917),MONTH(FinishedData!$A:$A)=MONTH($A917),FinishedData!$B:$B=""Game"")))"),"")</f>
        <v/>
      </c>
      <c r="C917" s="7"/>
      <c r="D917" s="7"/>
      <c r="E917" s="7"/>
      <c r="F917" s="7"/>
      <c r="G917" s="7"/>
      <c r="H917" s="7"/>
      <c r="I917" s="7"/>
      <c r="J917" s="7"/>
      <c r="K917" s="7"/>
      <c r="L917" s="7"/>
      <c r="M917" s="7"/>
      <c r="N917" s="7"/>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c r="A918" s="112"/>
      <c r="B918" s="7" t="str">
        <f>IFERROR(__xludf.DUMMYFUNCTION("IF(A918="""","""",SUM(FILTER(#REF!,YEAR(FinishedData!$A:$A)=YEAR($A918),MONTH(FinishedData!$A:$A)=MONTH($A918),FinishedData!$B:$B=""Game"")))"),"")</f>
        <v/>
      </c>
      <c r="C918" s="7"/>
      <c r="D918" s="7"/>
      <c r="E918" s="7"/>
      <c r="F918" s="7"/>
      <c r="G918" s="7"/>
      <c r="H918" s="7"/>
      <c r="I918" s="7"/>
      <c r="J918" s="7"/>
      <c r="K918" s="7"/>
      <c r="L918" s="7"/>
      <c r="M918" s="7"/>
      <c r="N918" s="7"/>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c r="A919" s="112"/>
      <c r="B919" s="7" t="str">
        <f>IFERROR(__xludf.DUMMYFUNCTION("IF(A919="""","""",SUM(FILTER(#REF!,YEAR(FinishedData!$A:$A)=YEAR($A919),MONTH(FinishedData!$A:$A)=MONTH($A919),FinishedData!$B:$B=""Game"")))"),"")</f>
        <v/>
      </c>
      <c r="C919" s="7"/>
      <c r="D919" s="7"/>
      <c r="E919" s="7"/>
      <c r="F919" s="7"/>
      <c r="G919" s="7"/>
      <c r="H919" s="7"/>
      <c r="I919" s="7"/>
      <c r="J919" s="7"/>
      <c r="K919" s="7"/>
      <c r="L919" s="7"/>
      <c r="M919" s="7"/>
      <c r="N919" s="7"/>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c r="A920" s="112"/>
      <c r="B920" s="7" t="str">
        <f>IFERROR(__xludf.DUMMYFUNCTION("IF(A920="""","""",SUM(FILTER(#REF!,YEAR(FinishedData!$A:$A)=YEAR($A920),MONTH(FinishedData!$A:$A)=MONTH($A920),FinishedData!$B:$B=""Game"")))"),"")</f>
        <v/>
      </c>
      <c r="C920" s="7"/>
      <c r="D920" s="7"/>
      <c r="E920" s="7"/>
      <c r="F920" s="7"/>
      <c r="G920" s="7"/>
      <c r="H920" s="7"/>
      <c r="I920" s="7"/>
      <c r="J920" s="7"/>
      <c r="K920" s="7"/>
      <c r="L920" s="7"/>
      <c r="M920" s="7"/>
      <c r="N920" s="7"/>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c r="A921" s="112"/>
      <c r="B921" s="7" t="str">
        <f>IFERROR(__xludf.DUMMYFUNCTION("IF(A921="""","""",SUM(FILTER(#REF!,YEAR(FinishedData!$A:$A)=YEAR($A921),MONTH(FinishedData!$A:$A)=MONTH($A921),FinishedData!$B:$B=""Game"")))"),"")</f>
        <v/>
      </c>
      <c r="C921" s="7"/>
      <c r="D921" s="7"/>
      <c r="E921" s="7"/>
      <c r="F921" s="7"/>
      <c r="G921" s="7"/>
      <c r="H921" s="7"/>
      <c r="I921" s="7"/>
      <c r="J921" s="7"/>
      <c r="K921" s="7"/>
      <c r="L921" s="7"/>
      <c r="M921" s="7"/>
      <c r="N921" s="7"/>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c r="A922" s="112"/>
      <c r="B922" s="7" t="str">
        <f>IFERROR(__xludf.DUMMYFUNCTION("IF(A922="""","""",SUM(FILTER(#REF!,YEAR(FinishedData!$A:$A)=YEAR($A922),MONTH(FinishedData!$A:$A)=MONTH($A922),FinishedData!$B:$B=""Game"")))"),"")</f>
        <v/>
      </c>
      <c r="C922" s="7"/>
      <c r="D922" s="7"/>
      <c r="E922" s="7"/>
      <c r="F922" s="7"/>
      <c r="G922" s="7"/>
      <c r="H922" s="7"/>
      <c r="I922" s="7"/>
      <c r="J922" s="7"/>
      <c r="K922" s="7"/>
      <c r="L922" s="7"/>
      <c r="M922" s="7"/>
      <c r="N922" s="7"/>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c r="A923" s="112"/>
      <c r="B923" s="7" t="str">
        <f>IFERROR(__xludf.DUMMYFUNCTION("IF(A923="""","""",SUM(FILTER(#REF!,YEAR(FinishedData!$A:$A)=YEAR($A923),MONTH(FinishedData!$A:$A)=MONTH($A923),FinishedData!$B:$B=""Game"")))"),"")</f>
        <v/>
      </c>
      <c r="C923" s="7"/>
      <c r="D923" s="7"/>
      <c r="E923" s="7"/>
      <c r="F923" s="7"/>
      <c r="G923" s="7"/>
      <c r="H923" s="7"/>
      <c r="I923" s="7"/>
      <c r="J923" s="7"/>
      <c r="K923" s="7"/>
      <c r="L923" s="7"/>
      <c r="M923" s="7"/>
      <c r="N923" s="7"/>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c r="A924" s="112"/>
      <c r="B924" s="7" t="str">
        <f>IFERROR(__xludf.DUMMYFUNCTION("IF(A924="""","""",SUM(FILTER(#REF!,YEAR(FinishedData!$A:$A)=YEAR($A924),MONTH(FinishedData!$A:$A)=MONTH($A924),FinishedData!$B:$B=""Game"")))"),"")</f>
        <v/>
      </c>
      <c r="C924" s="7"/>
      <c r="D924" s="7"/>
      <c r="E924" s="7"/>
      <c r="F924" s="7"/>
      <c r="G924" s="7"/>
      <c r="H924" s="7"/>
      <c r="I924" s="7"/>
      <c r="J924" s="7"/>
      <c r="K924" s="7"/>
      <c r="L924" s="7"/>
      <c r="M924" s="7"/>
      <c r="N924" s="7"/>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c r="A925" s="112"/>
      <c r="B925" s="7" t="str">
        <f>IFERROR(__xludf.DUMMYFUNCTION("IF(A925="""","""",SUM(FILTER(#REF!,YEAR(FinishedData!$A:$A)=YEAR($A925),MONTH(FinishedData!$A:$A)=MONTH($A925),FinishedData!$B:$B=""Game"")))"),"")</f>
        <v/>
      </c>
      <c r="C925" s="7"/>
      <c r="D925" s="7"/>
      <c r="E925" s="7"/>
      <c r="F925" s="7"/>
      <c r="G925" s="7"/>
      <c r="H925" s="7"/>
      <c r="I925" s="7"/>
      <c r="J925" s="7"/>
      <c r="K925" s="7"/>
      <c r="L925" s="7"/>
      <c r="M925" s="7"/>
      <c r="N925" s="7"/>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c r="A926" s="112"/>
      <c r="B926" s="7" t="str">
        <f>IFERROR(__xludf.DUMMYFUNCTION("IF(A926="""","""",SUM(FILTER(#REF!,YEAR(FinishedData!$A:$A)=YEAR($A926),MONTH(FinishedData!$A:$A)=MONTH($A926),FinishedData!$B:$B=""Game"")))"),"")</f>
        <v/>
      </c>
      <c r="C926" s="7"/>
      <c r="D926" s="7"/>
      <c r="E926" s="7"/>
      <c r="F926" s="7"/>
      <c r="G926" s="7"/>
      <c r="H926" s="7"/>
      <c r="I926" s="7"/>
      <c r="J926" s="7"/>
      <c r="K926" s="7"/>
      <c r="L926" s="7"/>
      <c r="M926" s="7"/>
      <c r="N926" s="7"/>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c r="A927" s="112"/>
      <c r="B927" s="7" t="str">
        <f>IFERROR(__xludf.DUMMYFUNCTION("IF(A927="""","""",SUM(FILTER(#REF!,YEAR(FinishedData!$A:$A)=YEAR($A927),MONTH(FinishedData!$A:$A)=MONTH($A927),FinishedData!$B:$B=""Game"")))"),"")</f>
        <v/>
      </c>
      <c r="C927" s="7"/>
      <c r="D927" s="7"/>
      <c r="E927" s="7"/>
      <c r="F927" s="7"/>
      <c r="G927" s="7"/>
      <c r="H927" s="7"/>
      <c r="I927" s="7"/>
      <c r="J927" s="7"/>
      <c r="K927" s="7"/>
      <c r="L927" s="7"/>
      <c r="M927" s="7"/>
      <c r="N927" s="7"/>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c r="A928" s="112"/>
      <c r="B928" s="7" t="str">
        <f>IFERROR(__xludf.DUMMYFUNCTION("IF(A928="""","""",SUM(FILTER(#REF!,YEAR(FinishedData!$A:$A)=YEAR($A928),MONTH(FinishedData!$A:$A)=MONTH($A928),FinishedData!$B:$B=""Game"")))"),"")</f>
        <v/>
      </c>
      <c r="C928" s="7"/>
      <c r="D928" s="7"/>
      <c r="E928" s="7"/>
      <c r="F928" s="7"/>
      <c r="G928" s="7"/>
      <c r="H928" s="7"/>
      <c r="I928" s="7"/>
      <c r="J928" s="7"/>
      <c r="K928" s="7"/>
      <c r="L928" s="7"/>
      <c r="M928" s="7"/>
      <c r="N928" s="7"/>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c r="A929" s="112"/>
      <c r="B929" s="7" t="str">
        <f>IFERROR(__xludf.DUMMYFUNCTION("IF(A929="""","""",SUM(FILTER(#REF!,YEAR(FinishedData!$A:$A)=YEAR($A929),MONTH(FinishedData!$A:$A)=MONTH($A929),FinishedData!$B:$B=""Game"")))"),"")</f>
        <v/>
      </c>
      <c r="C929" s="7"/>
      <c r="D929" s="7"/>
      <c r="E929" s="7"/>
      <c r="F929" s="7"/>
      <c r="G929" s="7"/>
      <c r="H929" s="7"/>
      <c r="I929" s="7"/>
      <c r="J929" s="7"/>
      <c r="K929" s="7"/>
      <c r="L929" s="7"/>
      <c r="M929" s="7"/>
      <c r="N929" s="7"/>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c r="A930" s="112"/>
      <c r="B930" s="7" t="str">
        <f>IFERROR(__xludf.DUMMYFUNCTION("IF(A930="""","""",SUM(FILTER(#REF!,YEAR(FinishedData!$A:$A)=YEAR($A930),MONTH(FinishedData!$A:$A)=MONTH($A930),FinishedData!$B:$B=""Game"")))"),"")</f>
        <v/>
      </c>
      <c r="C930" s="7"/>
      <c r="D930" s="7"/>
      <c r="E930" s="7"/>
      <c r="F930" s="7"/>
      <c r="G930" s="7"/>
      <c r="H930" s="7"/>
      <c r="I930" s="7"/>
      <c r="J930" s="7"/>
      <c r="K930" s="7"/>
      <c r="L930" s="7"/>
      <c r="M930" s="7"/>
      <c r="N930" s="7"/>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c r="A931" s="112"/>
      <c r="B931" s="7" t="str">
        <f>IFERROR(__xludf.DUMMYFUNCTION("IF(A931="""","""",SUM(FILTER(#REF!,YEAR(FinishedData!$A:$A)=YEAR($A931),MONTH(FinishedData!$A:$A)=MONTH($A931),FinishedData!$B:$B=""Game"")))"),"")</f>
        <v/>
      </c>
      <c r="C931" s="7"/>
      <c r="D931" s="7"/>
      <c r="E931" s="7"/>
      <c r="F931" s="7"/>
      <c r="G931" s="7"/>
      <c r="H931" s="7"/>
      <c r="I931" s="7"/>
      <c r="J931" s="7"/>
      <c r="K931" s="7"/>
      <c r="L931" s="7"/>
      <c r="M931" s="7"/>
      <c r="N931" s="7"/>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c r="A932" s="112"/>
      <c r="B932" s="7" t="str">
        <f>IFERROR(__xludf.DUMMYFUNCTION("IF(A932="""","""",SUM(FILTER(#REF!,YEAR(FinishedData!$A:$A)=YEAR($A932),MONTH(FinishedData!$A:$A)=MONTH($A932),FinishedData!$B:$B=""Game"")))"),"")</f>
        <v/>
      </c>
      <c r="C932" s="7"/>
      <c r="D932" s="7"/>
      <c r="E932" s="7"/>
      <c r="F932" s="7"/>
      <c r="G932" s="7"/>
      <c r="H932" s="7"/>
      <c r="I932" s="7"/>
      <c r="J932" s="7"/>
      <c r="K932" s="7"/>
      <c r="L932" s="7"/>
      <c r="M932" s="7"/>
      <c r="N932" s="7"/>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c r="A933" s="112"/>
      <c r="B933" s="7" t="str">
        <f>IFERROR(__xludf.DUMMYFUNCTION("IF(A933="""","""",SUM(FILTER(#REF!,YEAR(FinishedData!$A:$A)=YEAR($A933),MONTH(FinishedData!$A:$A)=MONTH($A933),FinishedData!$B:$B=""Game"")))"),"")</f>
        <v/>
      </c>
      <c r="C933" s="7"/>
      <c r="D933" s="7"/>
      <c r="E933" s="7"/>
      <c r="F933" s="7"/>
      <c r="G933" s="7"/>
      <c r="H933" s="7"/>
      <c r="I933" s="7"/>
      <c r="J933" s="7"/>
      <c r="K933" s="7"/>
      <c r="L933" s="7"/>
      <c r="M933" s="7"/>
      <c r="N933" s="7"/>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c r="A934" s="112"/>
      <c r="B934" s="7" t="str">
        <f>IFERROR(__xludf.DUMMYFUNCTION("IF(A934="""","""",SUM(FILTER(#REF!,YEAR(FinishedData!$A:$A)=YEAR($A934),MONTH(FinishedData!$A:$A)=MONTH($A934),FinishedData!$B:$B=""Game"")))"),"")</f>
        <v/>
      </c>
      <c r="C934" s="7"/>
      <c r="D934" s="7"/>
      <c r="E934" s="7"/>
      <c r="F934" s="7"/>
      <c r="G934" s="7"/>
      <c r="H934" s="7"/>
      <c r="I934" s="7"/>
      <c r="J934" s="7"/>
      <c r="K934" s="7"/>
      <c r="L934" s="7"/>
      <c r="M934" s="7"/>
      <c r="N934" s="7"/>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c r="A935" s="112"/>
      <c r="B935" s="7" t="str">
        <f>IFERROR(__xludf.DUMMYFUNCTION("IF(A935="""","""",SUM(FILTER(#REF!,YEAR(FinishedData!$A:$A)=YEAR($A935),MONTH(FinishedData!$A:$A)=MONTH($A935),FinishedData!$B:$B=""Game"")))"),"")</f>
        <v/>
      </c>
      <c r="C935" s="7"/>
      <c r="D935" s="7"/>
      <c r="E935" s="7"/>
      <c r="F935" s="7"/>
      <c r="G935" s="7"/>
      <c r="H935" s="7"/>
      <c r="I935" s="7"/>
      <c r="J935" s="7"/>
      <c r="K935" s="7"/>
      <c r="L935" s="7"/>
      <c r="M935" s="7"/>
      <c r="N935" s="7"/>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c r="A936" s="112"/>
      <c r="B936" s="7" t="str">
        <f>IFERROR(__xludf.DUMMYFUNCTION("IF(A936="""","""",SUM(FILTER(#REF!,YEAR(FinishedData!$A:$A)=YEAR($A936),MONTH(FinishedData!$A:$A)=MONTH($A936),FinishedData!$B:$B=""Game"")))"),"")</f>
        <v/>
      </c>
      <c r="C936" s="7"/>
      <c r="D936" s="7"/>
      <c r="E936" s="7"/>
      <c r="F936" s="7"/>
      <c r="G936" s="7"/>
      <c r="H936" s="7"/>
      <c r="I936" s="7"/>
      <c r="J936" s="7"/>
      <c r="K936" s="7"/>
      <c r="L936" s="7"/>
      <c r="M936" s="7"/>
      <c r="N936" s="7"/>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c r="A937" s="112"/>
      <c r="B937" s="7" t="str">
        <f>IFERROR(__xludf.DUMMYFUNCTION("IF(A937="""","""",SUM(FILTER(#REF!,YEAR(FinishedData!$A:$A)=YEAR($A937),MONTH(FinishedData!$A:$A)=MONTH($A937),FinishedData!$B:$B=""Game"")))"),"")</f>
        <v/>
      </c>
      <c r="C937" s="7"/>
      <c r="D937" s="7"/>
      <c r="E937" s="7"/>
      <c r="F937" s="7"/>
      <c r="G937" s="7"/>
      <c r="H937" s="7"/>
      <c r="I937" s="7"/>
      <c r="J937" s="7"/>
      <c r="K937" s="7"/>
      <c r="L937" s="7"/>
      <c r="M937" s="7"/>
      <c r="N937" s="7"/>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c r="A938" s="112"/>
      <c r="B938" s="7" t="str">
        <f>IFERROR(__xludf.DUMMYFUNCTION("IF(A938="""","""",SUM(FILTER(#REF!,YEAR(FinishedData!$A:$A)=YEAR($A938),MONTH(FinishedData!$A:$A)=MONTH($A938),FinishedData!$B:$B=""Game"")))"),"")</f>
        <v/>
      </c>
      <c r="C938" s="7"/>
      <c r="D938" s="7"/>
      <c r="E938" s="7"/>
      <c r="F938" s="7"/>
      <c r="G938" s="7"/>
      <c r="H938" s="7"/>
      <c r="I938" s="7"/>
      <c r="J938" s="7"/>
      <c r="K938" s="7"/>
      <c r="L938" s="7"/>
      <c r="M938" s="7"/>
      <c r="N938" s="7"/>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c r="A939" s="112"/>
      <c r="B939" s="7" t="str">
        <f>IFERROR(__xludf.DUMMYFUNCTION("IF(A939="""","""",SUM(FILTER(#REF!,YEAR(FinishedData!$A:$A)=YEAR($A939),MONTH(FinishedData!$A:$A)=MONTH($A939),FinishedData!$B:$B=""Game"")))"),"")</f>
        <v/>
      </c>
      <c r="C939" s="7"/>
      <c r="D939" s="7"/>
      <c r="E939" s="7"/>
      <c r="F939" s="7"/>
      <c r="G939" s="7"/>
      <c r="H939" s="7"/>
      <c r="I939" s="7"/>
      <c r="J939" s="7"/>
      <c r="K939" s="7"/>
      <c r="L939" s="7"/>
      <c r="M939" s="7"/>
      <c r="N939" s="7"/>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c r="A940" s="112"/>
      <c r="B940" s="7" t="str">
        <f>IFERROR(__xludf.DUMMYFUNCTION("IF(A940="""","""",SUM(FILTER(#REF!,YEAR(FinishedData!$A:$A)=YEAR($A940),MONTH(FinishedData!$A:$A)=MONTH($A940),FinishedData!$B:$B=""Game"")))"),"")</f>
        <v/>
      </c>
      <c r="C940" s="7"/>
      <c r="D940" s="7"/>
      <c r="E940" s="7"/>
      <c r="F940" s="7"/>
      <c r="G940" s="7"/>
      <c r="H940" s="7"/>
      <c r="I940" s="7"/>
      <c r="J940" s="7"/>
      <c r="K940" s="7"/>
      <c r="L940" s="7"/>
      <c r="M940" s="7"/>
      <c r="N940" s="7"/>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c r="A941" s="112"/>
      <c r="B941" s="7" t="str">
        <f>IFERROR(__xludf.DUMMYFUNCTION("IF(A941="""","""",SUM(FILTER(#REF!,YEAR(FinishedData!$A:$A)=YEAR($A941),MONTH(FinishedData!$A:$A)=MONTH($A941),FinishedData!$B:$B=""Game"")))"),"")</f>
        <v/>
      </c>
      <c r="C941" s="7"/>
      <c r="D941" s="7"/>
      <c r="E941" s="7"/>
      <c r="F941" s="7"/>
      <c r="G941" s="7"/>
      <c r="H941" s="7"/>
      <c r="I941" s="7"/>
      <c r="J941" s="7"/>
      <c r="K941" s="7"/>
      <c r="L941" s="7"/>
      <c r="M941" s="7"/>
      <c r="N941" s="7"/>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c r="A942" s="112"/>
      <c r="B942" s="7" t="str">
        <f>IFERROR(__xludf.DUMMYFUNCTION("IF(A942="""","""",SUM(FILTER(#REF!,YEAR(FinishedData!$A:$A)=YEAR($A942),MONTH(FinishedData!$A:$A)=MONTH($A942),FinishedData!$B:$B=""Game"")))"),"")</f>
        <v/>
      </c>
      <c r="C942" s="7"/>
      <c r="D942" s="7"/>
      <c r="E942" s="7"/>
      <c r="F942" s="7"/>
      <c r="G942" s="7"/>
      <c r="H942" s="7"/>
      <c r="I942" s="7"/>
      <c r="J942" s="7"/>
      <c r="K942" s="7"/>
      <c r="L942" s="7"/>
      <c r="M942" s="7"/>
      <c r="N942" s="7"/>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c r="A943" s="112"/>
      <c r="B943" s="7" t="str">
        <f>IFERROR(__xludf.DUMMYFUNCTION("IF(A943="""","""",SUM(FILTER(#REF!,YEAR(FinishedData!$A:$A)=YEAR($A943),MONTH(FinishedData!$A:$A)=MONTH($A943),FinishedData!$B:$B=""Game"")))"),"")</f>
        <v/>
      </c>
      <c r="C943" s="7"/>
      <c r="D943" s="7"/>
      <c r="E943" s="7"/>
      <c r="F943" s="7"/>
      <c r="G943" s="7"/>
      <c r="H943" s="7"/>
      <c r="I943" s="7"/>
      <c r="J943" s="7"/>
      <c r="K943" s="7"/>
      <c r="L943" s="7"/>
      <c r="M943" s="7"/>
      <c r="N943" s="7"/>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c r="A944" s="112"/>
      <c r="B944" s="7" t="str">
        <f>IFERROR(__xludf.DUMMYFUNCTION("IF(A944="""","""",SUM(FILTER(#REF!,YEAR(FinishedData!$A:$A)=YEAR($A944),MONTH(FinishedData!$A:$A)=MONTH($A944),FinishedData!$B:$B=""Game"")))"),"")</f>
        <v/>
      </c>
      <c r="C944" s="7"/>
      <c r="D944" s="7"/>
      <c r="E944" s="7"/>
      <c r="F944" s="7"/>
      <c r="G944" s="7"/>
      <c r="H944" s="7"/>
      <c r="I944" s="7"/>
      <c r="J944" s="7"/>
      <c r="K944" s="7"/>
      <c r="L944" s="7"/>
      <c r="M944" s="7"/>
      <c r="N944" s="7"/>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c r="A945" s="112"/>
      <c r="B945" s="7" t="str">
        <f>IFERROR(__xludf.DUMMYFUNCTION("IF(A945="""","""",SUM(FILTER(#REF!,YEAR(FinishedData!$A:$A)=YEAR($A945),MONTH(FinishedData!$A:$A)=MONTH($A945),FinishedData!$B:$B=""Game"")))"),"")</f>
        <v/>
      </c>
      <c r="C945" s="7"/>
      <c r="D945" s="7"/>
      <c r="E945" s="7"/>
      <c r="F945" s="7"/>
      <c r="G945" s="7"/>
      <c r="H945" s="7"/>
      <c r="I945" s="7"/>
      <c r="J945" s="7"/>
      <c r="K945" s="7"/>
      <c r="L945" s="7"/>
      <c r="M945" s="7"/>
      <c r="N945" s="7"/>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c r="A946" s="112"/>
      <c r="B946" s="7" t="str">
        <f>IFERROR(__xludf.DUMMYFUNCTION("IF(A946="""","""",SUM(FILTER(#REF!,YEAR(FinishedData!$A:$A)=YEAR($A946),MONTH(FinishedData!$A:$A)=MONTH($A946),FinishedData!$B:$B=""Game"")))"),"")</f>
        <v/>
      </c>
      <c r="C946" s="7"/>
      <c r="D946" s="7"/>
      <c r="E946" s="7"/>
      <c r="F946" s="7"/>
      <c r="G946" s="7"/>
      <c r="H946" s="7"/>
      <c r="I946" s="7"/>
      <c r="J946" s="7"/>
      <c r="K946" s="7"/>
      <c r="L946" s="7"/>
      <c r="M946" s="7"/>
      <c r="N946" s="7"/>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c r="A947" s="112"/>
      <c r="B947" s="7" t="str">
        <f>IFERROR(__xludf.DUMMYFUNCTION("IF(A947="""","""",SUM(FILTER(#REF!,YEAR(FinishedData!$A:$A)=YEAR($A947),MONTH(FinishedData!$A:$A)=MONTH($A947),FinishedData!$B:$B=""Game"")))"),"")</f>
        <v/>
      </c>
      <c r="C947" s="7"/>
      <c r="D947" s="7"/>
      <c r="E947" s="7"/>
      <c r="F947" s="7"/>
      <c r="G947" s="7"/>
      <c r="H947" s="7"/>
      <c r="I947" s="7"/>
      <c r="J947" s="7"/>
      <c r="K947" s="7"/>
      <c r="L947" s="7"/>
      <c r="M947" s="7"/>
      <c r="N947" s="7"/>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c r="A948" s="112"/>
      <c r="B948" s="7" t="str">
        <f>IFERROR(__xludf.DUMMYFUNCTION("IF(A948="""","""",SUM(FILTER(#REF!,YEAR(FinishedData!$A:$A)=YEAR($A948),MONTH(FinishedData!$A:$A)=MONTH($A948),FinishedData!$B:$B=""Game"")))"),"")</f>
        <v/>
      </c>
      <c r="C948" s="7"/>
      <c r="D948" s="7"/>
      <c r="E948" s="7"/>
      <c r="F948" s="7"/>
      <c r="G948" s="7"/>
      <c r="H948" s="7"/>
      <c r="I948" s="7"/>
      <c r="J948" s="7"/>
      <c r="K948" s="7"/>
      <c r="L948" s="7"/>
      <c r="M948" s="7"/>
      <c r="N948" s="7"/>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c r="A949" s="112"/>
      <c r="B949" s="7" t="str">
        <f>IFERROR(__xludf.DUMMYFUNCTION("IF(A949="""","""",SUM(FILTER(#REF!,YEAR(FinishedData!$A:$A)=YEAR($A949),MONTH(FinishedData!$A:$A)=MONTH($A949),FinishedData!$B:$B=""Game"")))"),"")</f>
        <v/>
      </c>
      <c r="C949" s="7"/>
      <c r="D949" s="7"/>
      <c r="E949" s="7"/>
      <c r="F949" s="7"/>
      <c r="G949" s="7"/>
      <c r="H949" s="7"/>
      <c r="I949" s="7"/>
      <c r="J949" s="7"/>
      <c r="K949" s="7"/>
      <c r="L949" s="7"/>
      <c r="M949" s="7"/>
      <c r="N949" s="7"/>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c r="A950" s="112"/>
      <c r="B950" s="7" t="str">
        <f>IFERROR(__xludf.DUMMYFUNCTION("IF(A950="""","""",SUM(FILTER(#REF!,YEAR(FinishedData!$A:$A)=YEAR($A950),MONTH(FinishedData!$A:$A)=MONTH($A950),FinishedData!$B:$B=""Game"")))"),"")</f>
        <v/>
      </c>
      <c r="C950" s="7"/>
      <c r="D950" s="7"/>
      <c r="E950" s="7"/>
      <c r="F950" s="7"/>
      <c r="G950" s="7"/>
      <c r="H950" s="7"/>
      <c r="I950" s="7"/>
      <c r="J950" s="7"/>
      <c r="K950" s="7"/>
      <c r="L950" s="7"/>
      <c r="M950" s="7"/>
      <c r="N950" s="7"/>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c r="A951" s="112"/>
      <c r="B951" s="7" t="str">
        <f>IFERROR(__xludf.DUMMYFUNCTION("IF(A951="""","""",SUM(FILTER(#REF!,YEAR(FinishedData!$A:$A)=YEAR($A951),MONTH(FinishedData!$A:$A)=MONTH($A951),FinishedData!$B:$B=""Game"")))"),"")</f>
        <v/>
      </c>
      <c r="C951" s="7"/>
      <c r="D951" s="7"/>
      <c r="E951" s="7"/>
      <c r="F951" s="7"/>
      <c r="G951" s="7"/>
      <c r="H951" s="7"/>
      <c r="I951" s="7"/>
      <c r="J951" s="7"/>
      <c r="K951" s="7"/>
      <c r="L951" s="7"/>
      <c r="M951" s="7"/>
      <c r="N951" s="7"/>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c r="A952" s="112"/>
      <c r="B952" s="7" t="str">
        <f>IFERROR(__xludf.DUMMYFUNCTION("IF(A952="""","""",SUM(FILTER(#REF!,YEAR(FinishedData!$A:$A)=YEAR($A952),MONTH(FinishedData!$A:$A)=MONTH($A952),FinishedData!$B:$B=""Game"")))"),"")</f>
        <v/>
      </c>
      <c r="C952" s="7"/>
      <c r="D952" s="7"/>
      <c r="E952" s="7"/>
      <c r="F952" s="7"/>
      <c r="G952" s="7"/>
      <c r="H952" s="7"/>
      <c r="I952" s="7"/>
      <c r="J952" s="7"/>
      <c r="K952" s="7"/>
      <c r="L952" s="7"/>
      <c r="M952" s="7"/>
      <c r="N952" s="7"/>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c r="A953" s="112"/>
      <c r="B953" s="7" t="str">
        <f>IFERROR(__xludf.DUMMYFUNCTION("IF(A953="""","""",SUM(FILTER(#REF!,YEAR(FinishedData!$A:$A)=YEAR($A953),MONTH(FinishedData!$A:$A)=MONTH($A953),FinishedData!$B:$B=""Game"")))"),"")</f>
        <v/>
      </c>
      <c r="C953" s="7"/>
      <c r="D953" s="7"/>
      <c r="E953" s="7"/>
      <c r="F953" s="7"/>
      <c r="G953" s="7"/>
      <c r="H953" s="7"/>
      <c r="I953" s="7"/>
      <c r="J953" s="7"/>
      <c r="K953" s="7"/>
      <c r="L953" s="7"/>
      <c r="M953" s="7"/>
      <c r="N953" s="7"/>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c r="A954" s="112"/>
      <c r="B954" s="7" t="str">
        <f>IFERROR(__xludf.DUMMYFUNCTION("IF(A954="""","""",SUM(FILTER(#REF!,YEAR(FinishedData!$A:$A)=YEAR($A954),MONTH(FinishedData!$A:$A)=MONTH($A954),FinishedData!$B:$B=""Game"")))"),"")</f>
        <v/>
      </c>
      <c r="C954" s="7"/>
      <c r="D954" s="7"/>
      <c r="E954" s="7"/>
      <c r="F954" s="7"/>
      <c r="G954" s="7"/>
      <c r="H954" s="7"/>
      <c r="I954" s="7"/>
      <c r="J954" s="7"/>
      <c r="K954" s="7"/>
      <c r="L954" s="7"/>
      <c r="M954" s="7"/>
      <c r="N954" s="7"/>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c r="A955" s="112"/>
      <c r="B955" s="7" t="str">
        <f>IFERROR(__xludf.DUMMYFUNCTION("IF(A955="""","""",SUM(FILTER(#REF!,YEAR(FinishedData!$A:$A)=YEAR($A955),MONTH(FinishedData!$A:$A)=MONTH($A955),FinishedData!$B:$B=""Game"")))"),"")</f>
        <v/>
      </c>
      <c r="C955" s="7"/>
      <c r="D955" s="7"/>
      <c r="E955" s="7"/>
      <c r="F955" s="7"/>
      <c r="G955" s="7"/>
      <c r="H955" s="7"/>
      <c r="I955" s="7"/>
      <c r="J955" s="7"/>
      <c r="K955" s="7"/>
      <c r="L955" s="7"/>
      <c r="M955" s="7"/>
      <c r="N955" s="7"/>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c r="A956" s="112"/>
      <c r="B956" s="7" t="str">
        <f>IFERROR(__xludf.DUMMYFUNCTION("IF(A956="""","""",SUM(FILTER(#REF!,YEAR(FinishedData!$A:$A)=YEAR($A956),MONTH(FinishedData!$A:$A)=MONTH($A956),FinishedData!$B:$B=""Game"")))"),"")</f>
        <v/>
      </c>
      <c r="C956" s="7"/>
      <c r="D956" s="7"/>
      <c r="E956" s="7"/>
      <c r="F956" s="7"/>
      <c r="G956" s="7"/>
      <c r="H956" s="7"/>
      <c r="I956" s="7"/>
      <c r="J956" s="7"/>
      <c r="K956" s="7"/>
      <c r="L956" s="7"/>
      <c r="M956" s="7"/>
      <c r="N956" s="7"/>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c r="A957" s="112"/>
      <c r="B957" s="7" t="str">
        <f>IFERROR(__xludf.DUMMYFUNCTION("IF(A957="""","""",SUM(FILTER(#REF!,YEAR(FinishedData!$A:$A)=YEAR($A957),MONTH(FinishedData!$A:$A)=MONTH($A957),FinishedData!$B:$B=""Game"")))"),"")</f>
        <v/>
      </c>
      <c r="C957" s="7"/>
      <c r="D957" s="7"/>
      <c r="E957" s="7"/>
      <c r="F957" s="7"/>
      <c r="G957" s="7"/>
      <c r="H957" s="7"/>
      <c r="I957" s="7"/>
      <c r="J957" s="7"/>
      <c r="K957" s="7"/>
      <c r="L957" s="7"/>
      <c r="M957" s="7"/>
      <c r="N957" s="7"/>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c r="A958" s="112"/>
      <c r="B958" s="7" t="str">
        <f>IFERROR(__xludf.DUMMYFUNCTION("IF(A958="""","""",SUM(FILTER(#REF!,YEAR(FinishedData!$A:$A)=YEAR($A958),MONTH(FinishedData!$A:$A)=MONTH($A958),FinishedData!$B:$B=""Game"")))"),"")</f>
        <v/>
      </c>
      <c r="C958" s="7"/>
      <c r="D958" s="7"/>
      <c r="E958" s="7"/>
      <c r="F958" s="7"/>
      <c r="G958" s="7"/>
      <c r="H958" s="7"/>
      <c r="I958" s="7"/>
      <c r="J958" s="7"/>
      <c r="K958" s="7"/>
      <c r="L958" s="7"/>
      <c r="M958" s="7"/>
      <c r="N958" s="7"/>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c r="A959" s="112"/>
      <c r="B959" s="7" t="str">
        <f>IFERROR(__xludf.DUMMYFUNCTION("IF(A959="""","""",SUM(FILTER(#REF!,YEAR(FinishedData!$A:$A)=YEAR($A959),MONTH(FinishedData!$A:$A)=MONTH($A959),FinishedData!$B:$B=""Game"")))"),"")</f>
        <v/>
      </c>
      <c r="C959" s="7"/>
      <c r="D959" s="7"/>
      <c r="E959" s="7"/>
      <c r="F959" s="7"/>
      <c r="G959" s="7"/>
      <c r="H959" s="7"/>
      <c r="I959" s="7"/>
      <c r="J959" s="7"/>
      <c r="K959" s="7"/>
      <c r="L959" s="7"/>
      <c r="M959" s="7"/>
      <c r="N959" s="7"/>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c r="A960" s="112"/>
      <c r="B960" s="7" t="str">
        <f>IFERROR(__xludf.DUMMYFUNCTION("IF(A960="""","""",SUM(FILTER(#REF!,YEAR(FinishedData!$A:$A)=YEAR($A960),MONTH(FinishedData!$A:$A)=MONTH($A960),FinishedData!$B:$B=""Game"")))"),"")</f>
        <v/>
      </c>
      <c r="C960" s="7"/>
      <c r="D960" s="7"/>
      <c r="E960" s="7"/>
      <c r="F960" s="7"/>
      <c r="G960" s="7"/>
      <c r="H960" s="7"/>
      <c r="I960" s="7"/>
      <c r="J960" s="7"/>
      <c r="K960" s="7"/>
      <c r="L960" s="7"/>
      <c r="M960" s="7"/>
      <c r="N960" s="7"/>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c r="A961" s="112"/>
      <c r="B961" s="7" t="str">
        <f>IFERROR(__xludf.DUMMYFUNCTION("IF(A961="""","""",SUM(FILTER(#REF!,YEAR(FinishedData!$A:$A)=YEAR($A961),MONTH(FinishedData!$A:$A)=MONTH($A961),FinishedData!$B:$B=""Game"")))"),"")</f>
        <v/>
      </c>
      <c r="C961" s="7"/>
      <c r="D961" s="7"/>
      <c r="E961" s="7"/>
      <c r="F961" s="7"/>
      <c r="G961" s="7"/>
      <c r="H961" s="7"/>
      <c r="I961" s="7"/>
      <c r="J961" s="7"/>
      <c r="K961" s="7"/>
      <c r="L961" s="7"/>
      <c r="M961" s="7"/>
      <c r="N961" s="7"/>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c r="A962" s="112"/>
      <c r="B962" s="7" t="str">
        <f>IFERROR(__xludf.DUMMYFUNCTION("IF(A962="""","""",SUM(FILTER(#REF!,YEAR(FinishedData!$A:$A)=YEAR($A962),MONTH(FinishedData!$A:$A)=MONTH($A962),FinishedData!$B:$B=""Game"")))"),"")</f>
        <v/>
      </c>
      <c r="C962" s="7"/>
      <c r="D962" s="7"/>
      <c r="E962" s="7"/>
      <c r="F962" s="7"/>
      <c r="G962" s="7"/>
      <c r="H962" s="7"/>
      <c r="I962" s="7"/>
      <c r="J962" s="7"/>
      <c r="K962" s="7"/>
      <c r="L962" s="7"/>
      <c r="M962" s="7"/>
      <c r="N962" s="7"/>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c r="A963" s="112"/>
      <c r="B963" s="7" t="str">
        <f>IFERROR(__xludf.DUMMYFUNCTION("IF(A963="""","""",SUM(FILTER(#REF!,YEAR(FinishedData!$A:$A)=YEAR($A963),MONTH(FinishedData!$A:$A)=MONTH($A963),FinishedData!$B:$B=""Game"")))"),"")</f>
        <v/>
      </c>
      <c r="C963" s="7"/>
      <c r="D963" s="7"/>
      <c r="E963" s="7"/>
      <c r="F963" s="7"/>
      <c r="G963" s="7"/>
      <c r="H963" s="7"/>
      <c r="I963" s="7"/>
      <c r="J963" s="7"/>
      <c r="K963" s="7"/>
      <c r="L963" s="7"/>
      <c r="M963" s="7"/>
      <c r="N963" s="7"/>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c r="A964" s="112"/>
      <c r="B964" s="7" t="str">
        <f>IFERROR(__xludf.DUMMYFUNCTION("IF(A964="""","""",SUM(FILTER(#REF!,YEAR(FinishedData!$A:$A)=YEAR($A964),MONTH(FinishedData!$A:$A)=MONTH($A964),FinishedData!$B:$B=""Game"")))"),"")</f>
        <v/>
      </c>
      <c r="C964" s="7"/>
      <c r="D964" s="7"/>
      <c r="E964" s="7"/>
      <c r="F964" s="7"/>
      <c r="G964" s="7"/>
      <c r="H964" s="7"/>
      <c r="I964" s="7"/>
      <c r="J964" s="7"/>
      <c r="K964" s="7"/>
      <c r="L964" s="7"/>
      <c r="M964" s="7"/>
      <c r="N964" s="7"/>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c r="A965" s="112"/>
      <c r="B965" s="7" t="str">
        <f>IFERROR(__xludf.DUMMYFUNCTION("IF(A965="""","""",SUM(FILTER(#REF!,YEAR(FinishedData!$A:$A)=YEAR($A965),MONTH(FinishedData!$A:$A)=MONTH($A965),FinishedData!$B:$B=""Game"")))"),"")</f>
        <v/>
      </c>
      <c r="C965" s="7"/>
      <c r="D965" s="7"/>
      <c r="E965" s="7"/>
      <c r="F965" s="7"/>
      <c r="G965" s="7"/>
      <c r="H965" s="7"/>
      <c r="I965" s="7"/>
      <c r="J965" s="7"/>
      <c r="K965" s="7"/>
      <c r="L965" s="7"/>
      <c r="M965" s="7"/>
      <c r="N965" s="7"/>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c r="A966" s="112"/>
      <c r="B966" s="7" t="str">
        <f>IFERROR(__xludf.DUMMYFUNCTION("IF(A966="""","""",SUM(FILTER(#REF!,YEAR(FinishedData!$A:$A)=YEAR($A966),MONTH(FinishedData!$A:$A)=MONTH($A966),FinishedData!$B:$B=""Game"")))"),"")</f>
        <v/>
      </c>
      <c r="C966" s="7"/>
      <c r="D966" s="7"/>
      <c r="E966" s="7"/>
      <c r="F966" s="7"/>
      <c r="G966" s="7"/>
      <c r="H966" s="7"/>
      <c r="I966" s="7"/>
      <c r="J966" s="7"/>
      <c r="K966" s="7"/>
      <c r="L966" s="7"/>
      <c r="M966" s="7"/>
      <c r="N966" s="7"/>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c r="A967" s="112"/>
      <c r="B967" s="7" t="str">
        <f>IFERROR(__xludf.DUMMYFUNCTION("IF(A967="""","""",SUM(FILTER(#REF!,YEAR(FinishedData!$A:$A)=YEAR($A967),MONTH(FinishedData!$A:$A)=MONTH($A967),FinishedData!$B:$B=""Game"")))"),"")</f>
        <v/>
      </c>
      <c r="C967" s="7"/>
      <c r="D967" s="7"/>
      <c r="E967" s="7"/>
      <c r="F967" s="7"/>
      <c r="G967" s="7"/>
      <c r="H967" s="7"/>
      <c r="I967" s="7"/>
      <c r="J967" s="7"/>
      <c r="K967" s="7"/>
      <c r="L967" s="7"/>
      <c r="M967" s="7"/>
      <c r="N967" s="7"/>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c r="A968" s="112"/>
      <c r="B968" s="7" t="str">
        <f>IFERROR(__xludf.DUMMYFUNCTION("IF(A968="""","""",SUM(FILTER(#REF!,YEAR(FinishedData!$A:$A)=YEAR($A968),MONTH(FinishedData!$A:$A)=MONTH($A968),FinishedData!$B:$B=""Game"")))"),"")</f>
        <v/>
      </c>
      <c r="C968" s="7"/>
      <c r="D968" s="7"/>
      <c r="E968" s="7"/>
      <c r="F968" s="7"/>
      <c r="G968" s="7"/>
      <c r="H968" s="7"/>
      <c r="I968" s="7"/>
      <c r="J968" s="7"/>
      <c r="K968" s="7"/>
      <c r="L968" s="7"/>
      <c r="M968" s="7"/>
      <c r="N968" s="7"/>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c r="A969" s="112"/>
      <c r="B969" s="7" t="str">
        <f>IFERROR(__xludf.DUMMYFUNCTION("IF(A969="""","""",SUM(FILTER(#REF!,YEAR(FinishedData!$A:$A)=YEAR($A969),MONTH(FinishedData!$A:$A)=MONTH($A969),FinishedData!$B:$B=""Game"")))"),"")</f>
        <v/>
      </c>
      <c r="C969" s="7"/>
      <c r="D969" s="7"/>
      <c r="E969" s="7"/>
      <c r="F969" s="7"/>
      <c r="G969" s="7"/>
      <c r="H969" s="7"/>
      <c r="I969" s="7"/>
      <c r="J969" s="7"/>
      <c r="K969" s="7"/>
      <c r="L969" s="7"/>
      <c r="M969" s="7"/>
      <c r="N969" s="7"/>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c r="A970" s="112"/>
      <c r="B970" s="7" t="str">
        <f>IFERROR(__xludf.DUMMYFUNCTION("IF(A970="""","""",SUM(FILTER(#REF!,YEAR(FinishedData!$A:$A)=YEAR($A970),MONTH(FinishedData!$A:$A)=MONTH($A970),FinishedData!$B:$B=""Game"")))"),"")</f>
        <v/>
      </c>
      <c r="C970" s="7"/>
      <c r="D970" s="7"/>
      <c r="E970" s="7"/>
      <c r="F970" s="7"/>
      <c r="G970" s="7"/>
      <c r="H970" s="7"/>
      <c r="I970" s="7"/>
      <c r="J970" s="7"/>
      <c r="K970" s="7"/>
      <c r="L970" s="7"/>
      <c r="M970" s="7"/>
      <c r="N970" s="7"/>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c r="A971" s="112"/>
      <c r="B971" s="7" t="str">
        <f>IFERROR(__xludf.DUMMYFUNCTION("IF(A971="""","""",SUM(FILTER(#REF!,YEAR(FinishedData!$A:$A)=YEAR($A971),MONTH(FinishedData!$A:$A)=MONTH($A971),FinishedData!$B:$B=""Game"")))"),"")</f>
        <v/>
      </c>
      <c r="C971" s="7"/>
      <c r="D971" s="7"/>
      <c r="E971" s="7"/>
      <c r="F971" s="7"/>
      <c r="G971" s="7"/>
      <c r="H971" s="7"/>
      <c r="I971" s="7"/>
      <c r="J971" s="7"/>
      <c r="K971" s="7"/>
      <c r="L971" s="7"/>
      <c r="M971" s="7"/>
      <c r="N971" s="7"/>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c r="A972" s="112"/>
      <c r="B972" s="7" t="str">
        <f>IFERROR(__xludf.DUMMYFUNCTION("IF(A972="""","""",SUM(FILTER(#REF!,YEAR(FinishedData!$A:$A)=YEAR($A972),MONTH(FinishedData!$A:$A)=MONTH($A972),FinishedData!$B:$B=""Game"")))"),"")</f>
        <v/>
      </c>
      <c r="C972" s="7"/>
      <c r="D972" s="7"/>
      <c r="E972" s="7"/>
      <c r="F972" s="7"/>
      <c r="G972" s="7"/>
      <c r="H972" s="7"/>
      <c r="I972" s="7"/>
      <c r="J972" s="7"/>
      <c r="K972" s="7"/>
      <c r="L972" s="7"/>
      <c r="M972" s="7"/>
      <c r="N972" s="7"/>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c r="A973" s="112"/>
      <c r="B973" s="7" t="str">
        <f>IFERROR(__xludf.DUMMYFUNCTION("IF(A973="""","""",SUM(FILTER(#REF!,YEAR(FinishedData!$A:$A)=YEAR($A973),MONTH(FinishedData!$A:$A)=MONTH($A973),FinishedData!$B:$B=""Game"")))"),"")</f>
        <v/>
      </c>
      <c r="C973" s="7"/>
      <c r="D973" s="7"/>
      <c r="E973" s="7"/>
      <c r="F973" s="7"/>
      <c r="G973" s="7"/>
      <c r="H973" s="7"/>
      <c r="I973" s="7"/>
      <c r="J973" s="7"/>
      <c r="K973" s="7"/>
      <c r="L973" s="7"/>
      <c r="M973" s="7"/>
      <c r="N973" s="7"/>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c r="A974" s="112"/>
      <c r="B974" s="7" t="str">
        <f>IFERROR(__xludf.DUMMYFUNCTION("IF(A974="""","""",SUM(FILTER(#REF!,YEAR(FinishedData!$A:$A)=YEAR($A974),MONTH(FinishedData!$A:$A)=MONTH($A974),FinishedData!$B:$B=""Game"")))"),"")</f>
        <v/>
      </c>
      <c r="C974" s="7"/>
      <c r="D974" s="7"/>
      <c r="E974" s="7"/>
      <c r="F974" s="7"/>
      <c r="G974" s="7"/>
      <c r="H974" s="7"/>
      <c r="I974" s="7"/>
      <c r="J974" s="7"/>
      <c r="K974" s="7"/>
      <c r="L974" s="7"/>
      <c r="M974" s="7"/>
      <c r="N974" s="7"/>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c r="A975" s="112"/>
      <c r="B975" s="7" t="str">
        <f>IFERROR(__xludf.DUMMYFUNCTION("IF(A975="""","""",SUM(FILTER(#REF!,YEAR(FinishedData!$A:$A)=YEAR($A975),MONTH(FinishedData!$A:$A)=MONTH($A975),FinishedData!$B:$B=""Game"")))"),"")</f>
        <v/>
      </c>
      <c r="C975" s="7"/>
      <c r="D975" s="7"/>
      <c r="E975" s="7"/>
      <c r="F975" s="7"/>
      <c r="G975" s="7"/>
      <c r="H975" s="7"/>
      <c r="I975" s="7"/>
      <c r="J975" s="7"/>
      <c r="K975" s="7"/>
      <c r="L975" s="7"/>
      <c r="M975" s="7"/>
      <c r="N975" s="7"/>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c r="A976" s="112"/>
      <c r="B976" s="7" t="str">
        <f>IFERROR(__xludf.DUMMYFUNCTION("IF(A976="""","""",SUM(FILTER(#REF!,YEAR(FinishedData!$A:$A)=YEAR($A976),MONTH(FinishedData!$A:$A)=MONTH($A976),FinishedData!$B:$B=""Game"")))"),"")</f>
        <v/>
      </c>
      <c r="C976" s="7"/>
      <c r="D976" s="7"/>
      <c r="E976" s="7"/>
      <c r="F976" s="7"/>
      <c r="G976" s="7"/>
      <c r="H976" s="7"/>
      <c r="I976" s="7"/>
      <c r="J976" s="7"/>
      <c r="K976" s="7"/>
      <c r="L976" s="7"/>
      <c r="M976" s="7"/>
      <c r="N976" s="7"/>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c r="A977" s="112"/>
      <c r="B977" s="7" t="str">
        <f>IFERROR(__xludf.DUMMYFUNCTION("IF(A977="""","""",SUM(FILTER(#REF!,YEAR(FinishedData!$A:$A)=YEAR($A977),MONTH(FinishedData!$A:$A)=MONTH($A977),FinishedData!$B:$B=""Game"")))"),"")</f>
        <v/>
      </c>
      <c r="C977" s="7"/>
      <c r="D977" s="7"/>
      <c r="E977" s="7"/>
      <c r="F977" s="7"/>
      <c r="G977" s="7"/>
      <c r="H977" s="7"/>
      <c r="I977" s="7"/>
      <c r="J977" s="7"/>
      <c r="K977" s="7"/>
      <c r="L977" s="7"/>
      <c r="M977" s="7"/>
      <c r="N977" s="7"/>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c r="A978" s="112"/>
      <c r="B978" s="7" t="str">
        <f>IFERROR(__xludf.DUMMYFUNCTION("IF(A978="""","""",SUM(FILTER(#REF!,YEAR(FinishedData!$A:$A)=YEAR($A978),MONTH(FinishedData!$A:$A)=MONTH($A978),FinishedData!$B:$B=""Game"")))"),"")</f>
        <v/>
      </c>
      <c r="C978" s="7"/>
      <c r="D978" s="7"/>
      <c r="E978" s="7"/>
      <c r="F978" s="7"/>
      <c r="G978" s="7"/>
      <c r="H978" s="7"/>
      <c r="I978" s="7"/>
      <c r="J978" s="7"/>
      <c r="K978" s="7"/>
      <c r="L978" s="7"/>
      <c r="M978" s="7"/>
      <c r="N978" s="7"/>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c r="A979" s="112"/>
      <c r="B979" s="7" t="str">
        <f>IFERROR(__xludf.DUMMYFUNCTION("IF(A979="""","""",SUM(FILTER(#REF!,YEAR(FinishedData!$A:$A)=YEAR($A979),MONTH(FinishedData!$A:$A)=MONTH($A979),FinishedData!$B:$B=""Game"")))"),"")</f>
        <v/>
      </c>
      <c r="C979" s="7"/>
      <c r="D979" s="7"/>
      <c r="E979" s="7"/>
      <c r="F979" s="7"/>
      <c r="G979" s="7"/>
      <c r="H979" s="7"/>
      <c r="I979" s="7"/>
      <c r="J979" s="7"/>
      <c r="K979" s="7"/>
      <c r="L979" s="7"/>
      <c r="M979" s="7"/>
      <c r="N979" s="7"/>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c r="A980" s="112"/>
      <c r="B980" s="7" t="str">
        <f>IFERROR(__xludf.DUMMYFUNCTION("IF(A980="""","""",SUM(FILTER(#REF!,YEAR(FinishedData!$A:$A)=YEAR($A980),MONTH(FinishedData!$A:$A)=MONTH($A980),FinishedData!$B:$B=""Game"")))"),"")</f>
        <v/>
      </c>
      <c r="C980" s="7"/>
      <c r="D980" s="7"/>
      <c r="E980" s="7"/>
      <c r="F980" s="7"/>
      <c r="G980" s="7"/>
      <c r="H980" s="7"/>
      <c r="I980" s="7"/>
      <c r="J980" s="7"/>
      <c r="K980" s="7"/>
      <c r="L980" s="7"/>
      <c r="M980" s="7"/>
      <c r="N980" s="7"/>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c r="A981" s="112"/>
      <c r="B981" s="7" t="str">
        <f>IFERROR(__xludf.DUMMYFUNCTION("IF(A981="""","""",SUM(FILTER(#REF!,YEAR(FinishedData!$A:$A)=YEAR($A981),MONTH(FinishedData!$A:$A)=MONTH($A981),FinishedData!$B:$B=""Game"")))"),"")</f>
        <v/>
      </c>
      <c r="C981" s="7"/>
      <c r="D981" s="7"/>
      <c r="E981" s="7"/>
      <c r="F981" s="7"/>
      <c r="G981" s="7"/>
      <c r="H981" s="7"/>
      <c r="I981" s="7"/>
      <c r="J981" s="7"/>
      <c r="K981" s="7"/>
      <c r="L981" s="7"/>
      <c r="M981" s="7"/>
      <c r="N981" s="7"/>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c r="A982" s="112"/>
      <c r="B982" s="7" t="str">
        <f>IFERROR(__xludf.DUMMYFUNCTION("IF(A982="""","""",SUM(FILTER(#REF!,YEAR(FinishedData!$A:$A)=YEAR($A982),MONTH(FinishedData!$A:$A)=MONTH($A982),FinishedData!$B:$B=""Game"")))"),"")</f>
        <v/>
      </c>
      <c r="C982" s="7"/>
      <c r="D982" s="7"/>
      <c r="E982" s="7"/>
      <c r="F982" s="7"/>
      <c r="G982" s="7"/>
      <c r="H982" s="7"/>
      <c r="I982" s="7"/>
      <c r="J982" s="7"/>
      <c r="K982" s="7"/>
      <c r="L982" s="7"/>
      <c r="M982" s="7"/>
      <c r="N982" s="7"/>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c r="A983" s="112"/>
      <c r="B983" s="7" t="str">
        <f>IFERROR(__xludf.DUMMYFUNCTION("IF(A983="""","""",SUM(FILTER(#REF!,YEAR(FinishedData!$A:$A)=YEAR($A983),MONTH(FinishedData!$A:$A)=MONTH($A983),FinishedData!$B:$B=""Game"")))"),"")</f>
        <v/>
      </c>
      <c r="C983" s="7"/>
      <c r="D983" s="7"/>
      <c r="E983" s="7"/>
      <c r="F983" s="7"/>
      <c r="G983" s="7"/>
      <c r="H983" s="7"/>
      <c r="I983" s="7"/>
      <c r="J983" s="7"/>
      <c r="K983" s="7"/>
      <c r="L983" s="7"/>
      <c r="M983" s="7"/>
      <c r="N983" s="7"/>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c r="A984" s="112"/>
      <c r="B984" s="7" t="str">
        <f>IFERROR(__xludf.DUMMYFUNCTION("IF(A984="""","""",SUM(FILTER(#REF!,YEAR(FinishedData!$A:$A)=YEAR($A984),MONTH(FinishedData!$A:$A)=MONTH($A984),FinishedData!$B:$B=""Game"")))"),"")</f>
        <v/>
      </c>
      <c r="C984" s="7"/>
      <c r="D984" s="7"/>
      <c r="E984" s="7"/>
      <c r="F984" s="7"/>
      <c r="G984" s="7"/>
      <c r="H984" s="7"/>
      <c r="I984" s="7"/>
      <c r="J984" s="7"/>
      <c r="K984" s="7"/>
      <c r="L984" s="7"/>
      <c r="M984" s="7"/>
      <c r="N984" s="7"/>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c r="A985" s="112"/>
      <c r="B985" s="7" t="str">
        <f>IFERROR(__xludf.DUMMYFUNCTION("IF(A985="""","""",SUM(FILTER(#REF!,YEAR(FinishedData!$A:$A)=YEAR($A985),MONTH(FinishedData!$A:$A)=MONTH($A985),FinishedData!$B:$B=""Game"")))"),"")</f>
        <v/>
      </c>
      <c r="C985" s="7"/>
      <c r="D985" s="7"/>
      <c r="E985" s="7"/>
      <c r="F985" s="7"/>
      <c r="G985" s="7"/>
      <c r="H985" s="7"/>
      <c r="I985" s="7"/>
      <c r="J985" s="7"/>
      <c r="K985" s="7"/>
      <c r="L985" s="7"/>
      <c r="M985" s="7"/>
      <c r="N985" s="7"/>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c r="A986" s="112"/>
      <c r="B986" s="7" t="str">
        <f>IFERROR(__xludf.DUMMYFUNCTION("IF(A986="""","""",SUM(FILTER(#REF!,YEAR(FinishedData!$A:$A)=YEAR($A986),MONTH(FinishedData!$A:$A)=MONTH($A986),FinishedData!$B:$B=""Game"")))"),"")</f>
        <v/>
      </c>
      <c r="C986" s="7"/>
      <c r="D986" s="7"/>
      <c r="E986" s="7"/>
      <c r="F986" s="7"/>
      <c r="G986" s="7"/>
      <c r="H986" s="7"/>
      <c r="I986" s="7"/>
      <c r="J986" s="7"/>
      <c r="K986" s="7"/>
      <c r="L986" s="7"/>
      <c r="M986" s="7"/>
      <c r="N986" s="7"/>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c r="A987" s="112"/>
      <c r="B987" s="7" t="str">
        <f>IFERROR(__xludf.DUMMYFUNCTION("IF(A987="""","""",SUM(FILTER(#REF!,YEAR(FinishedData!$A:$A)=YEAR($A987),MONTH(FinishedData!$A:$A)=MONTH($A987),FinishedData!$B:$B=""Game"")))"),"")</f>
        <v/>
      </c>
      <c r="C987" s="7"/>
      <c r="D987" s="7"/>
      <c r="E987" s="7"/>
      <c r="F987" s="7"/>
      <c r="G987" s="7"/>
      <c r="H987" s="7"/>
      <c r="I987" s="7"/>
      <c r="J987" s="7"/>
      <c r="K987" s="7"/>
      <c r="L987" s="7"/>
      <c r="M987" s="7"/>
      <c r="N987" s="7"/>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c r="A988" s="112"/>
      <c r="B988" s="7" t="str">
        <f>IFERROR(__xludf.DUMMYFUNCTION("IF(A988="""","""",SUM(FILTER(#REF!,YEAR(FinishedData!$A:$A)=YEAR($A988),MONTH(FinishedData!$A:$A)=MONTH($A988),FinishedData!$B:$B=""Game"")))"),"")</f>
        <v/>
      </c>
      <c r="C988" s="7"/>
      <c r="D988" s="7"/>
      <c r="E988" s="7"/>
      <c r="F988" s="7"/>
      <c r="G988" s="7"/>
      <c r="H988" s="7"/>
      <c r="I988" s="7"/>
      <c r="J988" s="7"/>
      <c r="K988" s="7"/>
      <c r="L988" s="7"/>
      <c r="M988" s="7"/>
      <c r="N988" s="7"/>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c r="A989" s="112"/>
      <c r="B989" s="7" t="str">
        <f>IFERROR(__xludf.DUMMYFUNCTION("IF(A989="""","""",SUM(FILTER(#REF!,YEAR(FinishedData!$A:$A)=YEAR($A989),MONTH(FinishedData!$A:$A)=MONTH($A989),FinishedData!$B:$B=""Game"")))"),"")</f>
        <v/>
      </c>
      <c r="C989" s="7"/>
      <c r="D989" s="7"/>
      <c r="E989" s="7"/>
      <c r="F989" s="7"/>
      <c r="G989" s="7"/>
      <c r="H989" s="7"/>
      <c r="I989" s="7"/>
      <c r="J989" s="7"/>
      <c r="K989" s="7"/>
      <c r="L989" s="7"/>
      <c r="M989" s="7"/>
      <c r="N989" s="7"/>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c r="A990" s="112"/>
      <c r="B990" s="7" t="str">
        <f>IFERROR(__xludf.DUMMYFUNCTION("IF(A990="""","""",SUM(FILTER(#REF!,YEAR(FinishedData!$A:$A)=YEAR($A990),MONTH(FinishedData!$A:$A)=MONTH($A990),FinishedData!$B:$B=""Game"")))"),"")</f>
        <v/>
      </c>
      <c r="C990" s="7"/>
      <c r="D990" s="7"/>
      <c r="E990" s="7"/>
      <c r="F990" s="7"/>
      <c r="G990" s="7"/>
      <c r="H990" s="7"/>
      <c r="I990" s="7"/>
      <c r="J990" s="7"/>
      <c r="K990" s="7"/>
      <c r="L990" s="7"/>
      <c r="M990" s="7"/>
      <c r="N990" s="7"/>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c r="A991" s="112"/>
      <c r="B991" s="7" t="str">
        <f>IFERROR(__xludf.DUMMYFUNCTION("IF(A991="""","""",SUM(FILTER(#REF!,YEAR(FinishedData!$A:$A)=YEAR($A991),MONTH(FinishedData!$A:$A)=MONTH($A991),FinishedData!$B:$B=""Game"")))"),"")</f>
        <v/>
      </c>
      <c r="C991" s="7"/>
      <c r="D991" s="7"/>
      <c r="E991" s="7"/>
      <c r="F991" s="7"/>
      <c r="G991" s="7"/>
      <c r="H991" s="7"/>
      <c r="I991" s="7"/>
      <c r="J991" s="7"/>
      <c r="K991" s="7"/>
      <c r="L991" s="7"/>
      <c r="M991" s="7"/>
      <c r="N991" s="7"/>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c r="A992" s="112"/>
      <c r="B992" s="7" t="str">
        <f>IFERROR(__xludf.DUMMYFUNCTION("IF(A992="""","""",SUM(FILTER(#REF!,YEAR(FinishedData!$A:$A)=YEAR($A992),MONTH(FinishedData!$A:$A)=MONTH($A992),FinishedData!$B:$B=""Game"")))"),"")</f>
        <v/>
      </c>
      <c r="C992" s="7"/>
      <c r="D992" s="7"/>
      <c r="E992" s="7"/>
      <c r="F992" s="7"/>
      <c r="G992" s="7"/>
      <c r="H992" s="7"/>
      <c r="I992" s="7"/>
      <c r="J992" s="7"/>
      <c r="K992" s="7"/>
      <c r="L992" s="7"/>
      <c r="M992" s="7"/>
      <c r="N992" s="7"/>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c r="A993" s="112"/>
      <c r="B993" s="7" t="str">
        <f>IFERROR(__xludf.DUMMYFUNCTION("IF(A993="""","""",SUM(FILTER(#REF!,YEAR(FinishedData!$A:$A)=YEAR($A993),MONTH(FinishedData!$A:$A)=MONTH($A993),FinishedData!$B:$B=""Game"")))"),"")</f>
        <v/>
      </c>
      <c r="C993" s="7"/>
      <c r="D993" s="7"/>
      <c r="E993" s="7"/>
      <c r="F993" s="7"/>
      <c r="G993" s="7"/>
      <c r="H993" s="7"/>
      <c r="I993" s="7"/>
      <c r="J993" s="7"/>
      <c r="K993" s="7"/>
      <c r="L993" s="7"/>
      <c r="M993" s="7"/>
      <c r="N993" s="7"/>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c r="A994" s="112"/>
      <c r="B994" s="7" t="str">
        <f>IFERROR(__xludf.DUMMYFUNCTION("IF(A994="""","""",SUM(FILTER(#REF!,YEAR(FinishedData!$A:$A)=YEAR($A994),MONTH(FinishedData!$A:$A)=MONTH($A994),FinishedData!$B:$B=""Game"")))"),"")</f>
        <v/>
      </c>
      <c r="C994" s="7"/>
      <c r="D994" s="7"/>
      <c r="E994" s="7"/>
      <c r="F994" s="7"/>
      <c r="G994" s="7"/>
      <c r="H994" s="7"/>
      <c r="I994" s="7"/>
      <c r="J994" s="7"/>
      <c r="K994" s="7"/>
      <c r="L994" s="7"/>
      <c r="M994" s="7"/>
      <c r="N994" s="7"/>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c r="A995" s="112"/>
      <c r="B995" s="7" t="str">
        <f>IFERROR(__xludf.DUMMYFUNCTION("IF(A995="""","""",SUM(FILTER(#REF!,YEAR(FinishedData!$A:$A)=YEAR($A995),MONTH(FinishedData!$A:$A)=MONTH($A995),FinishedData!$B:$B=""Game"")))"),"")</f>
        <v/>
      </c>
      <c r="C995" s="7"/>
      <c r="D995" s="7"/>
      <c r="E995" s="7"/>
      <c r="F995" s="7"/>
      <c r="G995" s="7"/>
      <c r="H995" s="7"/>
      <c r="I995" s="7"/>
      <c r="J995" s="7"/>
      <c r="K995" s="7"/>
      <c r="L995" s="7"/>
      <c r="M995" s="7"/>
      <c r="N995" s="7"/>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c r="A996" s="112"/>
      <c r="B996" s="7" t="str">
        <f>IFERROR(__xludf.DUMMYFUNCTION("IF(A996="""","""",SUM(FILTER(#REF!,YEAR(FinishedData!$A:$A)=YEAR($A996),MONTH(FinishedData!$A:$A)=MONTH($A996),FinishedData!$B:$B=""Game"")))"),"")</f>
        <v/>
      </c>
      <c r="C996" s="7"/>
      <c r="D996" s="7"/>
      <c r="E996" s="7"/>
      <c r="F996" s="7"/>
      <c r="G996" s="7"/>
      <c r="H996" s="7"/>
      <c r="I996" s="7"/>
      <c r="J996" s="7"/>
      <c r="K996" s="7"/>
      <c r="L996" s="7"/>
      <c r="M996" s="7"/>
      <c r="N996" s="7"/>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c r="A997" s="112"/>
      <c r="B997" s="7" t="str">
        <f>IFERROR(__xludf.DUMMYFUNCTION("IF(A997="""","""",SUM(FILTER(#REF!,YEAR(FinishedData!$A:$A)=YEAR($A997),MONTH(FinishedData!$A:$A)=MONTH($A997),FinishedData!$B:$B=""Game"")))"),"")</f>
        <v/>
      </c>
      <c r="C997" s="7"/>
      <c r="D997" s="7"/>
      <c r="E997" s="7"/>
      <c r="F997" s="7"/>
      <c r="G997" s="7"/>
      <c r="H997" s="7"/>
      <c r="I997" s="7"/>
      <c r="J997" s="7"/>
      <c r="K997" s="7"/>
      <c r="L997" s="7"/>
      <c r="M997" s="7"/>
      <c r="N997" s="7"/>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c r="A998" s="112"/>
      <c r="B998" s="7" t="str">
        <f>IFERROR(__xludf.DUMMYFUNCTION("IF(A998="""","""",SUM(FILTER(#REF!,YEAR(FinishedData!$A:$A)=YEAR($A998),MONTH(FinishedData!$A:$A)=MONTH($A998),FinishedData!$B:$B=""Game"")))"),"")</f>
        <v/>
      </c>
      <c r="C998" s="7"/>
      <c r="D998" s="7"/>
      <c r="E998" s="7"/>
      <c r="F998" s="7"/>
      <c r="G998" s="7"/>
      <c r="H998" s="7"/>
      <c r="I998" s="7"/>
      <c r="J998" s="7"/>
      <c r="K998" s="7"/>
      <c r="L998" s="7"/>
      <c r="M998" s="7"/>
      <c r="N998" s="7"/>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c r="A999" s="112"/>
      <c r="B999" s="7" t="str">
        <f>IFERROR(__xludf.DUMMYFUNCTION("IF(A999="""","""",SUM(FILTER(#REF!,YEAR(FinishedData!$A:$A)=YEAR($A999),MONTH(FinishedData!$A:$A)=MONTH($A999),FinishedData!$B:$B=""Game"")))"),"")</f>
        <v/>
      </c>
      <c r="C999" s="7"/>
      <c r="D999" s="7"/>
      <c r="E999" s="7"/>
      <c r="F999" s="7"/>
      <c r="G999" s="7"/>
      <c r="H999" s="7"/>
      <c r="I999" s="7"/>
      <c r="J999" s="7"/>
      <c r="K999" s="7"/>
      <c r="L999" s="7"/>
      <c r="M999" s="7"/>
      <c r="N999" s="7"/>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c r="A1000" s="112"/>
      <c r="B1000" s="7" t="str">
        <f>IFERROR(__xludf.DUMMYFUNCTION("IF(A1000="""","""",SUM(FILTER(#REF!,YEAR(FinishedData!$A:$A)=YEAR($A1000),MONTH(FinishedData!$A:$A)=MONTH($A1000),FinishedData!$B:$B=""Game"")))"),"")</f>
        <v/>
      </c>
      <c r="C1000" s="7"/>
      <c r="D1000" s="7"/>
      <c r="E1000" s="7"/>
      <c r="F1000" s="7"/>
      <c r="G1000" s="7"/>
      <c r="H1000" s="7"/>
      <c r="I1000" s="7"/>
      <c r="J1000" s="7"/>
      <c r="K1000" s="7"/>
      <c r="L1000" s="7"/>
      <c r="M1000" s="7"/>
      <c r="N1000" s="7"/>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row r="1001">
      <c r="A1001" s="112"/>
      <c r="B1001" s="7" t="str">
        <f>IFERROR(__xludf.DUMMYFUNCTION("IF(A1001="""","""",SUM(FILTER(#REF!,YEAR(FinishedData!$A:$A)=YEAR($A1001),MONTH(FinishedData!$A:$A)=MONTH($A1001),FinishedData!$B:$B=""Game"")))"),"")</f>
        <v/>
      </c>
      <c r="C1001" s="7"/>
      <c r="D1001" s="7"/>
      <c r="E1001" s="7"/>
      <c r="F1001" s="7"/>
      <c r="G1001" s="7"/>
      <c r="H1001" s="7"/>
      <c r="I1001" s="7"/>
      <c r="J1001" s="7"/>
      <c r="K1001" s="7"/>
      <c r="L1001" s="7"/>
      <c r="M1001" s="7"/>
      <c r="N1001" s="7"/>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row>
    <row r="1002">
      <c r="A1002" s="112"/>
      <c r="B1002" s="7" t="str">
        <f>IFERROR(__xludf.DUMMYFUNCTION("IF(A1002="""","""",SUM(FILTER(#REF!,YEAR(FinishedData!$A:$A)=YEAR($A1002),MONTH(FinishedData!$A:$A)=MONTH($A1002),FinishedData!$B:$B=""Game"")))"),"")</f>
        <v/>
      </c>
      <c r="C1002" s="7"/>
      <c r="D1002" s="7"/>
      <c r="E1002" s="7"/>
      <c r="F1002" s="7"/>
      <c r="G1002" s="7"/>
      <c r="H1002" s="7"/>
      <c r="I1002" s="7"/>
      <c r="J1002" s="7"/>
      <c r="K1002" s="7"/>
      <c r="L1002" s="7"/>
      <c r="M1002" s="7"/>
      <c r="N1002" s="7"/>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row>
    <row r="1003">
      <c r="A1003" s="112"/>
      <c r="B1003" s="7" t="str">
        <f>IFERROR(__xludf.DUMMYFUNCTION("IF(A1003="""","""",SUM(FILTER(#REF!,YEAR(FinishedData!$A:$A)=YEAR($A1003),MONTH(FinishedData!$A:$A)=MONTH($A1003),FinishedData!$B:$B=""Game"")))"),"")</f>
        <v/>
      </c>
      <c r="C1003" s="7"/>
      <c r="D1003" s="7"/>
      <c r="E1003" s="7"/>
      <c r="F1003" s="7"/>
      <c r="G1003" s="7"/>
      <c r="H1003" s="7"/>
      <c r="I1003" s="7"/>
      <c r="J1003" s="7"/>
      <c r="K1003" s="7"/>
      <c r="L1003" s="7"/>
      <c r="M1003" s="7"/>
      <c r="N1003" s="7"/>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row>
    <row r="1004">
      <c r="A1004" s="112"/>
      <c r="B1004" s="7" t="str">
        <f>IFERROR(__xludf.DUMMYFUNCTION("IF(A1004="""","""",SUM(FILTER(#REF!,YEAR(FinishedData!$A:$A)=YEAR($A1004),MONTH(FinishedData!$A:$A)=MONTH($A1004),FinishedData!$B:$B=""Game"")))"),"")</f>
        <v/>
      </c>
      <c r="C1004" s="7"/>
      <c r="D1004" s="7"/>
      <c r="E1004" s="7"/>
      <c r="F1004" s="7"/>
      <c r="G1004" s="7"/>
      <c r="H1004" s="7"/>
      <c r="I1004" s="7"/>
      <c r="J1004" s="7"/>
      <c r="K1004" s="7"/>
      <c r="L1004" s="7"/>
      <c r="M1004" s="7"/>
      <c r="N1004" s="7"/>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row>
    <row r="1005">
      <c r="A1005" s="112"/>
      <c r="B1005" s="7" t="str">
        <f>IFERROR(__xludf.DUMMYFUNCTION("IF(A1005="""","""",SUM(FILTER(#REF!,YEAR(FinishedData!$A:$A)=YEAR($A1005),MONTH(FinishedData!$A:$A)=MONTH($A1005),FinishedData!$B:$B=""Game"")))"),"")</f>
        <v/>
      </c>
      <c r="C1005" s="7"/>
      <c r="D1005" s="7"/>
      <c r="E1005" s="7"/>
      <c r="F1005" s="7"/>
      <c r="G1005" s="7"/>
      <c r="H1005" s="7"/>
      <c r="I1005" s="7"/>
      <c r="J1005" s="7"/>
      <c r="K1005" s="7"/>
      <c r="L1005" s="7"/>
      <c r="M1005" s="7"/>
      <c r="N1005" s="7"/>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row>
    <row r="1006">
      <c r="A1006" s="112"/>
      <c r="B1006" s="7" t="str">
        <f>IFERROR(__xludf.DUMMYFUNCTION("IF(A1006="""","""",SUM(FILTER(#REF!,YEAR(FinishedData!$A:$A)=YEAR($A1006),MONTH(FinishedData!$A:$A)=MONTH($A1006),FinishedData!$B:$B=""Game"")))"),"")</f>
        <v/>
      </c>
      <c r="C1006" s="7"/>
      <c r="D1006" s="7"/>
      <c r="E1006" s="7"/>
      <c r="F1006" s="7"/>
      <c r="G1006" s="7"/>
      <c r="H1006" s="7"/>
      <c r="I1006" s="7"/>
      <c r="J1006" s="7"/>
      <c r="K1006" s="7"/>
      <c r="L1006" s="7"/>
      <c r="M1006" s="7"/>
      <c r="N1006" s="7"/>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row>
    <row r="1007">
      <c r="A1007" s="112"/>
      <c r="B1007" s="7" t="str">
        <f>IFERROR(__xludf.DUMMYFUNCTION("IF(A1007="""","""",SUM(FILTER(#REF!,YEAR(FinishedData!$A:$A)=YEAR($A1007),MONTH(FinishedData!$A:$A)=MONTH($A1007),FinishedData!$B:$B=""Game"")))"),"")</f>
        <v/>
      </c>
      <c r="C1007" s="7"/>
      <c r="D1007" s="7"/>
      <c r="E1007" s="7"/>
      <c r="F1007" s="7"/>
      <c r="G1007" s="7"/>
      <c r="H1007" s="7"/>
      <c r="I1007" s="7"/>
      <c r="J1007" s="7"/>
      <c r="K1007" s="7"/>
      <c r="L1007" s="7"/>
      <c r="M1007" s="7"/>
      <c r="N1007" s="7"/>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row>
    <row r="1008">
      <c r="A1008" s="112"/>
      <c r="B1008" s="7" t="str">
        <f>IFERROR(__xludf.DUMMYFUNCTION("IF(A1008="""","""",SUM(FILTER(#REF!,YEAR(FinishedData!$A:$A)=YEAR($A1008),MONTH(FinishedData!$A:$A)=MONTH($A1008),FinishedData!$B:$B=""Game"")))"),"")</f>
        <v/>
      </c>
      <c r="C1008" s="7"/>
      <c r="D1008" s="7"/>
      <c r="E1008" s="7"/>
      <c r="F1008" s="7"/>
      <c r="G1008" s="7"/>
      <c r="H1008" s="7"/>
      <c r="I1008" s="7"/>
      <c r="J1008" s="7"/>
      <c r="K1008" s="7"/>
      <c r="L1008" s="7"/>
      <c r="M1008" s="7"/>
      <c r="N1008" s="7"/>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row>
  </sheetData>
  <mergeCells count="9">
    <mergeCell ref="B16:M16"/>
    <mergeCell ref="B25:M25"/>
    <mergeCell ref="A1:N1"/>
    <mergeCell ref="F3:G3"/>
    <mergeCell ref="H3:I3"/>
    <mergeCell ref="B5:M5"/>
    <mergeCell ref="N5:N6"/>
    <mergeCell ref="B8:M8"/>
    <mergeCell ref="N9:N10"/>
  </mergeCells>
  <conditionalFormatting sqref="C7:M11 B8:B12 B18:M19">
    <cfRule type="colorScale" priority="1">
      <colorScale>
        <cfvo type="min"/>
        <cfvo type="percentile" val="50"/>
        <cfvo type="max"/>
        <color rgb="FFFFD988"/>
        <color rgb="FFFFFFFF"/>
        <color rgb="FF9B58DB"/>
      </colorScale>
    </cfRule>
  </conditionalFormatting>
  <conditionalFormatting sqref="B8:L8 M8:M11 B10:B12 C10:L11 B20:M20">
    <cfRule type="colorScale" priority="2">
      <colorScale>
        <cfvo type="min"/>
        <cfvo type="percentile" val="50"/>
        <cfvo type="max"/>
        <color rgb="FFFFD988"/>
        <color rgb="FFFFFFFF"/>
        <color rgb="FF9B58DB"/>
      </colorScale>
    </cfRule>
  </conditionalFormatting>
  <conditionalFormatting sqref="B8:L8 M8:M11 B10:B12 C10:L11 M20">
    <cfRule type="notContainsBlanks" dxfId="4" priority="3">
      <formula>LEN(TRIM(B8))&gt;0</formula>
    </cfRule>
  </conditionalFormatting>
  <conditionalFormatting sqref="B12:M12 B21:M21">
    <cfRule type="colorScale" priority="4">
      <colorScale>
        <cfvo type="min"/>
        <cfvo type="percentile" val="50"/>
        <cfvo type="max"/>
        <color rgb="FFFFD988"/>
        <color rgb="FFFFFFFF"/>
        <color rgb="FF9B58DB"/>
      </colorScale>
    </cfRule>
  </conditionalFormatting>
  <conditionalFormatting sqref="B13:M13 B22:M22">
    <cfRule type="colorScale" priority="5">
      <colorScale>
        <cfvo type="min"/>
        <cfvo type="percentile" val="50"/>
        <cfvo type="max"/>
        <color rgb="FFFFD988"/>
        <color rgb="FFFFECC4"/>
        <color rgb="FF9B58DB"/>
      </colorScale>
    </cfRule>
  </conditionalFormatting>
  <conditionalFormatting sqref="B14:M14 B23:M23">
    <cfRule type="colorScale" priority="6">
      <colorScale>
        <cfvo type="min"/>
        <cfvo type="percentile" val="50"/>
        <cfvo type="max"/>
        <color rgb="FFFFD988"/>
        <color rgb="FFFFFFFF"/>
        <color rgb="FF9B58DB"/>
      </colorScale>
    </cfRule>
  </conditionalFormatting>
  <drawing r:id="rId1"/>
  <extLst>
    <ext uri="{05C60535-1F16-4fd2-B633-F4F36F0B64E0}">
      <x14:sparklineGroups>
        <x14:sparklineGroup type="column" displayEmptyCellsAs="gap" high="1" low="1">
          <x14:colorSeries rgb="FF808080"/>
          <x14:colorHigh rgb="FF800080"/>
          <x14:colorLow rgb="FFFFFF00"/>
          <x14:sparklines>
            <x14:sparkline>
              <xm:f>'Copy of Month Table'!B9:M9</xm:f>
              <xm:sqref>B8</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52</v>
      </c>
    </row>
    <row r="2">
      <c r="A2" s="30" t="s">
        <v>53</v>
      </c>
    </row>
    <row r="3">
      <c r="A3" s="30" t="s">
        <v>54</v>
      </c>
    </row>
    <row r="4">
      <c r="A4" s="30" t="s">
        <v>55</v>
      </c>
    </row>
    <row r="5">
      <c r="A5" s="30" t="s">
        <v>56</v>
      </c>
    </row>
    <row r="6">
      <c r="A6" s="30" t="s">
        <v>57</v>
      </c>
    </row>
  </sheetData>
  <drawing r:id="rId1"/>
</worksheet>
</file>